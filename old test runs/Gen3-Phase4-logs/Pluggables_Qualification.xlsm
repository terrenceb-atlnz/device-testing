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I:\systest\products\Accessories\pluggable_transceiver\"/>
    </mc:Choice>
  </mc:AlternateContent>
  <xr:revisionPtr revIDLastSave="0" documentId="13_ncr:1_{082AEC30-9A2D-4C7F-B1C9-4EADB0556516}" xr6:coauthVersionLast="47" xr6:coauthVersionMax="47" xr10:uidLastSave="{00000000-0000-0000-0000-000000000000}"/>
  <bookViews>
    <workbookView xWindow="35340" yWindow="1050" windowWidth="21585" windowHeight="14475" tabRatio="750" firstSheet="1" activeTab="2" xr2:uid="{00000000-000D-0000-FFFF-FFFF00000000}"/>
  </bookViews>
  <sheets>
    <sheet name="100M SFP" sheetId="2" r:id="rId1"/>
    <sheet name="1G SFP" sheetId="3" r:id="rId2"/>
    <sheet name="SFP+" sheetId="4" r:id="rId3"/>
    <sheet name="SFP28" sheetId="5" r:id="rId4"/>
    <sheet name="SFP56" sheetId="18" r:id="rId5"/>
    <sheet name="QSFP" sheetId="6" r:id="rId6"/>
    <sheet name="QSFP28" sheetId="7" r:id="rId7"/>
    <sheet name="QSFPDD" sheetId="8" r:id="rId8"/>
    <sheet name="Key" sheetId="9" r:id="rId9"/>
    <sheet name="Rules-old" sheetId="10" state="hidden" r:id="rId10"/>
    <sheet name="Title Page" sheetId="1" r:id="rId11"/>
    <sheet name="Rules-Platform" sheetId="11" r:id="rId12"/>
    <sheet name="Rules-Transceiver" sheetId="12" r:id="rId13"/>
    <sheet name="Rules-Platform-Export" sheetId="13" r:id="rId14"/>
    <sheet name="Last release" sheetId="19" r:id="rId15"/>
    <sheet name="Qualification Process" sheetId="14" state="hidden" r:id="rId16"/>
    <sheet name="OLD-XFP" sheetId="15" state="hidden" r:id="rId17"/>
    <sheet name="OLD-Rules" sheetId="16" state="hidden" r:id="rId18"/>
    <sheet name="OLD-GBIC" sheetId="17" state="hidden" r:id="rId19"/>
  </sheets>
  <definedNames>
    <definedName name="__xlfn_CONCAT">#N/A</definedName>
    <definedName name="_xlnm._FilterDatabase" localSheetId="14" hidden="1">'Last release'!$A$1:$O$50</definedName>
    <definedName name="_xlnm._FilterDatabase" localSheetId="17" hidden="1">'OLD-Rules'!$B$25:$F$237</definedName>
    <definedName name="_xlnm._FilterDatabase" localSheetId="9" hidden="1">'Rules-old'!$A$2:$AA$230</definedName>
    <definedName name="_xlnm._FilterDatabase" localSheetId="11" hidden="1">'Rules-Platform'!$A$2:$AQ$317</definedName>
    <definedName name="_xlnm._FilterDatabase" localSheetId="13" hidden="1">'Rules-Platform-Export'!$A$1:$P$311</definedName>
    <definedName name="_xlnm._FilterDatabase" localSheetId="12" hidden="1">'Rules-Transceiver'!$A$1:$G$139</definedName>
    <definedName name="_xlnm.Print_Area" localSheetId="14">'Last release'!$B$1:$O$50</definedName>
    <definedName name="_xlnm.Print_Area" localSheetId="11">'Rules-Platform'!$A$1:$AQ$295</definedName>
    <definedName name="QSFPLR4" localSheetId="6">QSFP28!#REF!</definedName>
    <definedName name="QSFPLR4">QSFP!#REF!</definedName>
    <definedName name="QualificationStatus">Key!$B$3:$B$9</definedName>
    <definedName name="RULES">'Rules-old'!$A$1:$O$230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4" l="1"/>
  <c r="D23" i="4"/>
  <c r="D22" i="4"/>
  <c r="D21" i="4"/>
  <c r="D20" i="4"/>
  <c r="D19" i="4"/>
  <c r="D18" i="4"/>
  <c r="D17" i="4"/>
  <c r="D16" i="4"/>
  <c r="D15" i="4"/>
  <c r="D14" i="4"/>
  <c r="D13" i="4"/>
  <c r="D12" i="4"/>
  <c r="D11" i="4"/>
  <c r="D10" i="4"/>
  <c r="D9" i="4"/>
  <c r="A28" i="3"/>
  <c r="A29" i="3"/>
  <c r="D8" i="4"/>
  <c r="N4" i="2"/>
  <c r="U5" i="3"/>
  <c r="K4" i="7"/>
  <c r="H4" i="4"/>
  <c r="G4" i="4"/>
  <c r="F4" i="4"/>
  <c r="E4" i="4"/>
  <c r="A17" i="4"/>
  <c r="A300" i="13"/>
  <c r="B300" i="13"/>
  <c r="D300" i="13"/>
  <c r="E300" i="13"/>
  <c r="F300" i="13"/>
  <c r="G300" i="13"/>
  <c r="H300" i="13"/>
  <c r="I300" i="13"/>
  <c r="J300" i="13"/>
  <c r="K300" i="13"/>
  <c r="L300" i="13"/>
  <c r="M300" i="13"/>
  <c r="N300" i="13"/>
  <c r="O300" i="13"/>
  <c r="P300" i="13"/>
  <c r="A301" i="13"/>
  <c r="B301" i="13"/>
  <c r="D301" i="13"/>
  <c r="E301" i="13"/>
  <c r="F301" i="13"/>
  <c r="G301" i="13"/>
  <c r="H301" i="13"/>
  <c r="I301" i="13"/>
  <c r="J301" i="13"/>
  <c r="K301" i="13"/>
  <c r="L301" i="13"/>
  <c r="M301" i="13"/>
  <c r="N301" i="13"/>
  <c r="O301" i="13"/>
  <c r="P301" i="13"/>
  <c r="A302" i="13"/>
  <c r="B302" i="13"/>
  <c r="D302" i="13"/>
  <c r="E302" i="13"/>
  <c r="F302" i="13"/>
  <c r="G302" i="13"/>
  <c r="H302" i="13"/>
  <c r="I302" i="13"/>
  <c r="J302" i="13"/>
  <c r="K302" i="13"/>
  <c r="L302" i="13"/>
  <c r="M302" i="13"/>
  <c r="N302" i="13"/>
  <c r="O302" i="13"/>
  <c r="P302" i="13"/>
  <c r="A303" i="13"/>
  <c r="B303" i="13"/>
  <c r="D303" i="13"/>
  <c r="E303" i="13"/>
  <c r="F303" i="13"/>
  <c r="G303" i="13"/>
  <c r="H303" i="13"/>
  <c r="I303" i="13"/>
  <c r="J303" i="13"/>
  <c r="K303" i="13"/>
  <c r="L303" i="13"/>
  <c r="M303" i="13"/>
  <c r="N303" i="13"/>
  <c r="O303" i="13"/>
  <c r="P303" i="13"/>
  <c r="A304" i="13"/>
  <c r="B304" i="13"/>
  <c r="D304" i="13"/>
  <c r="E304" i="13"/>
  <c r="F304" i="13"/>
  <c r="G304" i="13"/>
  <c r="H304" i="13"/>
  <c r="I304" i="13"/>
  <c r="J304" i="13"/>
  <c r="K304" i="13"/>
  <c r="L304" i="13"/>
  <c r="M304" i="13"/>
  <c r="N304" i="13"/>
  <c r="O304" i="13"/>
  <c r="P304" i="13"/>
  <c r="A305" i="13"/>
  <c r="B305" i="13"/>
  <c r="D305" i="13"/>
  <c r="E305" i="13"/>
  <c r="F305" i="13"/>
  <c r="G305" i="13"/>
  <c r="H305" i="13"/>
  <c r="I305" i="13"/>
  <c r="J305" i="13"/>
  <c r="K305" i="13"/>
  <c r="L305" i="13"/>
  <c r="M305" i="13"/>
  <c r="N305" i="13"/>
  <c r="O305" i="13"/>
  <c r="P305" i="13"/>
  <c r="A306" i="13"/>
  <c r="B306" i="13"/>
  <c r="D306" i="13"/>
  <c r="E306" i="13"/>
  <c r="F306" i="13"/>
  <c r="G306" i="13"/>
  <c r="H306" i="13"/>
  <c r="I306" i="13"/>
  <c r="J306" i="13"/>
  <c r="K306" i="13"/>
  <c r="L306" i="13"/>
  <c r="M306" i="13"/>
  <c r="N306" i="13"/>
  <c r="O306" i="13"/>
  <c r="P306" i="13"/>
  <c r="A307" i="13"/>
  <c r="B307" i="13"/>
  <c r="D307" i="13"/>
  <c r="E307" i="13"/>
  <c r="F307" i="13"/>
  <c r="G307" i="13"/>
  <c r="H307" i="13"/>
  <c r="I307" i="13"/>
  <c r="J307" i="13"/>
  <c r="K307" i="13"/>
  <c r="L307" i="13"/>
  <c r="M307" i="13"/>
  <c r="N307" i="13"/>
  <c r="O307" i="13"/>
  <c r="P307" i="13"/>
  <c r="A308" i="13"/>
  <c r="B308" i="13"/>
  <c r="D308" i="13"/>
  <c r="E308" i="13"/>
  <c r="F308" i="13"/>
  <c r="G308" i="13"/>
  <c r="H308" i="13"/>
  <c r="I308" i="13"/>
  <c r="J308" i="13"/>
  <c r="K308" i="13"/>
  <c r="L308" i="13"/>
  <c r="M308" i="13"/>
  <c r="N308" i="13"/>
  <c r="O308" i="13"/>
  <c r="P308" i="13"/>
  <c r="A309" i="13"/>
  <c r="B309" i="13"/>
  <c r="D309" i="13"/>
  <c r="E309" i="13"/>
  <c r="F309" i="13"/>
  <c r="G309" i="13"/>
  <c r="H309" i="13"/>
  <c r="I309" i="13"/>
  <c r="J309" i="13"/>
  <c r="K309" i="13"/>
  <c r="L309" i="13"/>
  <c r="M309" i="13"/>
  <c r="N309" i="13"/>
  <c r="O309" i="13"/>
  <c r="P309" i="13"/>
  <c r="A310" i="13"/>
  <c r="B310" i="13"/>
  <c r="D310" i="13"/>
  <c r="E310" i="13"/>
  <c r="F310" i="13"/>
  <c r="G310" i="13"/>
  <c r="H310" i="13"/>
  <c r="I310" i="13"/>
  <c r="J310" i="13"/>
  <c r="K310" i="13"/>
  <c r="L310" i="13"/>
  <c r="M310" i="13"/>
  <c r="N310" i="13"/>
  <c r="O310" i="13"/>
  <c r="P310" i="13"/>
  <c r="A311" i="13"/>
  <c r="B311" i="13"/>
  <c r="D311" i="13"/>
  <c r="E311" i="13"/>
  <c r="F311" i="13"/>
  <c r="G311" i="13"/>
  <c r="H311" i="13"/>
  <c r="I311" i="13"/>
  <c r="J311" i="13"/>
  <c r="K311" i="13"/>
  <c r="L311" i="13"/>
  <c r="M311" i="13"/>
  <c r="N311" i="13"/>
  <c r="O311" i="13"/>
  <c r="P311" i="13"/>
  <c r="A19" i="4"/>
  <c r="A34" i="4"/>
  <c r="AP303" i="11"/>
  <c r="AO303" i="11"/>
  <c r="AN303" i="11"/>
  <c r="AM303" i="11"/>
  <c r="AL303" i="11"/>
  <c r="AK303" i="11"/>
  <c r="AJ303" i="11"/>
  <c r="AI303" i="11"/>
  <c r="AH303" i="11"/>
  <c r="AG303" i="11"/>
  <c r="AF303" i="11"/>
  <c r="AB303" i="11"/>
  <c r="AD303" i="11" s="1" a="1"/>
  <c r="AD303" i="11" s="1"/>
  <c r="AE303" i="11" s="1"/>
  <c r="AP302" i="11"/>
  <c r="AO302" i="11"/>
  <c r="AN302" i="11"/>
  <c r="AM302" i="11"/>
  <c r="AL302" i="11"/>
  <c r="AK302" i="11"/>
  <c r="AJ302" i="11"/>
  <c r="AI302" i="11"/>
  <c r="AH302" i="11"/>
  <c r="AG302" i="11"/>
  <c r="AF302" i="11"/>
  <c r="AB302" i="11"/>
  <c r="AD302" i="11" s="1" a="1"/>
  <c r="AD302" i="11" s="1"/>
  <c r="AE302" i="11" s="1"/>
  <c r="A27" i="3"/>
  <c r="AP304" i="11"/>
  <c r="AO304" i="11"/>
  <c r="AN304" i="11"/>
  <c r="AM304" i="11"/>
  <c r="AL304" i="11"/>
  <c r="AK304" i="11"/>
  <c r="AJ304" i="11"/>
  <c r="AI304" i="11"/>
  <c r="AH304" i="11"/>
  <c r="AG304" i="11"/>
  <c r="AF304" i="11"/>
  <c r="AB304" i="11"/>
  <c r="AD304" i="11" s="1" a="1"/>
  <c r="AD304" i="11" s="1"/>
  <c r="AE304" i="11" s="1"/>
  <c r="A299" i="13"/>
  <c r="B299" i="13"/>
  <c r="D299" i="13"/>
  <c r="E299" i="13"/>
  <c r="F299" i="13"/>
  <c r="G299" i="13"/>
  <c r="H299" i="13"/>
  <c r="I299" i="13"/>
  <c r="J299" i="13"/>
  <c r="K299" i="13"/>
  <c r="L299" i="13"/>
  <c r="M299" i="13"/>
  <c r="N299" i="13"/>
  <c r="O299" i="13"/>
  <c r="P299" i="13"/>
  <c r="AP300" i="11"/>
  <c r="AO300" i="11"/>
  <c r="AN300" i="11"/>
  <c r="AM300" i="11"/>
  <c r="AL300" i="11"/>
  <c r="AK300" i="11"/>
  <c r="AJ300" i="11"/>
  <c r="AI300" i="11"/>
  <c r="AH300" i="11"/>
  <c r="AG300" i="11"/>
  <c r="AF300" i="11"/>
  <c r="AB300" i="11"/>
  <c r="AD300" i="11" s="1" a="1"/>
  <c r="AD300" i="11" s="1"/>
  <c r="AB301" i="11"/>
  <c r="AD301" i="11" s="1" a="1"/>
  <c r="AD301" i="11" s="1"/>
  <c r="AE301" i="11" s="1"/>
  <c r="AF301" i="11"/>
  <c r="AG301" i="11"/>
  <c r="AH301" i="11"/>
  <c r="AI301" i="11"/>
  <c r="AJ301" i="11"/>
  <c r="AK301" i="11"/>
  <c r="AL301" i="11"/>
  <c r="AM301" i="11"/>
  <c r="AN301" i="11"/>
  <c r="AO301" i="11"/>
  <c r="AP301" i="11"/>
  <c r="D24" i="4"/>
  <c r="C8" i="8"/>
  <c r="A24" i="4"/>
  <c r="A265" i="13"/>
  <c r="A12" i="8"/>
  <c r="C12" i="8"/>
  <c r="D286" i="13"/>
  <c r="J4" i="7"/>
  <c r="D4" i="8"/>
  <c r="E4" i="8"/>
  <c r="A259" i="13"/>
  <c r="A260" i="13"/>
  <c r="A261" i="13"/>
  <c r="A262" i="13"/>
  <c r="A263" i="13"/>
  <c r="H4" i="7"/>
  <c r="G4" i="7"/>
  <c r="F4" i="7"/>
  <c r="E4" i="7"/>
  <c r="D16" i="7"/>
  <c r="D15" i="7"/>
  <c r="D14" i="7"/>
  <c r="A16" i="7"/>
  <c r="A15" i="7"/>
  <c r="A14" i="7"/>
  <c r="D13" i="7"/>
  <c r="D12" i="7"/>
  <c r="D11" i="7"/>
  <c r="D10" i="7"/>
  <c r="D9" i="7"/>
  <c r="D8" i="7"/>
  <c r="C11" i="8"/>
  <c r="C10" i="8"/>
  <c r="C9" i="8"/>
  <c r="C16" i="8"/>
  <c r="C15" i="8"/>
  <c r="C14" i="8"/>
  <c r="C13" i="8"/>
  <c r="A16" i="8"/>
  <c r="A15" i="8"/>
  <c r="A14" i="8"/>
  <c r="A13" i="8"/>
  <c r="D21" i="3"/>
  <c r="D20" i="3"/>
  <c r="A21" i="3"/>
  <c r="A20" i="3"/>
  <c r="A33" i="4"/>
  <c r="A9" i="5"/>
  <c r="A8" i="5"/>
  <c r="A15" i="5"/>
  <c r="A14" i="5"/>
  <c r="A12" i="3"/>
  <c r="A11" i="3"/>
  <c r="A298" i="13"/>
  <c r="A11" i="8"/>
  <c r="AD296" i="11" a="1"/>
  <c r="AD296" i="11" s="1"/>
  <c r="AE296" i="11" s="1"/>
  <c r="AD271" i="11" a="1"/>
  <c r="AD271" i="11" s="1"/>
  <c r="AD269" i="11" a="1"/>
  <c r="AD269" i="11" s="1"/>
  <c r="AD268" i="11" a="1"/>
  <c r="AD268" i="11" s="1"/>
  <c r="AD265" i="11" a="1"/>
  <c r="AD265" i="11" s="1"/>
  <c r="AD259" i="11" a="1"/>
  <c r="AD259" i="11" s="1"/>
  <c r="AD258" i="11" a="1"/>
  <c r="AD258" i="11" s="1"/>
  <c r="AE258" i="11" s="1"/>
  <c r="AD257" i="11" a="1"/>
  <c r="AD257" i="11" s="1"/>
  <c r="AD256" i="11" a="1"/>
  <c r="AD256" i="11" s="1"/>
  <c r="AD255" i="11" a="1"/>
  <c r="AD255" i="11" s="1"/>
  <c r="AD254" i="11" a="1"/>
  <c r="AD254" i="11" s="1"/>
  <c r="AD236" i="11" a="1"/>
  <c r="AD236" i="11" s="1"/>
  <c r="AD224" i="11" a="1"/>
  <c r="AD224" i="11" s="1"/>
  <c r="AD216" i="11" a="1"/>
  <c r="AD216" i="11" s="1"/>
  <c r="AD214" i="11" a="1"/>
  <c r="AD214" i="11" s="1"/>
  <c r="AD213" i="11" a="1"/>
  <c r="AD213" i="11" s="1"/>
  <c r="AD211" i="11" a="1"/>
  <c r="AD211" i="11" s="1"/>
  <c r="AD210" i="11" a="1"/>
  <c r="AD210" i="11" s="1"/>
  <c r="AD208" i="11" a="1"/>
  <c r="AD208" i="11" s="1"/>
  <c r="AD207" i="11" a="1"/>
  <c r="AD207" i="11" s="1"/>
  <c r="AD190" i="11" a="1"/>
  <c r="AD190" i="11" s="1"/>
  <c r="AD189" i="11" a="1"/>
  <c r="AD189" i="11" s="1"/>
  <c r="AD188" i="11" a="1"/>
  <c r="AD188" i="11" s="1"/>
  <c r="AD187" i="11" a="1"/>
  <c r="AD187" i="11" s="1"/>
  <c r="AD186" i="11" a="1"/>
  <c r="AD186" i="11" s="1"/>
  <c r="AD185" i="11" a="1"/>
  <c r="AD185" i="11" s="1"/>
  <c r="AD184" i="11" a="1"/>
  <c r="AD184" i="11" s="1"/>
  <c r="AD183" i="11" a="1"/>
  <c r="AD183" i="11" s="1"/>
  <c r="AD130" i="11" a="1"/>
  <c r="AD130" i="11" s="1"/>
  <c r="AD129" i="11" a="1"/>
  <c r="AD129" i="11" s="1"/>
  <c r="AD128" i="11" a="1"/>
  <c r="AD128" i="11" s="1"/>
  <c r="AD127" i="11" a="1"/>
  <c r="AD127" i="11" s="1"/>
  <c r="AD118" i="11" a="1"/>
  <c r="AD118" i="11" s="1"/>
  <c r="AD117" i="11" a="1"/>
  <c r="AD117" i="11" s="1"/>
  <c r="AD116" i="11" a="1"/>
  <c r="AD116" i="11" s="1"/>
  <c r="AD115" i="11" a="1"/>
  <c r="AD115" i="11" s="1"/>
  <c r="AD50" i="11" a="1"/>
  <c r="AD50" i="11" s="1"/>
  <c r="AD47" i="11" a="1"/>
  <c r="AD47" i="11" s="1"/>
  <c r="AD46" i="11" a="1"/>
  <c r="AD46" i="11" s="1"/>
  <c r="AD45" i="11" a="1"/>
  <c r="AD45" i="11" s="1"/>
  <c r="AD44" i="11" a="1"/>
  <c r="AD44" i="11" s="1"/>
  <c r="AD40" i="11" a="1"/>
  <c r="AD40" i="11" s="1"/>
  <c r="AD37" i="11" a="1"/>
  <c r="AD37" i="11" s="1"/>
  <c r="AD34" i="11" a="1"/>
  <c r="AD34" i="11" s="1"/>
  <c r="AD33" i="11" a="1"/>
  <c r="AD33" i="11" s="1"/>
  <c r="AD32" i="11" a="1"/>
  <c r="AD32" i="11" s="1"/>
  <c r="AD28" i="11" a="1"/>
  <c r="AD28" i="11" s="1"/>
  <c r="AD27" i="11" a="1"/>
  <c r="AD27" i="11" s="1"/>
  <c r="AD26" i="11" a="1"/>
  <c r="AD26" i="11" s="1"/>
  <c r="AD25" i="11" a="1"/>
  <c r="AD25" i="11" s="1"/>
  <c r="AD24" i="11" a="1"/>
  <c r="AD24" i="11" s="1"/>
  <c r="AD23" i="11" a="1"/>
  <c r="AD23" i="11" s="1"/>
  <c r="AD22" i="11" a="1"/>
  <c r="AD22" i="11" s="1"/>
  <c r="AD21" i="11" a="1"/>
  <c r="AD21" i="11" s="1"/>
  <c r="AD20" i="11" a="1"/>
  <c r="AD20" i="11" s="1"/>
  <c r="AD8" i="11" a="1"/>
  <c r="AD8" i="11" s="1"/>
  <c r="AD7" i="11" a="1"/>
  <c r="AD7" i="11" s="1"/>
  <c r="AD6" i="11" a="1"/>
  <c r="AD6" i="11" s="1"/>
  <c r="AD5" i="11" a="1"/>
  <c r="AD5" i="11" s="1"/>
  <c r="AB298" i="11"/>
  <c r="AD298" i="11" s="1" a="1"/>
  <c r="AD298" i="11" s="1"/>
  <c r="AE298" i="11" s="1"/>
  <c r="AB299" i="11"/>
  <c r="AD299" i="11" s="1" a="1"/>
  <c r="AD299" i="11" s="1"/>
  <c r="AE299" i="11" s="1"/>
  <c r="AM10" i="11"/>
  <c r="AM43" i="11"/>
  <c r="AM48" i="11"/>
  <c r="D293" i="13"/>
  <c r="E293" i="13"/>
  <c r="F293" i="13"/>
  <c r="G293" i="13"/>
  <c r="H293" i="13"/>
  <c r="I293" i="13"/>
  <c r="J293" i="13"/>
  <c r="K293" i="13"/>
  <c r="L293" i="13"/>
  <c r="M293" i="13"/>
  <c r="N293" i="13"/>
  <c r="O293" i="13"/>
  <c r="P293" i="13"/>
  <c r="D294" i="13"/>
  <c r="E294" i="13"/>
  <c r="F294" i="13"/>
  <c r="G294" i="13"/>
  <c r="H294" i="13"/>
  <c r="I294" i="13"/>
  <c r="J294" i="13"/>
  <c r="K294" i="13"/>
  <c r="L294" i="13"/>
  <c r="M294" i="13"/>
  <c r="N294" i="13"/>
  <c r="O294" i="13"/>
  <c r="P294" i="13"/>
  <c r="D295" i="13"/>
  <c r="E295" i="13"/>
  <c r="F295" i="13"/>
  <c r="G295" i="13"/>
  <c r="H295" i="13"/>
  <c r="I295" i="13"/>
  <c r="J295" i="13"/>
  <c r="K295" i="13"/>
  <c r="L295" i="13"/>
  <c r="M295" i="13"/>
  <c r="N295" i="13"/>
  <c r="O295" i="13"/>
  <c r="P295" i="13"/>
  <c r="D296" i="13"/>
  <c r="E296" i="13"/>
  <c r="F296" i="13"/>
  <c r="G296" i="13"/>
  <c r="H296" i="13"/>
  <c r="I296" i="13"/>
  <c r="J296" i="13"/>
  <c r="K296" i="13"/>
  <c r="L296" i="13"/>
  <c r="M296" i="13"/>
  <c r="N296" i="13"/>
  <c r="O296" i="13"/>
  <c r="P296" i="13"/>
  <c r="D297" i="13"/>
  <c r="E297" i="13"/>
  <c r="F297" i="13"/>
  <c r="G297" i="13"/>
  <c r="H297" i="13"/>
  <c r="I297" i="13"/>
  <c r="J297" i="13"/>
  <c r="K297" i="13"/>
  <c r="L297" i="13"/>
  <c r="M297" i="13"/>
  <c r="N297" i="13"/>
  <c r="O297" i="13"/>
  <c r="P297" i="13"/>
  <c r="D298" i="13"/>
  <c r="E298" i="13"/>
  <c r="F298" i="13"/>
  <c r="G298" i="13"/>
  <c r="H298" i="13"/>
  <c r="I298" i="13"/>
  <c r="J298" i="13"/>
  <c r="K298" i="13"/>
  <c r="L298" i="13"/>
  <c r="M298" i="13"/>
  <c r="N298" i="13"/>
  <c r="O298" i="13"/>
  <c r="P298" i="13"/>
  <c r="B294" i="13"/>
  <c r="B295" i="13"/>
  <c r="B296" i="13"/>
  <c r="B297" i="13"/>
  <c r="B298" i="13"/>
  <c r="A297" i="13"/>
  <c r="A294" i="13"/>
  <c r="A295" i="13"/>
  <c r="A296" i="13"/>
  <c r="A291" i="13"/>
  <c r="AF298" i="11"/>
  <c r="AG298" i="11"/>
  <c r="AH298" i="11"/>
  <c r="AI298" i="11"/>
  <c r="AJ298" i="11"/>
  <c r="AK298" i="11"/>
  <c r="AL298" i="11"/>
  <c r="AM298" i="11"/>
  <c r="AN298" i="11"/>
  <c r="AO298" i="11"/>
  <c r="AP298" i="11"/>
  <c r="AF299" i="11"/>
  <c r="AG299" i="11"/>
  <c r="AH299" i="11"/>
  <c r="AI299" i="11"/>
  <c r="AJ299" i="11"/>
  <c r="AK299" i="11"/>
  <c r="AL299" i="11"/>
  <c r="AM299" i="11"/>
  <c r="AN299" i="11"/>
  <c r="AO299" i="11"/>
  <c r="AP299" i="11"/>
  <c r="A31" i="3"/>
  <c r="AB296" i="11"/>
  <c r="AF296" i="11"/>
  <c r="AG296" i="11"/>
  <c r="AH296" i="11"/>
  <c r="AI296" i="11"/>
  <c r="AJ296" i="11"/>
  <c r="AK296" i="11"/>
  <c r="AL296" i="11"/>
  <c r="AM296" i="11"/>
  <c r="AN296" i="11"/>
  <c r="AO296" i="11"/>
  <c r="AP296" i="11"/>
  <c r="AP297" i="11"/>
  <c r="AO297" i="11"/>
  <c r="AN297" i="11"/>
  <c r="AM297" i="11"/>
  <c r="AL297" i="11"/>
  <c r="AK297" i="11"/>
  <c r="AJ297" i="11"/>
  <c r="AI297" i="11"/>
  <c r="AH297" i="11"/>
  <c r="AG297" i="11"/>
  <c r="AF297" i="11"/>
  <c r="AB297" i="11"/>
  <c r="AD297" i="11" s="1" a="1"/>
  <c r="AD297" i="11" s="1"/>
  <c r="AE297" i="11" s="1"/>
  <c r="A38" i="4"/>
  <c r="A39" i="4"/>
  <c r="A23" i="4"/>
  <c r="A22" i="4"/>
  <c r="A21" i="4"/>
  <c r="A20" i="4"/>
  <c r="A292" i="13"/>
  <c r="A293" i="13"/>
  <c r="B293" i="13"/>
  <c r="AP295" i="11"/>
  <c r="AO295" i="11"/>
  <c r="AN295" i="11"/>
  <c r="AM295" i="11"/>
  <c r="AL295" i="11"/>
  <c r="AK295" i="11"/>
  <c r="AJ295" i="11"/>
  <c r="AI295" i="11"/>
  <c r="AH295" i="11"/>
  <c r="AG295" i="11"/>
  <c r="AF295" i="11"/>
  <c r="AB295" i="11"/>
  <c r="AD295" i="11" s="1" a="1"/>
  <c r="AD295" i="11" s="1"/>
  <c r="AP294" i="11"/>
  <c r="AO294" i="11"/>
  <c r="AN294" i="11"/>
  <c r="AM294" i="11"/>
  <c r="AL294" i="11"/>
  <c r="AK294" i="11"/>
  <c r="AJ294" i="11"/>
  <c r="AI294" i="11"/>
  <c r="AH294" i="11"/>
  <c r="AG294" i="11"/>
  <c r="AF294" i="11"/>
  <c r="AB294" i="11"/>
  <c r="B292" i="13"/>
  <c r="D292" i="13"/>
  <c r="E292" i="13"/>
  <c r="F292" i="13"/>
  <c r="G292" i="13"/>
  <c r="H292" i="13"/>
  <c r="I292" i="13"/>
  <c r="J292" i="13"/>
  <c r="K292" i="13"/>
  <c r="L292" i="13"/>
  <c r="M292" i="13"/>
  <c r="N292" i="13"/>
  <c r="O292" i="13"/>
  <c r="P292" i="13"/>
  <c r="A3" i="13"/>
  <c r="B3" i="13"/>
  <c r="D3" i="13"/>
  <c r="E3" i="13"/>
  <c r="F3" i="13"/>
  <c r="G3" i="13"/>
  <c r="H3" i="13"/>
  <c r="I3" i="13"/>
  <c r="J3" i="13"/>
  <c r="K3" i="13"/>
  <c r="L3" i="13"/>
  <c r="M3" i="13"/>
  <c r="N3" i="13"/>
  <c r="O3" i="13"/>
  <c r="P3" i="13"/>
  <c r="A4" i="13"/>
  <c r="B4" i="13"/>
  <c r="D4" i="13"/>
  <c r="E4" i="13"/>
  <c r="F4" i="13"/>
  <c r="G4" i="13"/>
  <c r="H4" i="13"/>
  <c r="I4" i="13"/>
  <c r="J4" i="13"/>
  <c r="K4" i="13"/>
  <c r="L4" i="13"/>
  <c r="M4" i="13"/>
  <c r="N4" i="13"/>
  <c r="O4" i="13"/>
  <c r="P4" i="13"/>
  <c r="A5" i="13"/>
  <c r="B5" i="13"/>
  <c r="D5" i="13"/>
  <c r="E5" i="13"/>
  <c r="F5" i="13"/>
  <c r="G5" i="13"/>
  <c r="H5" i="13"/>
  <c r="I5" i="13"/>
  <c r="J5" i="13"/>
  <c r="K5" i="13"/>
  <c r="L5" i="13"/>
  <c r="M5" i="13"/>
  <c r="N5" i="13"/>
  <c r="O5" i="13"/>
  <c r="P5" i="13"/>
  <c r="A6" i="13"/>
  <c r="B6" i="13"/>
  <c r="D6" i="13"/>
  <c r="E6" i="13"/>
  <c r="F6" i="13"/>
  <c r="G6" i="13"/>
  <c r="H6" i="13"/>
  <c r="I6" i="13"/>
  <c r="J6" i="13"/>
  <c r="K6" i="13"/>
  <c r="L6" i="13"/>
  <c r="M6" i="13"/>
  <c r="N6" i="13"/>
  <c r="O6" i="13"/>
  <c r="P6" i="13"/>
  <c r="A7" i="13"/>
  <c r="B7" i="13"/>
  <c r="D7" i="13"/>
  <c r="E7" i="13"/>
  <c r="F7" i="13"/>
  <c r="G7" i="13"/>
  <c r="H7" i="13"/>
  <c r="I7" i="13"/>
  <c r="J7" i="13"/>
  <c r="K7" i="13"/>
  <c r="L7" i="13"/>
  <c r="M7" i="13"/>
  <c r="N7" i="13"/>
  <c r="O7" i="13"/>
  <c r="P7" i="13"/>
  <c r="A8" i="13"/>
  <c r="B8" i="13"/>
  <c r="D8" i="13"/>
  <c r="E8" i="13"/>
  <c r="F8" i="13"/>
  <c r="G8" i="13"/>
  <c r="H8" i="13"/>
  <c r="I8" i="13"/>
  <c r="J8" i="13"/>
  <c r="K8" i="13"/>
  <c r="L8" i="13"/>
  <c r="M8" i="13"/>
  <c r="N8" i="13"/>
  <c r="O8" i="13"/>
  <c r="P8" i="13"/>
  <c r="A9" i="13"/>
  <c r="B9" i="13"/>
  <c r="D9" i="13"/>
  <c r="E9" i="13"/>
  <c r="F9" i="13"/>
  <c r="G9" i="13"/>
  <c r="H9" i="13"/>
  <c r="I9" i="13"/>
  <c r="J9" i="13"/>
  <c r="K9" i="13"/>
  <c r="L9" i="13"/>
  <c r="M9" i="13"/>
  <c r="N9" i="13"/>
  <c r="O9" i="13"/>
  <c r="P9" i="13"/>
  <c r="A10" i="13"/>
  <c r="B10" i="13"/>
  <c r="D10" i="13"/>
  <c r="E10" i="13"/>
  <c r="F10" i="13"/>
  <c r="G10" i="13"/>
  <c r="H10" i="13"/>
  <c r="I10" i="13"/>
  <c r="J10" i="13"/>
  <c r="K10" i="13"/>
  <c r="L10" i="13"/>
  <c r="M10" i="13"/>
  <c r="N10" i="13"/>
  <c r="O10" i="13"/>
  <c r="P10" i="13"/>
  <c r="A11" i="13"/>
  <c r="B11" i="13"/>
  <c r="D11" i="13"/>
  <c r="E11" i="13"/>
  <c r="F11" i="13"/>
  <c r="G11" i="13"/>
  <c r="H11" i="13"/>
  <c r="I11" i="13"/>
  <c r="J11" i="13"/>
  <c r="K11" i="13"/>
  <c r="L11" i="13"/>
  <c r="M11" i="13"/>
  <c r="N11" i="13"/>
  <c r="O11" i="13"/>
  <c r="P11" i="13"/>
  <c r="A12" i="13"/>
  <c r="B12" i="13"/>
  <c r="D12" i="13"/>
  <c r="E12" i="13"/>
  <c r="F12" i="13"/>
  <c r="G12" i="13"/>
  <c r="H12" i="13"/>
  <c r="I12" i="13"/>
  <c r="J12" i="13"/>
  <c r="K12" i="13"/>
  <c r="L12" i="13"/>
  <c r="M12" i="13"/>
  <c r="N12" i="13"/>
  <c r="O12" i="13"/>
  <c r="P12" i="13"/>
  <c r="A13" i="13"/>
  <c r="B13" i="13"/>
  <c r="D13" i="13"/>
  <c r="E13" i="13"/>
  <c r="F13" i="13"/>
  <c r="G13" i="13"/>
  <c r="H13" i="13"/>
  <c r="I13" i="13"/>
  <c r="J13" i="13"/>
  <c r="K13" i="13"/>
  <c r="L13" i="13"/>
  <c r="M13" i="13"/>
  <c r="N13" i="13"/>
  <c r="O13" i="13"/>
  <c r="P13" i="13"/>
  <c r="A14" i="13"/>
  <c r="B14" i="13"/>
  <c r="D14" i="13"/>
  <c r="E14" i="13"/>
  <c r="F14" i="13"/>
  <c r="G14" i="13"/>
  <c r="H14" i="13"/>
  <c r="I14" i="13"/>
  <c r="J14" i="13"/>
  <c r="K14" i="13"/>
  <c r="L14" i="13"/>
  <c r="M14" i="13"/>
  <c r="N14" i="13"/>
  <c r="O14" i="13"/>
  <c r="P14" i="13"/>
  <c r="A15" i="13"/>
  <c r="B15" i="13"/>
  <c r="D15" i="13"/>
  <c r="E15" i="13"/>
  <c r="F15" i="13"/>
  <c r="G15" i="13"/>
  <c r="H15" i="13"/>
  <c r="I15" i="13"/>
  <c r="J15" i="13"/>
  <c r="K15" i="13"/>
  <c r="L15" i="13"/>
  <c r="M15" i="13"/>
  <c r="N15" i="13"/>
  <c r="O15" i="13"/>
  <c r="P15" i="13"/>
  <c r="A16" i="13"/>
  <c r="B16" i="13"/>
  <c r="D16" i="13"/>
  <c r="E16" i="13"/>
  <c r="F16" i="13"/>
  <c r="G16" i="13"/>
  <c r="H16" i="13"/>
  <c r="I16" i="13"/>
  <c r="J16" i="13"/>
  <c r="K16" i="13"/>
  <c r="L16" i="13"/>
  <c r="M16" i="13"/>
  <c r="N16" i="13"/>
  <c r="O16" i="13"/>
  <c r="P16" i="13"/>
  <c r="A17" i="13"/>
  <c r="B17" i="13"/>
  <c r="D17" i="13"/>
  <c r="E17" i="13"/>
  <c r="F17" i="13"/>
  <c r="G17" i="13"/>
  <c r="H17" i="13"/>
  <c r="I17" i="13"/>
  <c r="J17" i="13"/>
  <c r="K17" i="13"/>
  <c r="L17" i="13"/>
  <c r="M17" i="13"/>
  <c r="N17" i="13"/>
  <c r="O17" i="13"/>
  <c r="P17" i="13"/>
  <c r="A18" i="13"/>
  <c r="B18" i="13"/>
  <c r="D18" i="13"/>
  <c r="E18" i="13"/>
  <c r="F18" i="13"/>
  <c r="G18" i="13"/>
  <c r="H18" i="13"/>
  <c r="I18" i="13"/>
  <c r="J18" i="13"/>
  <c r="K18" i="13"/>
  <c r="L18" i="13"/>
  <c r="M18" i="13"/>
  <c r="N18" i="13"/>
  <c r="O18" i="13"/>
  <c r="P18" i="13"/>
  <c r="A19" i="13"/>
  <c r="B19" i="13"/>
  <c r="D19" i="13"/>
  <c r="E19" i="13"/>
  <c r="F19" i="13"/>
  <c r="G19" i="13"/>
  <c r="H19" i="13"/>
  <c r="I19" i="13"/>
  <c r="J19" i="13"/>
  <c r="K19" i="13"/>
  <c r="L19" i="13"/>
  <c r="M19" i="13"/>
  <c r="N19" i="13"/>
  <c r="O19" i="13"/>
  <c r="P19" i="13"/>
  <c r="A20" i="13"/>
  <c r="B20" i="13"/>
  <c r="D20" i="13"/>
  <c r="E20" i="13"/>
  <c r="F20" i="13"/>
  <c r="G20" i="13"/>
  <c r="H20" i="13"/>
  <c r="I20" i="13"/>
  <c r="J20" i="13"/>
  <c r="K20" i="13"/>
  <c r="L20" i="13"/>
  <c r="M20" i="13"/>
  <c r="N20" i="13"/>
  <c r="O20" i="13"/>
  <c r="P20" i="13"/>
  <c r="A21" i="13"/>
  <c r="B21" i="13"/>
  <c r="D21" i="13"/>
  <c r="E21" i="13"/>
  <c r="F21" i="13"/>
  <c r="G21" i="13"/>
  <c r="H21" i="13"/>
  <c r="I21" i="13"/>
  <c r="J21" i="13"/>
  <c r="K21" i="13"/>
  <c r="L21" i="13"/>
  <c r="M21" i="13"/>
  <c r="N21" i="13"/>
  <c r="O21" i="13"/>
  <c r="P21" i="13"/>
  <c r="A22" i="13"/>
  <c r="B22" i="13"/>
  <c r="D22" i="13"/>
  <c r="E22" i="13"/>
  <c r="F22" i="13"/>
  <c r="G22" i="13"/>
  <c r="H22" i="13"/>
  <c r="I22" i="13"/>
  <c r="J22" i="13"/>
  <c r="K22" i="13"/>
  <c r="L22" i="13"/>
  <c r="M22" i="13"/>
  <c r="N22" i="13"/>
  <c r="O22" i="13"/>
  <c r="P22" i="13"/>
  <c r="A23" i="13"/>
  <c r="B23" i="13"/>
  <c r="D23" i="13"/>
  <c r="E23" i="13"/>
  <c r="F23" i="13"/>
  <c r="G23" i="13"/>
  <c r="H23" i="13"/>
  <c r="I23" i="13"/>
  <c r="J23" i="13"/>
  <c r="K23" i="13"/>
  <c r="L23" i="13"/>
  <c r="M23" i="13"/>
  <c r="N23" i="13"/>
  <c r="O23" i="13"/>
  <c r="P23" i="13"/>
  <c r="A24" i="13"/>
  <c r="B24" i="13"/>
  <c r="D24" i="13"/>
  <c r="E24" i="13"/>
  <c r="F24" i="13"/>
  <c r="G24" i="13"/>
  <c r="H24" i="13"/>
  <c r="I24" i="13"/>
  <c r="J24" i="13"/>
  <c r="K24" i="13"/>
  <c r="L24" i="13"/>
  <c r="M24" i="13"/>
  <c r="N24" i="13"/>
  <c r="O24" i="13"/>
  <c r="P24" i="13"/>
  <c r="A25" i="13"/>
  <c r="B25" i="13"/>
  <c r="D25" i="13"/>
  <c r="E25" i="13"/>
  <c r="F25" i="13"/>
  <c r="G25" i="13"/>
  <c r="H25" i="13"/>
  <c r="I25" i="13"/>
  <c r="J25" i="13"/>
  <c r="K25" i="13"/>
  <c r="L25" i="13"/>
  <c r="M25" i="13"/>
  <c r="N25" i="13"/>
  <c r="O25" i="13"/>
  <c r="P25" i="13"/>
  <c r="A26" i="13"/>
  <c r="B26" i="13"/>
  <c r="D26" i="13"/>
  <c r="E26" i="13"/>
  <c r="F26" i="13"/>
  <c r="G26" i="13"/>
  <c r="H26" i="13"/>
  <c r="I26" i="13"/>
  <c r="J26" i="13"/>
  <c r="K26" i="13"/>
  <c r="L26" i="13"/>
  <c r="M26" i="13"/>
  <c r="N26" i="13"/>
  <c r="O26" i="13"/>
  <c r="P26" i="13"/>
  <c r="A27" i="13"/>
  <c r="B27" i="13"/>
  <c r="D27" i="13"/>
  <c r="E27" i="13"/>
  <c r="F27" i="13"/>
  <c r="G27" i="13"/>
  <c r="H27" i="13"/>
  <c r="I27" i="13"/>
  <c r="J27" i="13"/>
  <c r="K27" i="13"/>
  <c r="L27" i="13"/>
  <c r="M27" i="13"/>
  <c r="N27" i="13"/>
  <c r="O27" i="13"/>
  <c r="P27" i="13"/>
  <c r="A28" i="13"/>
  <c r="B28" i="13"/>
  <c r="D28" i="13"/>
  <c r="E28" i="13"/>
  <c r="F28" i="13"/>
  <c r="G28" i="13"/>
  <c r="H28" i="13"/>
  <c r="I28" i="13"/>
  <c r="J28" i="13"/>
  <c r="K28" i="13"/>
  <c r="L28" i="13"/>
  <c r="M28" i="13"/>
  <c r="N28" i="13"/>
  <c r="O28" i="13"/>
  <c r="P28" i="13"/>
  <c r="A29" i="13"/>
  <c r="B29" i="13"/>
  <c r="D29" i="13"/>
  <c r="E29" i="13"/>
  <c r="F29" i="13"/>
  <c r="G29" i="13"/>
  <c r="H29" i="13"/>
  <c r="I29" i="13"/>
  <c r="J29" i="13"/>
  <c r="K29" i="13"/>
  <c r="L29" i="13"/>
  <c r="M29" i="13"/>
  <c r="N29" i="13"/>
  <c r="O29" i="13"/>
  <c r="P29" i="13"/>
  <c r="A30" i="13"/>
  <c r="B30" i="13"/>
  <c r="D30" i="13"/>
  <c r="E30" i="13"/>
  <c r="F30" i="13"/>
  <c r="G30" i="13"/>
  <c r="H30" i="13"/>
  <c r="I30" i="13"/>
  <c r="J30" i="13"/>
  <c r="K30" i="13"/>
  <c r="L30" i="13"/>
  <c r="M30" i="13"/>
  <c r="N30" i="13"/>
  <c r="O30" i="13"/>
  <c r="P30" i="13"/>
  <c r="A31" i="13"/>
  <c r="B31" i="13"/>
  <c r="D31" i="13"/>
  <c r="E31" i="13"/>
  <c r="F31" i="13"/>
  <c r="G31" i="13"/>
  <c r="H31" i="13"/>
  <c r="I31" i="13"/>
  <c r="J31" i="13"/>
  <c r="K31" i="13"/>
  <c r="L31" i="13"/>
  <c r="M31" i="13"/>
  <c r="N31" i="13"/>
  <c r="O31" i="13"/>
  <c r="P31" i="13"/>
  <c r="A32" i="13"/>
  <c r="B32" i="13"/>
  <c r="D32" i="13"/>
  <c r="E32" i="13"/>
  <c r="F32" i="13"/>
  <c r="G32" i="13"/>
  <c r="H32" i="13"/>
  <c r="I32" i="13"/>
  <c r="J32" i="13"/>
  <c r="K32" i="13"/>
  <c r="L32" i="13"/>
  <c r="M32" i="13"/>
  <c r="N32" i="13"/>
  <c r="O32" i="13"/>
  <c r="P32" i="13"/>
  <c r="A33" i="13"/>
  <c r="B33" i="13"/>
  <c r="D33" i="13"/>
  <c r="E33" i="13"/>
  <c r="F33" i="13"/>
  <c r="G33" i="13"/>
  <c r="H33" i="13"/>
  <c r="I33" i="13"/>
  <c r="J33" i="13"/>
  <c r="K33" i="13"/>
  <c r="L33" i="13"/>
  <c r="M33" i="13"/>
  <c r="N33" i="13"/>
  <c r="O33" i="13"/>
  <c r="P33" i="13"/>
  <c r="A34" i="13"/>
  <c r="B34" i="13"/>
  <c r="D34" i="13"/>
  <c r="E34" i="13"/>
  <c r="F34" i="13"/>
  <c r="G34" i="13"/>
  <c r="H34" i="13"/>
  <c r="I34" i="13"/>
  <c r="J34" i="13"/>
  <c r="K34" i="13"/>
  <c r="L34" i="13"/>
  <c r="M34" i="13"/>
  <c r="N34" i="13"/>
  <c r="O34" i="13"/>
  <c r="P34" i="13"/>
  <c r="A35" i="13"/>
  <c r="B35" i="13"/>
  <c r="D35" i="13"/>
  <c r="E35" i="13"/>
  <c r="F35" i="13"/>
  <c r="G35" i="13"/>
  <c r="H35" i="13"/>
  <c r="I35" i="13"/>
  <c r="J35" i="13"/>
  <c r="K35" i="13"/>
  <c r="L35" i="13"/>
  <c r="M35" i="13"/>
  <c r="N35" i="13"/>
  <c r="O35" i="13"/>
  <c r="P35" i="13"/>
  <c r="A36" i="13"/>
  <c r="B36" i="13"/>
  <c r="D36" i="13"/>
  <c r="E36" i="13"/>
  <c r="F36" i="13"/>
  <c r="G36" i="13"/>
  <c r="H36" i="13"/>
  <c r="I36" i="13"/>
  <c r="J36" i="13"/>
  <c r="K36" i="13"/>
  <c r="L36" i="13"/>
  <c r="M36" i="13"/>
  <c r="N36" i="13"/>
  <c r="O36" i="13"/>
  <c r="P36" i="13"/>
  <c r="A37" i="13"/>
  <c r="B37" i="13"/>
  <c r="D37" i="13"/>
  <c r="E37" i="13"/>
  <c r="F37" i="13"/>
  <c r="G37" i="13"/>
  <c r="H37" i="13"/>
  <c r="I37" i="13"/>
  <c r="J37" i="13"/>
  <c r="K37" i="13"/>
  <c r="L37" i="13"/>
  <c r="M37" i="13"/>
  <c r="N37" i="13"/>
  <c r="O37" i="13"/>
  <c r="P37" i="13"/>
  <c r="A38" i="13"/>
  <c r="B38" i="13"/>
  <c r="D38" i="13"/>
  <c r="E38" i="13"/>
  <c r="F38" i="13"/>
  <c r="G38" i="13"/>
  <c r="H38" i="13"/>
  <c r="I38" i="13"/>
  <c r="J38" i="13"/>
  <c r="K38" i="13"/>
  <c r="L38" i="13"/>
  <c r="M38" i="13"/>
  <c r="N38" i="13"/>
  <c r="O38" i="13"/>
  <c r="P38" i="13"/>
  <c r="A39" i="13"/>
  <c r="B39" i="13"/>
  <c r="D39" i="13"/>
  <c r="E39" i="13"/>
  <c r="F39" i="13"/>
  <c r="G39" i="13"/>
  <c r="H39" i="13"/>
  <c r="I39" i="13"/>
  <c r="J39" i="13"/>
  <c r="K39" i="13"/>
  <c r="L39" i="13"/>
  <c r="M39" i="13"/>
  <c r="N39" i="13"/>
  <c r="O39" i="13"/>
  <c r="P39" i="13"/>
  <c r="A40" i="13"/>
  <c r="B40" i="13"/>
  <c r="D40" i="13"/>
  <c r="E40" i="13"/>
  <c r="F40" i="13"/>
  <c r="G40" i="13"/>
  <c r="H40" i="13"/>
  <c r="I40" i="13"/>
  <c r="J40" i="13"/>
  <c r="K40" i="13"/>
  <c r="L40" i="13"/>
  <c r="M40" i="13"/>
  <c r="N40" i="13"/>
  <c r="O40" i="13"/>
  <c r="P40" i="13"/>
  <c r="A41" i="13"/>
  <c r="B41" i="13"/>
  <c r="D41" i="13"/>
  <c r="E41" i="13"/>
  <c r="F41" i="13"/>
  <c r="G41" i="13"/>
  <c r="H41" i="13"/>
  <c r="I41" i="13"/>
  <c r="J41" i="13"/>
  <c r="K41" i="13"/>
  <c r="L41" i="13"/>
  <c r="M41" i="13"/>
  <c r="N41" i="13"/>
  <c r="O41" i="13"/>
  <c r="P41" i="13"/>
  <c r="A42" i="13"/>
  <c r="B42" i="13"/>
  <c r="D42" i="13"/>
  <c r="E42" i="13"/>
  <c r="F42" i="13"/>
  <c r="G42" i="13"/>
  <c r="H42" i="13"/>
  <c r="I42" i="13"/>
  <c r="J42" i="13"/>
  <c r="K42" i="13"/>
  <c r="L42" i="13"/>
  <c r="M42" i="13"/>
  <c r="N42" i="13"/>
  <c r="O42" i="13"/>
  <c r="P42" i="13"/>
  <c r="A43" i="13"/>
  <c r="B43" i="13"/>
  <c r="D43" i="13"/>
  <c r="E43" i="13"/>
  <c r="F43" i="13"/>
  <c r="G43" i="13"/>
  <c r="H43" i="13"/>
  <c r="I43" i="13"/>
  <c r="J43" i="13"/>
  <c r="K43" i="13"/>
  <c r="L43" i="13"/>
  <c r="M43" i="13"/>
  <c r="N43" i="13"/>
  <c r="O43" i="13"/>
  <c r="P43" i="13"/>
  <c r="A44" i="13"/>
  <c r="B44" i="13"/>
  <c r="D44" i="13"/>
  <c r="E44" i="13"/>
  <c r="F44" i="13"/>
  <c r="G44" i="13"/>
  <c r="H44" i="13"/>
  <c r="I44" i="13"/>
  <c r="J44" i="13"/>
  <c r="K44" i="13"/>
  <c r="L44" i="13"/>
  <c r="M44" i="13"/>
  <c r="N44" i="13"/>
  <c r="O44" i="13"/>
  <c r="P44" i="13"/>
  <c r="A45" i="13"/>
  <c r="B45" i="13"/>
  <c r="D45" i="13"/>
  <c r="E45" i="13"/>
  <c r="F45" i="13"/>
  <c r="G45" i="13"/>
  <c r="H45" i="13"/>
  <c r="I45" i="13"/>
  <c r="J45" i="13"/>
  <c r="K45" i="13"/>
  <c r="L45" i="13"/>
  <c r="M45" i="13"/>
  <c r="N45" i="13"/>
  <c r="O45" i="13"/>
  <c r="P45" i="13"/>
  <c r="A46" i="13"/>
  <c r="B46" i="13"/>
  <c r="D46" i="13"/>
  <c r="E46" i="13"/>
  <c r="F46" i="13"/>
  <c r="G46" i="13"/>
  <c r="H46" i="13"/>
  <c r="I46" i="13"/>
  <c r="J46" i="13"/>
  <c r="K46" i="13"/>
  <c r="L46" i="13"/>
  <c r="M46" i="13"/>
  <c r="N46" i="13"/>
  <c r="O46" i="13"/>
  <c r="P46" i="13"/>
  <c r="A47" i="13"/>
  <c r="B47" i="13"/>
  <c r="D47" i="13"/>
  <c r="E47" i="13"/>
  <c r="F47" i="13"/>
  <c r="G47" i="13"/>
  <c r="H47" i="13"/>
  <c r="I47" i="13"/>
  <c r="J47" i="13"/>
  <c r="K47" i="13"/>
  <c r="L47" i="13"/>
  <c r="M47" i="13"/>
  <c r="N47" i="13"/>
  <c r="O47" i="13"/>
  <c r="P47" i="13"/>
  <c r="A48" i="13"/>
  <c r="B48" i="13"/>
  <c r="D48" i="13"/>
  <c r="E48" i="13"/>
  <c r="F48" i="13"/>
  <c r="G48" i="13"/>
  <c r="H48" i="13"/>
  <c r="I48" i="13"/>
  <c r="J48" i="13"/>
  <c r="K48" i="13"/>
  <c r="L48" i="13"/>
  <c r="M48" i="13"/>
  <c r="N48" i="13"/>
  <c r="O48" i="13"/>
  <c r="P48" i="13"/>
  <c r="A49" i="13"/>
  <c r="B49" i="13"/>
  <c r="D49" i="13"/>
  <c r="E49" i="13"/>
  <c r="F49" i="13"/>
  <c r="G49" i="13"/>
  <c r="H49" i="13"/>
  <c r="I49" i="13"/>
  <c r="J49" i="13"/>
  <c r="K49" i="13"/>
  <c r="L49" i="13"/>
  <c r="M49" i="13"/>
  <c r="N49" i="13"/>
  <c r="O49" i="13"/>
  <c r="P49" i="13"/>
  <c r="A50" i="13"/>
  <c r="B50" i="13"/>
  <c r="D50" i="13"/>
  <c r="E50" i="13"/>
  <c r="F50" i="13"/>
  <c r="G50" i="13"/>
  <c r="H50" i="13"/>
  <c r="I50" i="13"/>
  <c r="J50" i="13"/>
  <c r="K50" i="13"/>
  <c r="L50" i="13"/>
  <c r="M50" i="13"/>
  <c r="N50" i="13"/>
  <c r="O50" i="13"/>
  <c r="P50" i="13"/>
  <c r="A51" i="13"/>
  <c r="B51" i="13"/>
  <c r="D51" i="13"/>
  <c r="E51" i="13"/>
  <c r="F51" i="13"/>
  <c r="G51" i="13"/>
  <c r="H51" i="13"/>
  <c r="I51" i="13"/>
  <c r="J51" i="13"/>
  <c r="K51" i="13"/>
  <c r="L51" i="13"/>
  <c r="M51" i="13"/>
  <c r="N51" i="13"/>
  <c r="O51" i="13"/>
  <c r="P51" i="13"/>
  <c r="A52" i="13"/>
  <c r="B52" i="13"/>
  <c r="D52" i="13"/>
  <c r="E52" i="13"/>
  <c r="F52" i="13"/>
  <c r="G52" i="13"/>
  <c r="H52" i="13"/>
  <c r="I52" i="13"/>
  <c r="J52" i="13"/>
  <c r="K52" i="13"/>
  <c r="L52" i="13"/>
  <c r="M52" i="13"/>
  <c r="N52" i="13"/>
  <c r="O52" i="13"/>
  <c r="P52" i="13"/>
  <c r="A53" i="13"/>
  <c r="B53" i="13"/>
  <c r="D53" i="13"/>
  <c r="E53" i="13"/>
  <c r="F53" i="13"/>
  <c r="G53" i="13"/>
  <c r="H53" i="13"/>
  <c r="I53" i="13"/>
  <c r="J53" i="13"/>
  <c r="K53" i="13"/>
  <c r="L53" i="13"/>
  <c r="M53" i="13"/>
  <c r="N53" i="13"/>
  <c r="O53" i="13"/>
  <c r="P53" i="13"/>
  <c r="A54" i="13"/>
  <c r="B54" i="13"/>
  <c r="D54" i="13"/>
  <c r="E54" i="13"/>
  <c r="F54" i="13"/>
  <c r="G54" i="13"/>
  <c r="H54" i="13"/>
  <c r="I54" i="13"/>
  <c r="J54" i="13"/>
  <c r="K54" i="13"/>
  <c r="L54" i="13"/>
  <c r="M54" i="13"/>
  <c r="N54" i="13"/>
  <c r="O54" i="13"/>
  <c r="P54" i="13"/>
  <c r="A55" i="13"/>
  <c r="B55" i="13"/>
  <c r="D55" i="13"/>
  <c r="E55" i="13"/>
  <c r="F55" i="13"/>
  <c r="G55" i="13"/>
  <c r="H55" i="13"/>
  <c r="I55" i="13"/>
  <c r="J55" i="13"/>
  <c r="K55" i="13"/>
  <c r="L55" i="13"/>
  <c r="M55" i="13"/>
  <c r="N55" i="13"/>
  <c r="O55" i="13"/>
  <c r="P55" i="13"/>
  <c r="A56" i="13"/>
  <c r="B56" i="13"/>
  <c r="D56" i="13"/>
  <c r="E56" i="13"/>
  <c r="F56" i="13"/>
  <c r="G56" i="13"/>
  <c r="H56" i="13"/>
  <c r="I56" i="13"/>
  <c r="J56" i="13"/>
  <c r="K56" i="13"/>
  <c r="L56" i="13"/>
  <c r="M56" i="13"/>
  <c r="N56" i="13"/>
  <c r="O56" i="13"/>
  <c r="P56" i="13"/>
  <c r="A57" i="13"/>
  <c r="B57" i="13"/>
  <c r="D57" i="13"/>
  <c r="E57" i="13"/>
  <c r="F57" i="13"/>
  <c r="G57" i="13"/>
  <c r="H57" i="13"/>
  <c r="I57" i="13"/>
  <c r="J57" i="13"/>
  <c r="K57" i="13"/>
  <c r="L57" i="13"/>
  <c r="M57" i="13"/>
  <c r="N57" i="13"/>
  <c r="O57" i="13"/>
  <c r="P57" i="13"/>
  <c r="A58" i="13"/>
  <c r="B58" i="13"/>
  <c r="D58" i="13"/>
  <c r="E58" i="13"/>
  <c r="F58" i="13"/>
  <c r="G58" i="13"/>
  <c r="H58" i="13"/>
  <c r="I58" i="13"/>
  <c r="J58" i="13"/>
  <c r="K58" i="13"/>
  <c r="L58" i="13"/>
  <c r="M58" i="13"/>
  <c r="N58" i="13"/>
  <c r="O58" i="13"/>
  <c r="P58" i="13"/>
  <c r="A59" i="13"/>
  <c r="B59" i="13"/>
  <c r="D59" i="13"/>
  <c r="E59" i="13"/>
  <c r="F59" i="13"/>
  <c r="G59" i="13"/>
  <c r="H59" i="13"/>
  <c r="I59" i="13"/>
  <c r="J59" i="13"/>
  <c r="K59" i="13"/>
  <c r="L59" i="13"/>
  <c r="M59" i="13"/>
  <c r="N59" i="13"/>
  <c r="O59" i="13"/>
  <c r="P59" i="13"/>
  <c r="A60" i="13"/>
  <c r="B60" i="13"/>
  <c r="D60" i="13"/>
  <c r="E60" i="13"/>
  <c r="F60" i="13"/>
  <c r="G60" i="13"/>
  <c r="H60" i="13"/>
  <c r="I60" i="13"/>
  <c r="J60" i="13"/>
  <c r="K60" i="13"/>
  <c r="L60" i="13"/>
  <c r="M60" i="13"/>
  <c r="N60" i="13"/>
  <c r="O60" i="13"/>
  <c r="P60" i="13"/>
  <c r="A61" i="13"/>
  <c r="B61" i="13"/>
  <c r="D61" i="13"/>
  <c r="E61" i="13"/>
  <c r="F61" i="13"/>
  <c r="G61" i="13"/>
  <c r="H61" i="13"/>
  <c r="I61" i="13"/>
  <c r="J61" i="13"/>
  <c r="K61" i="13"/>
  <c r="L61" i="13"/>
  <c r="M61" i="13"/>
  <c r="N61" i="13"/>
  <c r="O61" i="13"/>
  <c r="P61" i="13"/>
  <c r="A62" i="13"/>
  <c r="B62" i="13"/>
  <c r="D62" i="13"/>
  <c r="E62" i="13"/>
  <c r="F62" i="13"/>
  <c r="G62" i="13"/>
  <c r="H62" i="13"/>
  <c r="I62" i="13"/>
  <c r="J62" i="13"/>
  <c r="K62" i="13"/>
  <c r="L62" i="13"/>
  <c r="M62" i="13"/>
  <c r="N62" i="13"/>
  <c r="O62" i="13"/>
  <c r="P62" i="13"/>
  <c r="A63" i="13"/>
  <c r="B63" i="13"/>
  <c r="D63" i="13"/>
  <c r="E63" i="13"/>
  <c r="F63" i="13"/>
  <c r="G63" i="13"/>
  <c r="H63" i="13"/>
  <c r="I63" i="13"/>
  <c r="J63" i="13"/>
  <c r="K63" i="13"/>
  <c r="L63" i="13"/>
  <c r="M63" i="13"/>
  <c r="N63" i="13"/>
  <c r="O63" i="13"/>
  <c r="P63" i="13"/>
  <c r="A64" i="13"/>
  <c r="B64" i="13"/>
  <c r="D64" i="13"/>
  <c r="E64" i="13"/>
  <c r="F64" i="13"/>
  <c r="G64" i="13"/>
  <c r="H64" i="13"/>
  <c r="I64" i="13"/>
  <c r="J64" i="13"/>
  <c r="K64" i="13"/>
  <c r="L64" i="13"/>
  <c r="M64" i="13"/>
  <c r="N64" i="13"/>
  <c r="O64" i="13"/>
  <c r="P64" i="13"/>
  <c r="A65" i="13"/>
  <c r="B65" i="13"/>
  <c r="D65" i="13"/>
  <c r="E65" i="13"/>
  <c r="F65" i="13"/>
  <c r="G65" i="13"/>
  <c r="H65" i="13"/>
  <c r="I65" i="13"/>
  <c r="J65" i="13"/>
  <c r="K65" i="13"/>
  <c r="L65" i="13"/>
  <c r="M65" i="13"/>
  <c r="N65" i="13"/>
  <c r="O65" i="13"/>
  <c r="P65" i="13"/>
  <c r="A66" i="13"/>
  <c r="B66" i="13"/>
  <c r="D66" i="13"/>
  <c r="E66" i="13"/>
  <c r="F66" i="13"/>
  <c r="G66" i="13"/>
  <c r="H66" i="13"/>
  <c r="I66" i="13"/>
  <c r="J66" i="13"/>
  <c r="K66" i="13"/>
  <c r="L66" i="13"/>
  <c r="M66" i="13"/>
  <c r="N66" i="13"/>
  <c r="O66" i="13"/>
  <c r="P66" i="13"/>
  <c r="A67" i="13"/>
  <c r="B67" i="13"/>
  <c r="D67" i="13"/>
  <c r="E67" i="13"/>
  <c r="F67" i="13"/>
  <c r="G67" i="13"/>
  <c r="H67" i="13"/>
  <c r="I67" i="13"/>
  <c r="J67" i="13"/>
  <c r="K67" i="13"/>
  <c r="L67" i="13"/>
  <c r="M67" i="13"/>
  <c r="N67" i="13"/>
  <c r="O67" i="13"/>
  <c r="P67" i="13"/>
  <c r="A68" i="13"/>
  <c r="B68" i="13"/>
  <c r="D68" i="13"/>
  <c r="E68" i="13"/>
  <c r="F68" i="13"/>
  <c r="G68" i="13"/>
  <c r="H68" i="13"/>
  <c r="I68" i="13"/>
  <c r="J68" i="13"/>
  <c r="K68" i="13"/>
  <c r="L68" i="13"/>
  <c r="M68" i="13"/>
  <c r="N68" i="13"/>
  <c r="O68" i="13"/>
  <c r="P68" i="13"/>
  <c r="A69" i="13"/>
  <c r="B69" i="13"/>
  <c r="D69" i="13"/>
  <c r="E69" i="13"/>
  <c r="F69" i="13"/>
  <c r="G69" i="13"/>
  <c r="H69" i="13"/>
  <c r="I69" i="13"/>
  <c r="J69" i="13"/>
  <c r="K69" i="13"/>
  <c r="L69" i="13"/>
  <c r="M69" i="13"/>
  <c r="N69" i="13"/>
  <c r="O69" i="13"/>
  <c r="P69" i="13"/>
  <c r="A70" i="13"/>
  <c r="B70" i="13"/>
  <c r="D70" i="13"/>
  <c r="E70" i="13"/>
  <c r="F70" i="13"/>
  <c r="G70" i="13"/>
  <c r="H70" i="13"/>
  <c r="I70" i="13"/>
  <c r="J70" i="13"/>
  <c r="K70" i="13"/>
  <c r="L70" i="13"/>
  <c r="M70" i="13"/>
  <c r="N70" i="13"/>
  <c r="O70" i="13"/>
  <c r="P70" i="13"/>
  <c r="A71" i="13"/>
  <c r="B71" i="13"/>
  <c r="D71" i="13"/>
  <c r="E71" i="13"/>
  <c r="F71" i="13"/>
  <c r="G71" i="13"/>
  <c r="H71" i="13"/>
  <c r="I71" i="13"/>
  <c r="J71" i="13"/>
  <c r="K71" i="13"/>
  <c r="L71" i="13"/>
  <c r="M71" i="13"/>
  <c r="N71" i="13"/>
  <c r="O71" i="13"/>
  <c r="P71" i="13"/>
  <c r="A72" i="13"/>
  <c r="B72" i="13"/>
  <c r="D72" i="13"/>
  <c r="E72" i="13"/>
  <c r="F72" i="13"/>
  <c r="G72" i="13"/>
  <c r="H72" i="13"/>
  <c r="I72" i="13"/>
  <c r="J72" i="13"/>
  <c r="K72" i="13"/>
  <c r="L72" i="13"/>
  <c r="M72" i="13"/>
  <c r="N72" i="13"/>
  <c r="O72" i="13"/>
  <c r="P72" i="13"/>
  <c r="A73" i="13"/>
  <c r="B73" i="13"/>
  <c r="D73" i="13"/>
  <c r="E73" i="13"/>
  <c r="F73" i="13"/>
  <c r="G73" i="13"/>
  <c r="H73" i="13"/>
  <c r="I73" i="13"/>
  <c r="J73" i="13"/>
  <c r="K73" i="13"/>
  <c r="L73" i="13"/>
  <c r="M73" i="13"/>
  <c r="N73" i="13"/>
  <c r="O73" i="13"/>
  <c r="P73" i="13"/>
  <c r="A74" i="13"/>
  <c r="B74" i="13"/>
  <c r="D74" i="13"/>
  <c r="E74" i="13"/>
  <c r="F74" i="13"/>
  <c r="G74" i="13"/>
  <c r="H74" i="13"/>
  <c r="I74" i="13"/>
  <c r="J74" i="13"/>
  <c r="K74" i="13"/>
  <c r="L74" i="13"/>
  <c r="M74" i="13"/>
  <c r="N74" i="13"/>
  <c r="O74" i="13"/>
  <c r="P74" i="13"/>
  <c r="A75" i="13"/>
  <c r="B75" i="13"/>
  <c r="D75" i="13"/>
  <c r="E75" i="13"/>
  <c r="F75" i="13"/>
  <c r="G75" i="13"/>
  <c r="H75" i="13"/>
  <c r="I75" i="13"/>
  <c r="J75" i="13"/>
  <c r="K75" i="13"/>
  <c r="L75" i="13"/>
  <c r="M75" i="13"/>
  <c r="N75" i="13"/>
  <c r="O75" i="13"/>
  <c r="P75" i="13"/>
  <c r="A76" i="13"/>
  <c r="B76" i="13"/>
  <c r="D76" i="13"/>
  <c r="E76" i="13"/>
  <c r="F76" i="13"/>
  <c r="G76" i="13"/>
  <c r="H76" i="13"/>
  <c r="I76" i="13"/>
  <c r="J76" i="13"/>
  <c r="K76" i="13"/>
  <c r="L76" i="13"/>
  <c r="M76" i="13"/>
  <c r="N76" i="13"/>
  <c r="O76" i="13"/>
  <c r="P76" i="13"/>
  <c r="A77" i="13"/>
  <c r="B77" i="13"/>
  <c r="D77" i="13"/>
  <c r="E77" i="13"/>
  <c r="F77" i="13"/>
  <c r="G77" i="13"/>
  <c r="H77" i="13"/>
  <c r="I77" i="13"/>
  <c r="J77" i="13"/>
  <c r="K77" i="13"/>
  <c r="L77" i="13"/>
  <c r="M77" i="13"/>
  <c r="N77" i="13"/>
  <c r="O77" i="13"/>
  <c r="P77" i="13"/>
  <c r="A78" i="13"/>
  <c r="B78" i="13"/>
  <c r="D78" i="13"/>
  <c r="E78" i="13"/>
  <c r="F78" i="13"/>
  <c r="G78" i="13"/>
  <c r="H78" i="13"/>
  <c r="I78" i="13"/>
  <c r="J78" i="13"/>
  <c r="K78" i="13"/>
  <c r="L78" i="13"/>
  <c r="M78" i="13"/>
  <c r="N78" i="13"/>
  <c r="O78" i="13"/>
  <c r="P78" i="13"/>
  <c r="A79" i="13"/>
  <c r="B79" i="13"/>
  <c r="D79" i="13"/>
  <c r="E79" i="13"/>
  <c r="F79" i="13"/>
  <c r="G79" i="13"/>
  <c r="H79" i="13"/>
  <c r="I79" i="13"/>
  <c r="J79" i="13"/>
  <c r="K79" i="13"/>
  <c r="L79" i="13"/>
  <c r="M79" i="13"/>
  <c r="N79" i="13"/>
  <c r="O79" i="13"/>
  <c r="P79" i="13"/>
  <c r="A80" i="13"/>
  <c r="B80" i="13"/>
  <c r="D80" i="13"/>
  <c r="E80" i="13"/>
  <c r="F80" i="13"/>
  <c r="G80" i="13"/>
  <c r="H80" i="13"/>
  <c r="I80" i="13"/>
  <c r="J80" i="13"/>
  <c r="K80" i="13"/>
  <c r="L80" i="13"/>
  <c r="M80" i="13"/>
  <c r="N80" i="13"/>
  <c r="O80" i="13"/>
  <c r="P80" i="13"/>
  <c r="A81" i="13"/>
  <c r="B81" i="13"/>
  <c r="D81" i="13"/>
  <c r="E81" i="13"/>
  <c r="F81" i="13"/>
  <c r="G81" i="13"/>
  <c r="H81" i="13"/>
  <c r="I81" i="13"/>
  <c r="J81" i="13"/>
  <c r="K81" i="13"/>
  <c r="L81" i="13"/>
  <c r="M81" i="13"/>
  <c r="N81" i="13"/>
  <c r="O81" i="13"/>
  <c r="P81" i="13"/>
  <c r="A82" i="13"/>
  <c r="B82" i="13"/>
  <c r="D82" i="13"/>
  <c r="E82" i="13"/>
  <c r="F82" i="13"/>
  <c r="G82" i="13"/>
  <c r="H82" i="13"/>
  <c r="I82" i="13"/>
  <c r="J82" i="13"/>
  <c r="K82" i="13"/>
  <c r="L82" i="13"/>
  <c r="M82" i="13"/>
  <c r="N82" i="13"/>
  <c r="O82" i="13"/>
  <c r="P82" i="13"/>
  <c r="A83" i="13"/>
  <c r="B83" i="13"/>
  <c r="D83" i="13"/>
  <c r="E83" i="13"/>
  <c r="F83" i="13"/>
  <c r="G83" i="13"/>
  <c r="H83" i="13"/>
  <c r="I83" i="13"/>
  <c r="J83" i="13"/>
  <c r="K83" i="13"/>
  <c r="L83" i="13"/>
  <c r="M83" i="13"/>
  <c r="N83" i="13"/>
  <c r="O83" i="13"/>
  <c r="P83" i="13"/>
  <c r="A84" i="13"/>
  <c r="B84" i="13"/>
  <c r="D84" i="13"/>
  <c r="E84" i="13"/>
  <c r="F84" i="13"/>
  <c r="G84" i="13"/>
  <c r="H84" i="13"/>
  <c r="I84" i="13"/>
  <c r="J84" i="13"/>
  <c r="K84" i="13"/>
  <c r="L84" i="13"/>
  <c r="M84" i="13"/>
  <c r="N84" i="13"/>
  <c r="O84" i="13"/>
  <c r="P84" i="13"/>
  <c r="A85" i="13"/>
  <c r="B85" i="13"/>
  <c r="D85" i="13"/>
  <c r="E85" i="13"/>
  <c r="F85" i="13"/>
  <c r="G85" i="13"/>
  <c r="H85" i="13"/>
  <c r="I85" i="13"/>
  <c r="J85" i="13"/>
  <c r="K85" i="13"/>
  <c r="L85" i="13"/>
  <c r="M85" i="13"/>
  <c r="N85" i="13"/>
  <c r="O85" i="13"/>
  <c r="P85" i="13"/>
  <c r="A86" i="13"/>
  <c r="B86" i="13"/>
  <c r="D86" i="13"/>
  <c r="E86" i="13"/>
  <c r="F86" i="13"/>
  <c r="G86" i="13"/>
  <c r="H86" i="13"/>
  <c r="I86" i="13"/>
  <c r="J86" i="13"/>
  <c r="K86" i="13"/>
  <c r="L86" i="13"/>
  <c r="M86" i="13"/>
  <c r="N86" i="13"/>
  <c r="O86" i="13"/>
  <c r="P86" i="13"/>
  <c r="A87" i="13"/>
  <c r="B87" i="13"/>
  <c r="D87" i="13"/>
  <c r="E87" i="13"/>
  <c r="F87" i="13"/>
  <c r="G87" i="13"/>
  <c r="H87" i="13"/>
  <c r="I87" i="13"/>
  <c r="J87" i="13"/>
  <c r="K87" i="13"/>
  <c r="L87" i="13"/>
  <c r="M87" i="13"/>
  <c r="N87" i="13"/>
  <c r="O87" i="13"/>
  <c r="P87" i="13"/>
  <c r="A88" i="13"/>
  <c r="B88" i="13"/>
  <c r="D88" i="13"/>
  <c r="E88" i="13"/>
  <c r="F88" i="13"/>
  <c r="G88" i="13"/>
  <c r="H88" i="13"/>
  <c r="I88" i="13"/>
  <c r="J88" i="13"/>
  <c r="K88" i="13"/>
  <c r="L88" i="13"/>
  <c r="M88" i="13"/>
  <c r="N88" i="13"/>
  <c r="O88" i="13"/>
  <c r="P88" i="13"/>
  <c r="A89" i="13"/>
  <c r="B89" i="13"/>
  <c r="D89" i="13"/>
  <c r="E89" i="13"/>
  <c r="F89" i="13"/>
  <c r="G89" i="13"/>
  <c r="H89" i="13"/>
  <c r="I89" i="13"/>
  <c r="J89" i="13"/>
  <c r="K89" i="13"/>
  <c r="L89" i="13"/>
  <c r="M89" i="13"/>
  <c r="N89" i="13"/>
  <c r="O89" i="13"/>
  <c r="P89" i="13"/>
  <c r="A90" i="13"/>
  <c r="B90" i="13"/>
  <c r="D90" i="13"/>
  <c r="E90" i="13"/>
  <c r="F90" i="13"/>
  <c r="G90" i="13"/>
  <c r="H90" i="13"/>
  <c r="I90" i="13"/>
  <c r="J90" i="13"/>
  <c r="K90" i="13"/>
  <c r="L90" i="13"/>
  <c r="M90" i="13"/>
  <c r="N90" i="13"/>
  <c r="O90" i="13"/>
  <c r="P90" i="13"/>
  <c r="A91" i="13"/>
  <c r="B91" i="13"/>
  <c r="D91" i="13"/>
  <c r="E91" i="13"/>
  <c r="F91" i="13"/>
  <c r="G91" i="13"/>
  <c r="H91" i="13"/>
  <c r="I91" i="13"/>
  <c r="J91" i="13"/>
  <c r="K91" i="13"/>
  <c r="L91" i="13"/>
  <c r="M91" i="13"/>
  <c r="N91" i="13"/>
  <c r="O91" i="13"/>
  <c r="P91" i="13"/>
  <c r="A92" i="13"/>
  <c r="B92" i="13"/>
  <c r="D92" i="13"/>
  <c r="E92" i="13"/>
  <c r="F92" i="13"/>
  <c r="G92" i="13"/>
  <c r="H92" i="13"/>
  <c r="I92" i="13"/>
  <c r="J92" i="13"/>
  <c r="K92" i="13"/>
  <c r="L92" i="13"/>
  <c r="M92" i="13"/>
  <c r="N92" i="13"/>
  <c r="O92" i="13"/>
  <c r="P92" i="13"/>
  <c r="A93" i="13"/>
  <c r="B93" i="13"/>
  <c r="D93" i="13"/>
  <c r="E93" i="13"/>
  <c r="F93" i="13"/>
  <c r="G93" i="13"/>
  <c r="H93" i="13"/>
  <c r="I93" i="13"/>
  <c r="J93" i="13"/>
  <c r="K93" i="13"/>
  <c r="L93" i="13"/>
  <c r="M93" i="13"/>
  <c r="N93" i="13"/>
  <c r="O93" i="13"/>
  <c r="P93" i="13"/>
  <c r="A94" i="13"/>
  <c r="B94" i="13"/>
  <c r="D94" i="13"/>
  <c r="E94" i="13"/>
  <c r="F94" i="13"/>
  <c r="G94" i="13"/>
  <c r="H94" i="13"/>
  <c r="I94" i="13"/>
  <c r="J94" i="13"/>
  <c r="K94" i="13"/>
  <c r="L94" i="13"/>
  <c r="M94" i="13"/>
  <c r="N94" i="13"/>
  <c r="O94" i="13"/>
  <c r="P94" i="13"/>
  <c r="A95" i="13"/>
  <c r="B95" i="13"/>
  <c r="D95" i="13"/>
  <c r="E95" i="13"/>
  <c r="F95" i="13"/>
  <c r="G95" i="13"/>
  <c r="H95" i="13"/>
  <c r="I95" i="13"/>
  <c r="J95" i="13"/>
  <c r="K95" i="13"/>
  <c r="L95" i="13"/>
  <c r="M95" i="13"/>
  <c r="N95" i="13"/>
  <c r="O95" i="13"/>
  <c r="P95" i="13"/>
  <c r="A96" i="13"/>
  <c r="B96" i="13"/>
  <c r="D96" i="13"/>
  <c r="E96" i="13"/>
  <c r="F96" i="13"/>
  <c r="G96" i="13"/>
  <c r="H96" i="13"/>
  <c r="I96" i="13"/>
  <c r="J96" i="13"/>
  <c r="K96" i="13"/>
  <c r="L96" i="13"/>
  <c r="M96" i="13"/>
  <c r="N96" i="13"/>
  <c r="O96" i="13"/>
  <c r="P96" i="13"/>
  <c r="A97" i="13"/>
  <c r="B97" i="13"/>
  <c r="D97" i="13"/>
  <c r="E97" i="13"/>
  <c r="F97" i="13"/>
  <c r="G97" i="13"/>
  <c r="H97" i="13"/>
  <c r="I97" i="13"/>
  <c r="J97" i="13"/>
  <c r="K97" i="13"/>
  <c r="L97" i="13"/>
  <c r="M97" i="13"/>
  <c r="N97" i="13"/>
  <c r="O97" i="13"/>
  <c r="P97" i="13"/>
  <c r="A98" i="13"/>
  <c r="B98" i="13"/>
  <c r="D98" i="13"/>
  <c r="E98" i="13"/>
  <c r="F98" i="13"/>
  <c r="G98" i="13"/>
  <c r="H98" i="13"/>
  <c r="I98" i="13"/>
  <c r="J98" i="13"/>
  <c r="K98" i="13"/>
  <c r="L98" i="13"/>
  <c r="M98" i="13"/>
  <c r="N98" i="13"/>
  <c r="O98" i="13"/>
  <c r="P98" i="13"/>
  <c r="A99" i="13"/>
  <c r="B99" i="13"/>
  <c r="D99" i="13"/>
  <c r="E99" i="13"/>
  <c r="F99" i="13"/>
  <c r="G99" i="13"/>
  <c r="H99" i="13"/>
  <c r="I99" i="13"/>
  <c r="J99" i="13"/>
  <c r="K99" i="13"/>
  <c r="L99" i="13"/>
  <c r="M99" i="13"/>
  <c r="N99" i="13"/>
  <c r="O99" i="13"/>
  <c r="P99" i="13"/>
  <c r="A100" i="13"/>
  <c r="B100" i="13"/>
  <c r="D100" i="13"/>
  <c r="E100" i="13"/>
  <c r="F100" i="13"/>
  <c r="G100" i="13"/>
  <c r="H100" i="13"/>
  <c r="I100" i="13"/>
  <c r="J100" i="13"/>
  <c r="K100" i="13"/>
  <c r="L100" i="13"/>
  <c r="M100" i="13"/>
  <c r="N100" i="13"/>
  <c r="O100" i="13"/>
  <c r="P100" i="13"/>
  <c r="A101" i="13"/>
  <c r="B101" i="13"/>
  <c r="D101" i="13"/>
  <c r="E101" i="13"/>
  <c r="F101" i="13"/>
  <c r="G101" i="13"/>
  <c r="H101" i="13"/>
  <c r="I101" i="13"/>
  <c r="J101" i="13"/>
  <c r="K101" i="13"/>
  <c r="L101" i="13"/>
  <c r="M101" i="13"/>
  <c r="N101" i="13"/>
  <c r="O101" i="13"/>
  <c r="P101" i="13"/>
  <c r="A102" i="13"/>
  <c r="B102" i="13"/>
  <c r="D102" i="13"/>
  <c r="E102" i="13"/>
  <c r="F102" i="13"/>
  <c r="G102" i="13"/>
  <c r="H102" i="13"/>
  <c r="I102" i="13"/>
  <c r="J102" i="13"/>
  <c r="K102" i="13"/>
  <c r="L102" i="13"/>
  <c r="M102" i="13"/>
  <c r="N102" i="13"/>
  <c r="O102" i="13"/>
  <c r="P102" i="13"/>
  <c r="A103" i="13"/>
  <c r="B103" i="13"/>
  <c r="D103" i="13"/>
  <c r="E103" i="13"/>
  <c r="F103" i="13"/>
  <c r="G103" i="13"/>
  <c r="H103" i="13"/>
  <c r="I103" i="13"/>
  <c r="J103" i="13"/>
  <c r="K103" i="13"/>
  <c r="L103" i="13"/>
  <c r="M103" i="13"/>
  <c r="N103" i="13"/>
  <c r="O103" i="13"/>
  <c r="P103" i="13"/>
  <c r="A104" i="13"/>
  <c r="B104" i="13"/>
  <c r="D104" i="13"/>
  <c r="E104" i="13"/>
  <c r="F104" i="13"/>
  <c r="G104" i="13"/>
  <c r="H104" i="13"/>
  <c r="I104" i="13"/>
  <c r="J104" i="13"/>
  <c r="K104" i="13"/>
  <c r="L104" i="13"/>
  <c r="M104" i="13"/>
  <c r="N104" i="13"/>
  <c r="O104" i="13"/>
  <c r="P104" i="13"/>
  <c r="A105" i="13"/>
  <c r="B105" i="13"/>
  <c r="D105" i="13"/>
  <c r="E105" i="13"/>
  <c r="F105" i="13"/>
  <c r="G105" i="13"/>
  <c r="H105" i="13"/>
  <c r="I105" i="13"/>
  <c r="J105" i="13"/>
  <c r="K105" i="13"/>
  <c r="L105" i="13"/>
  <c r="M105" i="13"/>
  <c r="N105" i="13"/>
  <c r="O105" i="13"/>
  <c r="P105" i="13"/>
  <c r="A106" i="13"/>
  <c r="B106" i="13"/>
  <c r="D106" i="13"/>
  <c r="E106" i="13"/>
  <c r="F106" i="13"/>
  <c r="G106" i="13"/>
  <c r="H106" i="13"/>
  <c r="I106" i="13"/>
  <c r="J106" i="13"/>
  <c r="K106" i="13"/>
  <c r="L106" i="13"/>
  <c r="M106" i="13"/>
  <c r="N106" i="13"/>
  <c r="O106" i="13"/>
  <c r="P106" i="13"/>
  <c r="A107" i="13"/>
  <c r="B107" i="13"/>
  <c r="D107" i="13"/>
  <c r="E107" i="13"/>
  <c r="F107" i="13"/>
  <c r="G107" i="13"/>
  <c r="H107" i="13"/>
  <c r="I107" i="13"/>
  <c r="J107" i="13"/>
  <c r="K107" i="13"/>
  <c r="L107" i="13"/>
  <c r="M107" i="13"/>
  <c r="N107" i="13"/>
  <c r="O107" i="13"/>
  <c r="P107" i="13"/>
  <c r="A108" i="13"/>
  <c r="B108" i="13"/>
  <c r="D108" i="13"/>
  <c r="E108" i="13"/>
  <c r="F108" i="13"/>
  <c r="G108" i="13"/>
  <c r="H108" i="13"/>
  <c r="I108" i="13"/>
  <c r="J108" i="13"/>
  <c r="K108" i="13"/>
  <c r="L108" i="13"/>
  <c r="M108" i="13"/>
  <c r="N108" i="13"/>
  <c r="O108" i="13"/>
  <c r="P108" i="13"/>
  <c r="A109" i="13"/>
  <c r="B109" i="13"/>
  <c r="D109" i="13"/>
  <c r="E109" i="13"/>
  <c r="F109" i="13"/>
  <c r="G109" i="13"/>
  <c r="H109" i="13"/>
  <c r="I109" i="13"/>
  <c r="J109" i="13"/>
  <c r="K109" i="13"/>
  <c r="L109" i="13"/>
  <c r="M109" i="13"/>
  <c r="N109" i="13"/>
  <c r="O109" i="13"/>
  <c r="P109" i="13"/>
  <c r="A110" i="13"/>
  <c r="B110" i="13"/>
  <c r="D110" i="13"/>
  <c r="E110" i="13"/>
  <c r="F110" i="13"/>
  <c r="G110" i="13"/>
  <c r="H110" i="13"/>
  <c r="I110" i="13"/>
  <c r="J110" i="13"/>
  <c r="K110" i="13"/>
  <c r="L110" i="13"/>
  <c r="M110" i="13"/>
  <c r="N110" i="13"/>
  <c r="O110" i="13"/>
  <c r="P110" i="13"/>
  <c r="A111" i="13"/>
  <c r="B111" i="13"/>
  <c r="D111" i="13"/>
  <c r="E111" i="13"/>
  <c r="F111" i="13"/>
  <c r="G111" i="13"/>
  <c r="H111" i="13"/>
  <c r="I111" i="13"/>
  <c r="J111" i="13"/>
  <c r="K111" i="13"/>
  <c r="L111" i="13"/>
  <c r="M111" i="13"/>
  <c r="N111" i="13"/>
  <c r="O111" i="13"/>
  <c r="P111" i="13"/>
  <c r="A112" i="13"/>
  <c r="B112" i="13"/>
  <c r="D112" i="13"/>
  <c r="E112" i="13"/>
  <c r="F112" i="13"/>
  <c r="G112" i="13"/>
  <c r="H112" i="13"/>
  <c r="I112" i="13"/>
  <c r="J112" i="13"/>
  <c r="K112" i="13"/>
  <c r="L112" i="13"/>
  <c r="M112" i="13"/>
  <c r="N112" i="13"/>
  <c r="O112" i="13"/>
  <c r="P112" i="13"/>
  <c r="A113" i="13"/>
  <c r="B113" i="13"/>
  <c r="D113" i="13"/>
  <c r="E113" i="13"/>
  <c r="F113" i="13"/>
  <c r="G113" i="13"/>
  <c r="H113" i="13"/>
  <c r="I113" i="13"/>
  <c r="J113" i="13"/>
  <c r="K113" i="13"/>
  <c r="L113" i="13"/>
  <c r="M113" i="13"/>
  <c r="N113" i="13"/>
  <c r="O113" i="13"/>
  <c r="P113" i="13"/>
  <c r="A114" i="13"/>
  <c r="B114" i="13"/>
  <c r="D114" i="13"/>
  <c r="E114" i="13"/>
  <c r="F114" i="13"/>
  <c r="G114" i="13"/>
  <c r="H114" i="13"/>
  <c r="I114" i="13"/>
  <c r="J114" i="13"/>
  <c r="K114" i="13"/>
  <c r="L114" i="13"/>
  <c r="M114" i="13"/>
  <c r="N114" i="13"/>
  <c r="O114" i="13"/>
  <c r="P114" i="13"/>
  <c r="A115" i="13"/>
  <c r="B115" i="13"/>
  <c r="D115" i="13"/>
  <c r="E115" i="13"/>
  <c r="F115" i="13"/>
  <c r="G115" i="13"/>
  <c r="H115" i="13"/>
  <c r="I115" i="13"/>
  <c r="J115" i="13"/>
  <c r="K115" i="13"/>
  <c r="L115" i="13"/>
  <c r="M115" i="13"/>
  <c r="N115" i="13"/>
  <c r="O115" i="13"/>
  <c r="P115" i="13"/>
  <c r="A116" i="13"/>
  <c r="B116" i="13"/>
  <c r="D116" i="13"/>
  <c r="E116" i="13"/>
  <c r="F116" i="13"/>
  <c r="G116" i="13"/>
  <c r="H116" i="13"/>
  <c r="I116" i="13"/>
  <c r="J116" i="13"/>
  <c r="K116" i="13"/>
  <c r="L116" i="13"/>
  <c r="M116" i="13"/>
  <c r="N116" i="13"/>
  <c r="O116" i="13"/>
  <c r="P116" i="13"/>
  <c r="A117" i="13"/>
  <c r="B117" i="13"/>
  <c r="D117" i="13"/>
  <c r="E117" i="13"/>
  <c r="F117" i="13"/>
  <c r="G117" i="13"/>
  <c r="H117" i="13"/>
  <c r="I117" i="13"/>
  <c r="J117" i="13"/>
  <c r="K117" i="13"/>
  <c r="L117" i="13"/>
  <c r="M117" i="13"/>
  <c r="N117" i="13"/>
  <c r="O117" i="13"/>
  <c r="P117" i="13"/>
  <c r="A118" i="13"/>
  <c r="B118" i="13"/>
  <c r="D118" i="13"/>
  <c r="E118" i="13"/>
  <c r="F118" i="13"/>
  <c r="G118" i="13"/>
  <c r="H118" i="13"/>
  <c r="I118" i="13"/>
  <c r="J118" i="13"/>
  <c r="K118" i="13"/>
  <c r="L118" i="13"/>
  <c r="M118" i="13"/>
  <c r="N118" i="13"/>
  <c r="O118" i="13"/>
  <c r="P118" i="13"/>
  <c r="A119" i="13"/>
  <c r="B119" i="13"/>
  <c r="D119" i="13"/>
  <c r="E119" i="13"/>
  <c r="F119" i="13"/>
  <c r="G119" i="13"/>
  <c r="H119" i="13"/>
  <c r="I119" i="13"/>
  <c r="J119" i="13"/>
  <c r="K119" i="13"/>
  <c r="L119" i="13"/>
  <c r="M119" i="13"/>
  <c r="N119" i="13"/>
  <c r="O119" i="13"/>
  <c r="P119" i="13"/>
  <c r="A120" i="13"/>
  <c r="B120" i="13"/>
  <c r="D120" i="13"/>
  <c r="E120" i="13"/>
  <c r="F120" i="13"/>
  <c r="G120" i="13"/>
  <c r="H120" i="13"/>
  <c r="I120" i="13"/>
  <c r="J120" i="13"/>
  <c r="K120" i="13"/>
  <c r="L120" i="13"/>
  <c r="M120" i="13"/>
  <c r="N120" i="13"/>
  <c r="O120" i="13"/>
  <c r="P120" i="13"/>
  <c r="A121" i="13"/>
  <c r="B121" i="13"/>
  <c r="D121" i="13"/>
  <c r="E121" i="13"/>
  <c r="F121" i="13"/>
  <c r="G121" i="13"/>
  <c r="H121" i="13"/>
  <c r="I121" i="13"/>
  <c r="J121" i="13"/>
  <c r="K121" i="13"/>
  <c r="L121" i="13"/>
  <c r="M121" i="13"/>
  <c r="N121" i="13"/>
  <c r="O121" i="13"/>
  <c r="P121" i="13"/>
  <c r="A122" i="13"/>
  <c r="B122" i="13"/>
  <c r="D122" i="13"/>
  <c r="E122" i="13"/>
  <c r="F122" i="13"/>
  <c r="G122" i="13"/>
  <c r="H122" i="13"/>
  <c r="I122" i="13"/>
  <c r="J122" i="13"/>
  <c r="K122" i="13"/>
  <c r="L122" i="13"/>
  <c r="M122" i="13"/>
  <c r="N122" i="13"/>
  <c r="O122" i="13"/>
  <c r="P122" i="13"/>
  <c r="A123" i="13"/>
  <c r="B123" i="13"/>
  <c r="D123" i="13"/>
  <c r="E123" i="13"/>
  <c r="F123" i="13"/>
  <c r="G123" i="13"/>
  <c r="H123" i="13"/>
  <c r="I123" i="13"/>
  <c r="J123" i="13"/>
  <c r="K123" i="13"/>
  <c r="L123" i="13"/>
  <c r="M123" i="13"/>
  <c r="N123" i="13"/>
  <c r="O123" i="13"/>
  <c r="P123" i="13"/>
  <c r="A124" i="13"/>
  <c r="B124" i="13"/>
  <c r="D124" i="13"/>
  <c r="E124" i="13"/>
  <c r="F124" i="13"/>
  <c r="G124" i="13"/>
  <c r="H124" i="13"/>
  <c r="I124" i="13"/>
  <c r="J124" i="13"/>
  <c r="K124" i="13"/>
  <c r="L124" i="13"/>
  <c r="M124" i="13"/>
  <c r="N124" i="13"/>
  <c r="O124" i="13"/>
  <c r="P124" i="13"/>
  <c r="A125" i="13"/>
  <c r="B125" i="13"/>
  <c r="D125" i="13"/>
  <c r="E125" i="13"/>
  <c r="F125" i="13"/>
  <c r="G125" i="13"/>
  <c r="H125" i="13"/>
  <c r="I125" i="13"/>
  <c r="J125" i="13"/>
  <c r="K125" i="13"/>
  <c r="L125" i="13"/>
  <c r="M125" i="13"/>
  <c r="N125" i="13"/>
  <c r="O125" i="13"/>
  <c r="P125" i="13"/>
  <c r="A126" i="13"/>
  <c r="B126" i="13"/>
  <c r="D126" i="13"/>
  <c r="E126" i="13"/>
  <c r="F126" i="13"/>
  <c r="G126" i="13"/>
  <c r="H126" i="13"/>
  <c r="I126" i="13"/>
  <c r="J126" i="13"/>
  <c r="K126" i="13"/>
  <c r="L126" i="13"/>
  <c r="M126" i="13"/>
  <c r="N126" i="13"/>
  <c r="O126" i="13"/>
  <c r="P126" i="13"/>
  <c r="A127" i="13"/>
  <c r="B127" i="13"/>
  <c r="D127" i="13"/>
  <c r="E127" i="13"/>
  <c r="F127" i="13"/>
  <c r="G127" i="13"/>
  <c r="H127" i="13"/>
  <c r="I127" i="13"/>
  <c r="J127" i="13"/>
  <c r="K127" i="13"/>
  <c r="L127" i="13"/>
  <c r="M127" i="13"/>
  <c r="N127" i="13"/>
  <c r="O127" i="13"/>
  <c r="P127" i="13"/>
  <c r="A128" i="13"/>
  <c r="B128" i="13"/>
  <c r="D128" i="13"/>
  <c r="E128" i="13"/>
  <c r="F128" i="13"/>
  <c r="G128" i="13"/>
  <c r="H128" i="13"/>
  <c r="I128" i="13"/>
  <c r="J128" i="13"/>
  <c r="K128" i="13"/>
  <c r="L128" i="13"/>
  <c r="M128" i="13"/>
  <c r="N128" i="13"/>
  <c r="O128" i="13"/>
  <c r="P128" i="13"/>
  <c r="A129" i="13"/>
  <c r="B129" i="13"/>
  <c r="D129" i="13"/>
  <c r="E129" i="13"/>
  <c r="F129" i="13"/>
  <c r="G129" i="13"/>
  <c r="H129" i="13"/>
  <c r="I129" i="13"/>
  <c r="J129" i="13"/>
  <c r="K129" i="13"/>
  <c r="L129" i="13"/>
  <c r="M129" i="13"/>
  <c r="N129" i="13"/>
  <c r="O129" i="13"/>
  <c r="P129" i="13"/>
  <c r="A130" i="13"/>
  <c r="B130" i="13"/>
  <c r="D130" i="13"/>
  <c r="E130" i="13"/>
  <c r="F130" i="13"/>
  <c r="G130" i="13"/>
  <c r="H130" i="13"/>
  <c r="I130" i="13"/>
  <c r="J130" i="13"/>
  <c r="K130" i="13"/>
  <c r="L130" i="13"/>
  <c r="M130" i="13"/>
  <c r="N130" i="13"/>
  <c r="O130" i="13"/>
  <c r="P130" i="13"/>
  <c r="A131" i="13"/>
  <c r="B131" i="13"/>
  <c r="D131" i="13"/>
  <c r="E131" i="13"/>
  <c r="F131" i="13"/>
  <c r="G131" i="13"/>
  <c r="H131" i="13"/>
  <c r="I131" i="13"/>
  <c r="J131" i="13"/>
  <c r="K131" i="13"/>
  <c r="L131" i="13"/>
  <c r="M131" i="13"/>
  <c r="N131" i="13"/>
  <c r="O131" i="13"/>
  <c r="P131" i="13"/>
  <c r="A132" i="13"/>
  <c r="B132" i="13"/>
  <c r="D132" i="13"/>
  <c r="E132" i="13"/>
  <c r="F132" i="13"/>
  <c r="G132" i="13"/>
  <c r="H132" i="13"/>
  <c r="I132" i="13"/>
  <c r="J132" i="13"/>
  <c r="K132" i="13"/>
  <c r="L132" i="13"/>
  <c r="M132" i="13"/>
  <c r="N132" i="13"/>
  <c r="O132" i="13"/>
  <c r="P132" i="13"/>
  <c r="A133" i="13"/>
  <c r="B133" i="13"/>
  <c r="D133" i="13"/>
  <c r="E133" i="13"/>
  <c r="F133" i="13"/>
  <c r="G133" i="13"/>
  <c r="H133" i="13"/>
  <c r="I133" i="13"/>
  <c r="J133" i="13"/>
  <c r="K133" i="13"/>
  <c r="L133" i="13"/>
  <c r="M133" i="13"/>
  <c r="N133" i="13"/>
  <c r="O133" i="13"/>
  <c r="P133" i="13"/>
  <c r="A134" i="13"/>
  <c r="B134" i="13"/>
  <c r="D134" i="13"/>
  <c r="E134" i="13"/>
  <c r="F134" i="13"/>
  <c r="G134" i="13"/>
  <c r="H134" i="13"/>
  <c r="I134" i="13"/>
  <c r="J134" i="13"/>
  <c r="K134" i="13"/>
  <c r="L134" i="13"/>
  <c r="M134" i="13"/>
  <c r="N134" i="13"/>
  <c r="O134" i="13"/>
  <c r="P134" i="13"/>
  <c r="A135" i="13"/>
  <c r="B135" i="13"/>
  <c r="D135" i="13"/>
  <c r="E135" i="13"/>
  <c r="F135" i="13"/>
  <c r="G135" i="13"/>
  <c r="H135" i="13"/>
  <c r="I135" i="13"/>
  <c r="J135" i="13"/>
  <c r="K135" i="13"/>
  <c r="L135" i="13"/>
  <c r="M135" i="13"/>
  <c r="N135" i="13"/>
  <c r="O135" i="13"/>
  <c r="P135" i="13"/>
  <c r="A136" i="13"/>
  <c r="B136" i="13"/>
  <c r="D136" i="13"/>
  <c r="E136" i="13"/>
  <c r="F136" i="13"/>
  <c r="G136" i="13"/>
  <c r="H136" i="13"/>
  <c r="I136" i="13"/>
  <c r="J136" i="13"/>
  <c r="K136" i="13"/>
  <c r="L136" i="13"/>
  <c r="M136" i="13"/>
  <c r="N136" i="13"/>
  <c r="O136" i="13"/>
  <c r="P136" i="13"/>
  <c r="A137" i="13"/>
  <c r="B137" i="13"/>
  <c r="D137" i="13"/>
  <c r="E137" i="13"/>
  <c r="F137" i="13"/>
  <c r="G137" i="13"/>
  <c r="H137" i="13"/>
  <c r="I137" i="13"/>
  <c r="J137" i="13"/>
  <c r="K137" i="13"/>
  <c r="L137" i="13"/>
  <c r="M137" i="13"/>
  <c r="N137" i="13"/>
  <c r="O137" i="13"/>
  <c r="P137" i="13"/>
  <c r="A138" i="13"/>
  <c r="B138" i="13"/>
  <c r="D138" i="13"/>
  <c r="E138" i="13"/>
  <c r="F138" i="13"/>
  <c r="G138" i="13"/>
  <c r="H138" i="13"/>
  <c r="I138" i="13"/>
  <c r="J138" i="13"/>
  <c r="K138" i="13"/>
  <c r="L138" i="13"/>
  <c r="M138" i="13"/>
  <c r="N138" i="13"/>
  <c r="O138" i="13"/>
  <c r="P138" i="13"/>
  <c r="A139" i="13"/>
  <c r="B139" i="13"/>
  <c r="D139" i="13"/>
  <c r="E139" i="13"/>
  <c r="F139" i="13"/>
  <c r="G139" i="13"/>
  <c r="H139" i="13"/>
  <c r="I139" i="13"/>
  <c r="J139" i="13"/>
  <c r="K139" i="13"/>
  <c r="L139" i="13"/>
  <c r="M139" i="13"/>
  <c r="N139" i="13"/>
  <c r="O139" i="13"/>
  <c r="P139" i="13"/>
  <c r="A140" i="13"/>
  <c r="B140" i="13"/>
  <c r="D140" i="13"/>
  <c r="E140" i="13"/>
  <c r="F140" i="13"/>
  <c r="G140" i="13"/>
  <c r="H140" i="13"/>
  <c r="I140" i="13"/>
  <c r="J140" i="13"/>
  <c r="K140" i="13"/>
  <c r="L140" i="13"/>
  <c r="M140" i="13"/>
  <c r="N140" i="13"/>
  <c r="O140" i="13"/>
  <c r="P140" i="13"/>
  <c r="A141" i="13"/>
  <c r="B141" i="13"/>
  <c r="D141" i="13"/>
  <c r="E141" i="13"/>
  <c r="F141" i="13"/>
  <c r="G141" i="13"/>
  <c r="H141" i="13"/>
  <c r="I141" i="13"/>
  <c r="J141" i="13"/>
  <c r="K141" i="13"/>
  <c r="L141" i="13"/>
  <c r="M141" i="13"/>
  <c r="N141" i="13"/>
  <c r="O141" i="13"/>
  <c r="P141" i="13"/>
  <c r="A142" i="13"/>
  <c r="B142" i="13"/>
  <c r="D142" i="13"/>
  <c r="E142" i="13"/>
  <c r="F142" i="13"/>
  <c r="G142" i="13"/>
  <c r="H142" i="13"/>
  <c r="I142" i="13"/>
  <c r="J142" i="13"/>
  <c r="K142" i="13"/>
  <c r="L142" i="13"/>
  <c r="M142" i="13"/>
  <c r="N142" i="13"/>
  <c r="O142" i="13"/>
  <c r="P142" i="13"/>
  <c r="A143" i="13"/>
  <c r="B143" i="13"/>
  <c r="D143" i="13"/>
  <c r="E143" i="13"/>
  <c r="F143" i="13"/>
  <c r="G143" i="13"/>
  <c r="H143" i="13"/>
  <c r="I143" i="13"/>
  <c r="J143" i="13"/>
  <c r="K143" i="13"/>
  <c r="L143" i="13"/>
  <c r="M143" i="13"/>
  <c r="N143" i="13"/>
  <c r="O143" i="13"/>
  <c r="P143" i="13"/>
  <c r="A144" i="13"/>
  <c r="B144" i="13"/>
  <c r="D144" i="13"/>
  <c r="E144" i="13"/>
  <c r="F144" i="13"/>
  <c r="G144" i="13"/>
  <c r="H144" i="13"/>
  <c r="I144" i="13"/>
  <c r="J144" i="13"/>
  <c r="K144" i="13"/>
  <c r="L144" i="13"/>
  <c r="M144" i="13"/>
  <c r="N144" i="13"/>
  <c r="O144" i="13"/>
  <c r="P144" i="13"/>
  <c r="A145" i="13"/>
  <c r="B145" i="13"/>
  <c r="D145" i="13"/>
  <c r="E145" i="13"/>
  <c r="F145" i="13"/>
  <c r="G145" i="13"/>
  <c r="H145" i="13"/>
  <c r="I145" i="13"/>
  <c r="J145" i="13"/>
  <c r="K145" i="13"/>
  <c r="L145" i="13"/>
  <c r="M145" i="13"/>
  <c r="N145" i="13"/>
  <c r="O145" i="13"/>
  <c r="P145" i="13"/>
  <c r="A146" i="13"/>
  <c r="B146" i="13"/>
  <c r="D146" i="13"/>
  <c r="E146" i="13"/>
  <c r="F146" i="13"/>
  <c r="G146" i="13"/>
  <c r="H146" i="13"/>
  <c r="I146" i="13"/>
  <c r="J146" i="13"/>
  <c r="K146" i="13"/>
  <c r="L146" i="13"/>
  <c r="M146" i="13"/>
  <c r="N146" i="13"/>
  <c r="O146" i="13"/>
  <c r="P146" i="13"/>
  <c r="A147" i="13"/>
  <c r="B147" i="13"/>
  <c r="D147" i="13"/>
  <c r="E147" i="13"/>
  <c r="F147" i="13"/>
  <c r="G147" i="13"/>
  <c r="H147" i="13"/>
  <c r="I147" i="13"/>
  <c r="J147" i="13"/>
  <c r="K147" i="13"/>
  <c r="L147" i="13"/>
  <c r="M147" i="13"/>
  <c r="N147" i="13"/>
  <c r="O147" i="13"/>
  <c r="P147" i="13"/>
  <c r="A148" i="13"/>
  <c r="B148" i="13"/>
  <c r="D148" i="13"/>
  <c r="E148" i="13"/>
  <c r="F148" i="13"/>
  <c r="G148" i="13"/>
  <c r="H148" i="13"/>
  <c r="I148" i="13"/>
  <c r="J148" i="13"/>
  <c r="K148" i="13"/>
  <c r="L148" i="13"/>
  <c r="M148" i="13"/>
  <c r="N148" i="13"/>
  <c r="O148" i="13"/>
  <c r="P148" i="13"/>
  <c r="A149" i="13"/>
  <c r="B149" i="13"/>
  <c r="D149" i="13"/>
  <c r="E149" i="13"/>
  <c r="F149" i="13"/>
  <c r="G149" i="13"/>
  <c r="H149" i="13"/>
  <c r="I149" i="13"/>
  <c r="J149" i="13"/>
  <c r="K149" i="13"/>
  <c r="L149" i="13"/>
  <c r="M149" i="13"/>
  <c r="N149" i="13"/>
  <c r="O149" i="13"/>
  <c r="P149" i="13"/>
  <c r="A150" i="13"/>
  <c r="B150" i="13"/>
  <c r="D150" i="13"/>
  <c r="E150" i="13"/>
  <c r="F150" i="13"/>
  <c r="G150" i="13"/>
  <c r="H150" i="13"/>
  <c r="I150" i="13"/>
  <c r="J150" i="13"/>
  <c r="K150" i="13"/>
  <c r="L150" i="13"/>
  <c r="M150" i="13"/>
  <c r="N150" i="13"/>
  <c r="O150" i="13"/>
  <c r="P150" i="13"/>
  <c r="A151" i="13"/>
  <c r="B151" i="13"/>
  <c r="D151" i="13"/>
  <c r="E151" i="13"/>
  <c r="F151" i="13"/>
  <c r="G151" i="13"/>
  <c r="H151" i="13"/>
  <c r="I151" i="13"/>
  <c r="J151" i="13"/>
  <c r="K151" i="13"/>
  <c r="L151" i="13"/>
  <c r="M151" i="13"/>
  <c r="N151" i="13"/>
  <c r="O151" i="13"/>
  <c r="P151" i="13"/>
  <c r="A152" i="13"/>
  <c r="B152" i="13"/>
  <c r="D152" i="13"/>
  <c r="E152" i="13"/>
  <c r="F152" i="13"/>
  <c r="G152" i="13"/>
  <c r="H152" i="13"/>
  <c r="I152" i="13"/>
  <c r="J152" i="13"/>
  <c r="K152" i="13"/>
  <c r="L152" i="13"/>
  <c r="M152" i="13"/>
  <c r="N152" i="13"/>
  <c r="O152" i="13"/>
  <c r="P152" i="13"/>
  <c r="A153" i="13"/>
  <c r="B153" i="13"/>
  <c r="D153" i="13"/>
  <c r="E153" i="13"/>
  <c r="F153" i="13"/>
  <c r="G153" i="13"/>
  <c r="H153" i="13"/>
  <c r="I153" i="13"/>
  <c r="J153" i="13"/>
  <c r="K153" i="13"/>
  <c r="L153" i="13"/>
  <c r="M153" i="13"/>
  <c r="N153" i="13"/>
  <c r="O153" i="13"/>
  <c r="P153" i="13"/>
  <c r="A154" i="13"/>
  <c r="B154" i="13"/>
  <c r="D154" i="13"/>
  <c r="E154" i="13"/>
  <c r="F154" i="13"/>
  <c r="G154" i="13"/>
  <c r="H154" i="13"/>
  <c r="I154" i="13"/>
  <c r="J154" i="13"/>
  <c r="K154" i="13"/>
  <c r="L154" i="13"/>
  <c r="M154" i="13"/>
  <c r="N154" i="13"/>
  <c r="O154" i="13"/>
  <c r="P154" i="13"/>
  <c r="A155" i="13"/>
  <c r="B155" i="13"/>
  <c r="D155" i="13"/>
  <c r="E155" i="13"/>
  <c r="F155" i="13"/>
  <c r="G155" i="13"/>
  <c r="H155" i="13"/>
  <c r="I155" i="13"/>
  <c r="J155" i="13"/>
  <c r="K155" i="13"/>
  <c r="L155" i="13"/>
  <c r="M155" i="13"/>
  <c r="N155" i="13"/>
  <c r="O155" i="13"/>
  <c r="P155" i="13"/>
  <c r="A156" i="13"/>
  <c r="B156" i="13"/>
  <c r="D156" i="13"/>
  <c r="E156" i="13"/>
  <c r="F156" i="13"/>
  <c r="G156" i="13"/>
  <c r="H156" i="13"/>
  <c r="I156" i="13"/>
  <c r="J156" i="13"/>
  <c r="K156" i="13"/>
  <c r="L156" i="13"/>
  <c r="M156" i="13"/>
  <c r="N156" i="13"/>
  <c r="O156" i="13"/>
  <c r="P156" i="13"/>
  <c r="A157" i="13"/>
  <c r="B157" i="13"/>
  <c r="D157" i="13"/>
  <c r="E157" i="13"/>
  <c r="F157" i="13"/>
  <c r="G157" i="13"/>
  <c r="H157" i="13"/>
  <c r="I157" i="13"/>
  <c r="J157" i="13"/>
  <c r="K157" i="13"/>
  <c r="L157" i="13"/>
  <c r="M157" i="13"/>
  <c r="N157" i="13"/>
  <c r="O157" i="13"/>
  <c r="P157" i="13"/>
  <c r="A158" i="13"/>
  <c r="B158" i="13"/>
  <c r="D158" i="13"/>
  <c r="E158" i="13"/>
  <c r="F158" i="13"/>
  <c r="G158" i="13"/>
  <c r="H158" i="13"/>
  <c r="I158" i="13"/>
  <c r="J158" i="13"/>
  <c r="K158" i="13"/>
  <c r="L158" i="13"/>
  <c r="M158" i="13"/>
  <c r="N158" i="13"/>
  <c r="O158" i="13"/>
  <c r="P158" i="13"/>
  <c r="A159" i="13"/>
  <c r="B159" i="13"/>
  <c r="D159" i="13"/>
  <c r="E159" i="13"/>
  <c r="F159" i="13"/>
  <c r="G159" i="13"/>
  <c r="H159" i="13"/>
  <c r="I159" i="13"/>
  <c r="J159" i="13"/>
  <c r="K159" i="13"/>
  <c r="L159" i="13"/>
  <c r="M159" i="13"/>
  <c r="N159" i="13"/>
  <c r="O159" i="13"/>
  <c r="P159" i="13"/>
  <c r="A160" i="13"/>
  <c r="B160" i="13"/>
  <c r="D160" i="13"/>
  <c r="E160" i="13"/>
  <c r="F160" i="13"/>
  <c r="G160" i="13"/>
  <c r="H160" i="13"/>
  <c r="I160" i="13"/>
  <c r="J160" i="13"/>
  <c r="K160" i="13"/>
  <c r="L160" i="13"/>
  <c r="M160" i="13"/>
  <c r="N160" i="13"/>
  <c r="O160" i="13"/>
  <c r="P160" i="13"/>
  <c r="A161" i="13"/>
  <c r="B161" i="13"/>
  <c r="D161" i="13"/>
  <c r="E161" i="13"/>
  <c r="F161" i="13"/>
  <c r="G161" i="13"/>
  <c r="H161" i="13"/>
  <c r="I161" i="13"/>
  <c r="J161" i="13"/>
  <c r="K161" i="13"/>
  <c r="L161" i="13"/>
  <c r="M161" i="13"/>
  <c r="N161" i="13"/>
  <c r="O161" i="13"/>
  <c r="P161" i="13"/>
  <c r="A162" i="13"/>
  <c r="B162" i="13"/>
  <c r="D162" i="13"/>
  <c r="E162" i="13"/>
  <c r="F162" i="13"/>
  <c r="G162" i="13"/>
  <c r="H162" i="13"/>
  <c r="I162" i="13"/>
  <c r="J162" i="13"/>
  <c r="K162" i="13"/>
  <c r="L162" i="13"/>
  <c r="M162" i="13"/>
  <c r="N162" i="13"/>
  <c r="O162" i="13"/>
  <c r="P162" i="13"/>
  <c r="A163" i="13"/>
  <c r="B163" i="13"/>
  <c r="D163" i="13"/>
  <c r="E163" i="13"/>
  <c r="F163" i="13"/>
  <c r="G163" i="13"/>
  <c r="H163" i="13"/>
  <c r="I163" i="13"/>
  <c r="J163" i="13"/>
  <c r="K163" i="13"/>
  <c r="L163" i="13"/>
  <c r="M163" i="13"/>
  <c r="N163" i="13"/>
  <c r="O163" i="13"/>
  <c r="P163" i="13"/>
  <c r="A164" i="13"/>
  <c r="B164" i="13"/>
  <c r="D164" i="13"/>
  <c r="E164" i="13"/>
  <c r="F164" i="13"/>
  <c r="G164" i="13"/>
  <c r="H164" i="13"/>
  <c r="I164" i="13"/>
  <c r="J164" i="13"/>
  <c r="K164" i="13"/>
  <c r="L164" i="13"/>
  <c r="M164" i="13"/>
  <c r="N164" i="13"/>
  <c r="O164" i="13"/>
  <c r="P164" i="13"/>
  <c r="A165" i="13"/>
  <c r="B165" i="13"/>
  <c r="D165" i="13"/>
  <c r="E165" i="13"/>
  <c r="F165" i="13"/>
  <c r="G165" i="13"/>
  <c r="H165" i="13"/>
  <c r="I165" i="13"/>
  <c r="J165" i="13"/>
  <c r="K165" i="13"/>
  <c r="L165" i="13"/>
  <c r="M165" i="13"/>
  <c r="N165" i="13"/>
  <c r="O165" i="13"/>
  <c r="P165" i="13"/>
  <c r="A166" i="13"/>
  <c r="B166" i="13"/>
  <c r="D166" i="13"/>
  <c r="E166" i="13"/>
  <c r="F166" i="13"/>
  <c r="G166" i="13"/>
  <c r="H166" i="13"/>
  <c r="I166" i="13"/>
  <c r="J166" i="13"/>
  <c r="K166" i="13"/>
  <c r="L166" i="13"/>
  <c r="M166" i="13"/>
  <c r="N166" i="13"/>
  <c r="O166" i="13"/>
  <c r="P166" i="13"/>
  <c r="A167" i="13"/>
  <c r="B167" i="13"/>
  <c r="D167" i="13"/>
  <c r="E167" i="13"/>
  <c r="F167" i="13"/>
  <c r="G167" i="13"/>
  <c r="H167" i="13"/>
  <c r="I167" i="13"/>
  <c r="J167" i="13"/>
  <c r="K167" i="13"/>
  <c r="L167" i="13"/>
  <c r="M167" i="13"/>
  <c r="N167" i="13"/>
  <c r="O167" i="13"/>
  <c r="P167" i="13"/>
  <c r="A168" i="13"/>
  <c r="B168" i="13"/>
  <c r="D168" i="13"/>
  <c r="E168" i="13"/>
  <c r="F168" i="13"/>
  <c r="G168" i="13"/>
  <c r="H168" i="13"/>
  <c r="I168" i="13"/>
  <c r="J168" i="13"/>
  <c r="K168" i="13"/>
  <c r="L168" i="13"/>
  <c r="M168" i="13"/>
  <c r="N168" i="13"/>
  <c r="O168" i="13"/>
  <c r="P168" i="13"/>
  <c r="A169" i="13"/>
  <c r="B169" i="13"/>
  <c r="D169" i="13"/>
  <c r="E169" i="13"/>
  <c r="F169" i="13"/>
  <c r="G169" i="13"/>
  <c r="H169" i="13"/>
  <c r="I169" i="13"/>
  <c r="J169" i="13"/>
  <c r="K169" i="13"/>
  <c r="L169" i="13"/>
  <c r="M169" i="13"/>
  <c r="N169" i="13"/>
  <c r="O169" i="13"/>
  <c r="P169" i="13"/>
  <c r="A170" i="13"/>
  <c r="B170" i="13"/>
  <c r="D170" i="13"/>
  <c r="E170" i="13"/>
  <c r="F170" i="13"/>
  <c r="G170" i="13"/>
  <c r="H170" i="13"/>
  <c r="I170" i="13"/>
  <c r="J170" i="13"/>
  <c r="K170" i="13"/>
  <c r="L170" i="13"/>
  <c r="M170" i="13"/>
  <c r="N170" i="13"/>
  <c r="O170" i="13"/>
  <c r="P170" i="13"/>
  <c r="A171" i="13"/>
  <c r="B171" i="13"/>
  <c r="D171" i="13"/>
  <c r="E171" i="13"/>
  <c r="F171" i="13"/>
  <c r="G171" i="13"/>
  <c r="H171" i="13"/>
  <c r="I171" i="13"/>
  <c r="J171" i="13"/>
  <c r="K171" i="13"/>
  <c r="L171" i="13"/>
  <c r="M171" i="13"/>
  <c r="N171" i="13"/>
  <c r="O171" i="13"/>
  <c r="P171" i="13"/>
  <c r="A172" i="13"/>
  <c r="B172" i="13"/>
  <c r="D172" i="13"/>
  <c r="E172" i="13"/>
  <c r="F172" i="13"/>
  <c r="G172" i="13"/>
  <c r="H172" i="13"/>
  <c r="I172" i="13"/>
  <c r="J172" i="13"/>
  <c r="K172" i="13"/>
  <c r="L172" i="13"/>
  <c r="M172" i="13"/>
  <c r="N172" i="13"/>
  <c r="O172" i="13"/>
  <c r="P172" i="13"/>
  <c r="A173" i="13"/>
  <c r="B173" i="13"/>
  <c r="D173" i="13"/>
  <c r="E173" i="13"/>
  <c r="F173" i="13"/>
  <c r="G173" i="13"/>
  <c r="H173" i="13"/>
  <c r="I173" i="13"/>
  <c r="J173" i="13"/>
  <c r="K173" i="13"/>
  <c r="L173" i="13"/>
  <c r="M173" i="13"/>
  <c r="N173" i="13"/>
  <c r="O173" i="13"/>
  <c r="P173" i="13"/>
  <c r="A174" i="13"/>
  <c r="B174" i="13"/>
  <c r="D174" i="13"/>
  <c r="E174" i="13"/>
  <c r="F174" i="13"/>
  <c r="G174" i="13"/>
  <c r="H174" i="13"/>
  <c r="I174" i="13"/>
  <c r="J174" i="13"/>
  <c r="K174" i="13"/>
  <c r="L174" i="13"/>
  <c r="M174" i="13"/>
  <c r="N174" i="13"/>
  <c r="O174" i="13"/>
  <c r="P174" i="13"/>
  <c r="A175" i="13"/>
  <c r="B175" i="13"/>
  <c r="D175" i="13"/>
  <c r="E175" i="13"/>
  <c r="F175" i="13"/>
  <c r="G175" i="13"/>
  <c r="H175" i="13"/>
  <c r="I175" i="13"/>
  <c r="J175" i="13"/>
  <c r="K175" i="13"/>
  <c r="L175" i="13"/>
  <c r="M175" i="13"/>
  <c r="N175" i="13"/>
  <c r="O175" i="13"/>
  <c r="P175" i="13"/>
  <c r="A176" i="13"/>
  <c r="B176" i="13"/>
  <c r="D176" i="13"/>
  <c r="E176" i="13"/>
  <c r="F176" i="13"/>
  <c r="G176" i="13"/>
  <c r="H176" i="13"/>
  <c r="I176" i="13"/>
  <c r="J176" i="13"/>
  <c r="K176" i="13"/>
  <c r="L176" i="13"/>
  <c r="M176" i="13"/>
  <c r="N176" i="13"/>
  <c r="O176" i="13"/>
  <c r="P176" i="13"/>
  <c r="A177" i="13"/>
  <c r="B177" i="13"/>
  <c r="D177" i="13"/>
  <c r="E177" i="13"/>
  <c r="F177" i="13"/>
  <c r="G177" i="13"/>
  <c r="H177" i="13"/>
  <c r="I177" i="13"/>
  <c r="J177" i="13"/>
  <c r="K177" i="13"/>
  <c r="L177" i="13"/>
  <c r="M177" i="13"/>
  <c r="N177" i="13"/>
  <c r="O177" i="13"/>
  <c r="P177" i="13"/>
  <c r="A178" i="13"/>
  <c r="B178" i="13"/>
  <c r="D178" i="13"/>
  <c r="E178" i="13"/>
  <c r="F178" i="13"/>
  <c r="G178" i="13"/>
  <c r="H178" i="13"/>
  <c r="I178" i="13"/>
  <c r="J178" i="13"/>
  <c r="K178" i="13"/>
  <c r="L178" i="13"/>
  <c r="M178" i="13"/>
  <c r="N178" i="13"/>
  <c r="O178" i="13"/>
  <c r="P178" i="13"/>
  <c r="A179" i="13"/>
  <c r="B179" i="13"/>
  <c r="D179" i="13"/>
  <c r="E179" i="13"/>
  <c r="F179" i="13"/>
  <c r="G179" i="13"/>
  <c r="H179" i="13"/>
  <c r="I179" i="13"/>
  <c r="J179" i="13"/>
  <c r="K179" i="13"/>
  <c r="L179" i="13"/>
  <c r="M179" i="13"/>
  <c r="N179" i="13"/>
  <c r="O179" i="13"/>
  <c r="P179" i="13"/>
  <c r="A180" i="13"/>
  <c r="B180" i="13"/>
  <c r="D180" i="13"/>
  <c r="E180" i="13"/>
  <c r="F180" i="13"/>
  <c r="G180" i="13"/>
  <c r="H180" i="13"/>
  <c r="I180" i="13"/>
  <c r="J180" i="13"/>
  <c r="K180" i="13"/>
  <c r="L180" i="13"/>
  <c r="M180" i="13"/>
  <c r="N180" i="13"/>
  <c r="O180" i="13"/>
  <c r="P180" i="13"/>
  <c r="A181" i="13"/>
  <c r="B181" i="13"/>
  <c r="D181" i="13"/>
  <c r="E181" i="13"/>
  <c r="F181" i="13"/>
  <c r="G181" i="13"/>
  <c r="H181" i="13"/>
  <c r="I181" i="13"/>
  <c r="J181" i="13"/>
  <c r="K181" i="13"/>
  <c r="L181" i="13"/>
  <c r="M181" i="13"/>
  <c r="N181" i="13"/>
  <c r="O181" i="13"/>
  <c r="P181" i="13"/>
  <c r="A182" i="13"/>
  <c r="B182" i="13"/>
  <c r="D182" i="13"/>
  <c r="E182" i="13"/>
  <c r="F182" i="13"/>
  <c r="G182" i="13"/>
  <c r="H182" i="13"/>
  <c r="I182" i="13"/>
  <c r="J182" i="13"/>
  <c r="K182" i="13"/>
  <c r="L182" i="13"/>
  <c r="M182" i="13"/>
  <c r="N182" i="13"/>
  <c r="O182" i="13"/>
  <c r="P182" i="13"/>
  <c r="A183" i="13"/>
  <c r="B183" i="13"/>
  <c r="D183" i="13"/>
  <c r="E183" i="13"/>
  <c r="F183" i="13"/>
  <c r="G183" i="13"/>
  <c r="H183" i="13"/>
  <c r="I183" i="13"/>
  <c r="J183" i="13"/>
  <c r="K183" i="13"/>
  <c r="L183" i="13"/>
  <c r="M183" i="13"/>
  <c r="N183" i="13"/>
  <c r="O183" i="13"/>
  <c r="P183" i="13"/>
  <c r="A184" i="13"/>
  <c r="B184" i="13"/>
  <c r="D184" i="13"/>
  <c r="E184" i="13"/>
  <c r="F184" i="13"/>
  <c r="G184" i="13"/>
  <c r="H184" i="13"/>
  <c r="I184" i="13"/>
  <c r="J184" i="13"/>
  <c r="K184" i="13"/>
  <c r="L184" i="13"/>
  <c r="M184" i="13"/>
  <c r="N184" i="13"/>
  <c r="O184" i="13"/>
  <c r="P184" i="13"/>
  <c r="A185" i="13"/>
  <c r="B185" i="13"/>
  <c r="D185" i="13"/>
  <c r="E185" i="13"/>
  <c r="F185" i="13"/>
  <c r="G185" i="13"/>
  <c r="H185" i="13"/>
  <c r="I185" i="13"/>
  <c r="J185" i="13"/>
  <c r="K185" i="13"/>
  <c r="L185" i="13"/>
  <c r="M185" i="13"/>
  <c r="N185" i="13"/>
  <c r="O185" i="13"/>
  <c r="P185" i="13"/>
  <c r="A186" i="13"/>
  <c r="B186" i="13"/>
  <c r="D186" i="13"/>
  <c r="E186" i="13"/>
  <c r="F186" i="13"/>
  <c r="G186" i="13"/>
  <c r="H186" i="13"/>
  <c r="I186" i="13"/>
  <c r="J186" i="13"/>
  <c r="K186" i="13"/>
  <c r="L186" i="13"/>
  <c r="M186" i="13"/>
  <c r="N186" i="13"/>
  <c r="O186" i="13"/>
  <c r="P186" i="13"/>
  <c r="A187" i="13"/>
  <c r="B187" i="13"/>
  <c r="D187" i="13"/>
  <c r="E187" i="13"/>
  <c r="F187" i="13"/>
  <c r="G187" i="13"/>
  <c r="H187" i="13"/>
  <c r="I187" i="13"/>
  <c r="J187" i="13"/>
  <c r="K187" i="13"/>
  <c r="L187" i="13"/>
  <c r="M187" i="13"/>
  <c r="N187" i="13"/>
  <c r="O187" i="13"/>
  <c r="P187" i="13"/>
  <c r="A188" i="13"/>
  <c r="B188" i="13"/>
  <c r="D188" i="13"/>
  <c r="E188" i="13"/>
  <c r="F188" i="13"/>
  <c r="G188" i="13"/>
  <c r="H188" i="13"/>
  <c r="I188" i="13"/>
  <c r="J188" i="13"/>
  <c r="K188" i="13"/>
  <c r="L188" i="13"/>
  <c r="M188" i="13"/>
  <c r="N188" i="13"/>
  <c r="O188" i="13"/>
  <c r="P188" i="13"/>
  <c r="A189" i="13"/>
  <c r="B189" i="13"/>
  <c r="D189" i="13"/>
  <c r="E189" i="13"/>
  <c r="F189" i="13"/>
  <c r="G189" i="13"/>
  <c r="H189" i="13"/>
  <c r="I189" i="13"/>
  <c r="J189" i="13"/>
  <c r="K189" i="13"/>
  <c r="L189" i="13"/>
  <c r="M189" i="13"/>
  <c r="N189" i="13"/>
  <c r="O189" i="13"/>
  <c r="P189" i="13"/>
  <c r="A190" i="13"/>
  <c r="B190" i="13"/>
  <c r="D190" i="13"/>
  <c r="E190" i="13"/>
  <c r="F190" i="13"/>
  <c r="G190" i="13"/>
  <c r="H190" i="13"/>
  <c r="I190" i="13"/>
  <c r="J190" i="13"/>
  <c r="K190" i="13"/>
  <c r="L190" i="13"/>
  <c r="M190" i="13"/>
  <c r="N190" i="13"/>
  <c r="O190" i="13"/>
  <c r="P190" i="13"/>
  <c r="A191" i="13"/>
  <c r="B191" i="13"/>
  <c r="D191" i="13"/>
  <c r="E191" i="13"/>
  <c r="F191" i="13"/>
  <c r="G191" i="13"/>
  <c r="H191" i="13"/>
  <c r="I191" i="13"/>
  <c r="J191" i="13"/>
  <c r="K191" i="13"/>
  <c r="L191" i="13"/>
  <c r="M191" i="13"/>
  <c r="N191" i="13"/>
  <c r="O191" i="13"/>
  <c r="P191" i="13"/>
  <c r="A192" i="13"/>
  <c r="B192" i="13"/>
  <c r="D192" i="13"/>
  <c r="E192" i="13"/>
  <c r="F192" i="13"/>
  <c r="G192" i="13"/>
  <c r="H192" i="13"/>
  <c r="I192" i="13"/>
  <c r="J192" i="13"/>
  <c r="K192" i="13"/>
  <c r="L192" i="13"/>
  <c r="M192" i="13"/>
  <c r="N192" i="13"/>
  <c r="O192" i="13"/>
  <c r="P192" i="13"/>
  <c r="A193" i="13"/>
  <c r="B193" i="13"/>
  <c r="D193" i="13"/>
  <c r="E193" i="13"/>
  <c r="F193" i="13"/>
  <c r="G193" i="13"/>
  <c r="H193" i="13"/>
  <c r="I193" i="13"/>
  <c r="J193" i="13"/>
  <c r="K193" i="13"/>
  <c r="L193" i="13"/>
  <c r="M193" i="13"/>
  <c r="N193" i="13"/>
  <c r="O193" i="13"/>
  <c r="P193" i="13"/>
  <c r="A194" i="13"/>
  <c r="B194" i="13"/>
  <c r="D194" i="13"/>
  <c r="E194" i="13"/>
  <c r="F194" i="13"/>
  <c r="G194" i="13"/>
  <c r="H194" i="13"/>
  <c r="I194" i="13"/>
  <c r="J194" i="13"/>
  <c r="K194" i="13"/>
  <c r="L194" i="13"/>
  <c r="M194" i="13"/>
  <c r="N194" i="13"/>
  <c r="O194" i="13"/>
  <c r="P194" i="13"/>
  <c r="A195" i="13"/>
  <c r="B195" i="13"/>
  <c r="D195" i="13"/>
  <c r="E195" i="13"/>
  <c r="F195" i="13"/>
  <c r="G195" i="13"/>
  <c r="H195" i="13"/>
  <c r="I195" i="13"/>
  <c r="J195" i="13"/>
  <c r="K195" i="13"/>
  <c r="L195" i="13"/>
  <c r="M195" i="13"/>
  <c r="N195" i="13"/>
  <c r="O195" i="13"/>
  <c r="P195" i="13"/>
  <c r="A196" i="13"/>
  <c r="B196" i="13"/>
  <c r="D196" i="13"/>
  <c r="E196" i="13"/>
  <c r="F196" i="13"/>
  <c r="G196" i="13"/>
  <c r="H196" i="13"/>
  <c r="I196" i="13"/>
  <c r="J196" i="13"/>
  <c r="K196" i="13"/>
  <c r="L196" i="13"/>
  <c r="M196" i="13"/>
  <c r="N196" i="13"/>
  <c r="O196" i="13"/>
  <c r="P196" i="13"/>
  <c r="A197" i="13"/>
  <c r="B197" i="13"/>
  <c r="D197" i="13"/>
  <c r="E197" i="13"/>
  <c r="F197" i="13"/>
  <c r="G197" i="13"/>
  <c r="H197" i="13"/>
  <c r="I197" i="13"/>
  <c r="J197" i="13"/>
  <c r="K197" i="13"/>
  <c r="L197" i="13"/>
  <c r="M197" i="13"/>
  <c r="N197" i="13"/>
  <c r="O197" i="13"/>
  <c r="P197" i="13"/>
  <c r="A198" i="13"/>
  <c r="B198" i="13"/>
  <c r="D198" i="13"/>
  <c r="E198" i="13"/>
  <c r="F198" i="13"/>
  <c r="G198" i="13"/>
  <c r="H198" i="13"/>
  <c r="I198" i="13"/>
  <c r="J198" i="13"/>
  <c r="K198" i="13"/>
  <c r="L198" i="13"/>
  <c r="M198" i="13"/>
  <c r="N198" i="13"/>
  <c r="O198" i="13"/>
  <c r="P198" i="13"/>
  <c r="A199" i="13"/>
  <c r="B199" i="13"/>
  <c r="D199" i="13"/>
  <c r="E199" i="13"/>
  <c r="F199" i="13"/>
  <c r="G199" i="13"/>
  <c r="H199" i="13"/>
  <c r="I199" i="13"/>
  <c r="J199" i="13"/>
  <c r="K199" i="13"/>
  <c r="L199" i="13"/>
  <c r="M199" i="13"/>
  <c r="N199" i="13"/>
  <c r="O199" i="13"/>
  <c r="P199" i="13"/>
  <c r="A200" i="13"/>
  <c r="B200" i="13"/>
  <c r="D200" i="13"/>
  <c r="E200" i="13"/>
  <c r="F200" i="13"/>
  <c r="G200" i="13"/>
  <c r="H200" i="13"/>
  <c r="I200" i="13"/>
  <c r="J200" i="13"/>
  <c r="K200" i="13"/>
  <c r="L200" i="13"/>
  <c r="M200" i="13"/>
  <c r="N200" i="13"/>
  <c r="O200" i="13"/>
  <c r="P200" i="13"/>
  <c r="A201" i="13"/>
  <c r="B201" i="13"/>
  <c r="D201" i="13"/>
  <c r="E201" i="13"/>
  <c r="F201" i="13"/>
  <c r="G201" i="13"/>
  <c r="H201" i="13"/>
  <c r="I201" i="13"/>
  <c r="J201" i="13"/>
  <c r="K201" i="13"/>
  <c r="L201" i="13"/>
  <c r="M201" i="13"/>
  <c r="N201" i="13"/>
  <c r="O201" i="13"/>
  <c r="P201" i="13"/>
  <c r="A202" i="13"/>
  <c r="B202" i="13"/>
  <c r="D202" i="13"/>
  <c r="E202" i="13"/>
  <c r="F202" i="13"/>
  <c r="G202" i="13"/>
  <c r="H202" i="13"/>
  <c r="I202" i="13"/>
  <c r="J202" i="13"/>
  <c r="K202" i="13"/>
  <c r="L202" i="13"/>
  <c r="M202" i="13"/>
  <c r="N202" i="13"/>
  <c r="O202" i="13"/>
  <c r="P202" i="13"/>
  <c r="A203" i="13"/>
  <c r="B203" i="13"/>
  <c r="D203" i="13"/>
  <c r="E203" i="13"/>
  <c r="F203" i="13"/>
  <c r="G203" i="13"/>
  <c r="H203" i="13"/>
  <c r="I203" i="13"/>
  <c r="J203" i="13"/>
  <c r="K203" i="13"/>
  <c r="L203" i="13"/>
  <c r="M203" i="13"/>
  <c r="N203" i="13"/>
  <c r="O203" i="13"/>
  <c r="P203" i="13"/>
  <c r="A204" i="13"/>
  <c r="B204" i="13"/>
  <c r="D204" i="13"/>
  <c r="E204" i="13"/>
  <c r="F204" i="13"/>
  <c r="G204" i="13"/>
  <c r="H204" i="13"/>
  <c r="I204" i="13"/>
  <c r="J204" i="13"/>
  <c r="K204" i="13"/>
  <c r="L204" i="13"/>
  <c r="M204" i="13"/>
  <c r="N204" i="13"/>
  <c r="O204" i="13"/>
  <c r="P204" i="13"/>
  <c r="A205" i="13"/>
  <c r="B205" i="13"/>
  <c r="D205" i="13"/>
  <c r="E205" i="13"/>
  <c r="F205" i="13"/>
  <c r="G205" i="13"/>
  <c r="H205" i="13"/>
  <c r="I205" i="13"/>
  <c r="J205" i="13"/>
  <c r="K205" i="13"/>
  <c r="L205" i="13"/>
  <c r="M205" i="13"/>
  <c r="N205" i="13"/>
  <c r="O205" i="13"/>
  <c r="P205" i="13"/>
  <c r="A206" i="13"/>
  <c r="B206" i="13"/>
  <c r="D206" i="13"/>
  <c r="E206" i="13"/>
  <c r="F206" i="13"/>
  <c r="G206" i="13"/>
  <c r="H206" i="13"/>
  <c r="I206" i="13"/>
  <c r="J206" i="13"/>
  <c r="K206" i="13"/>
  <c r="L206" i="13"/>
  <c r="M206" i="13"/>
  <c r="N206" i="13"/>
  <c r="O206" i="13"/>
  <c r="P206" i="13"/>
  <c r="A207" i="13"/>
  <c r="B207" i="13"/>
  <c r="D207" i="13"/>
  <c r="E207" i="13"/>
  <c r="F207" i="13"/>
  <c r="G207" i="13"/>
  <c r="H207" i="13"/>
  <c r="I207" i="13"/>
  <c r="J207" i="13"/>
  <c r="K207" i="13"/>
  <c r="L207" i="13"/>
  <c r="M207" i="13"/>
  <c r="N207" i="13"/>
  <c r="O207" i="13"/>
  <c r="P207" i="13"/>
  <c r="A208" i="13"/>
  <c r="B208" i="13"/>
  <c r="D208" i="13"/>
  <c r="E208" i="13"/>
  <c r="F208" i="13"/>
  <c r="G208" i="13"/>
  <c r="H208" i="13"/>
  <c r="I208" i="13"/>
  <c r="J208" i="13"/>
  <c r="K208" i="13"/>
  <c r="L208" i="13"/>
  <c r="M208" i="13"/>
  <c r="N208" i="13"/>
  <c r="O208" i="13"/>
  <c r="P208" i="13"/>
  <c r="A209" i="13"/>
  <c r="B209" i="13"/>
  <c r="D209" i="13"/>
  <c r="E209" i="13"/>
  <c r="F209" i="13"/>
  <c r="G209" i="13"/>
  <c r="H209" i="13"/>
  <c r="I209" i="13"/>
  <c r="J209" i="13"/>
  <c r="K209" i="13"/>
  <c r="L209" i="13"/>
  <c r="M209" i="13"/>
  <c r="N209" i="13"/>
  <c r="O209" i="13"/>
  <c r="P209" i="13"/>
  <c r="A210" i="13"/>
  <c r="B210" i="13"/>
  <c r="D210" i="13"/>
  <c r="E210" i="13"/>
  <c r="F210" i="13"/>
  <c r="G210" i="13"/>
  <c r="H210" i="13"/>
  <c r="I210" i="13"/>
  <c r="J210" i="13"/>
  <c r="K210" i="13"/>
  <c r="L210" i="13"/>
  <c r="M210" i="13"/>
  <c r="N210" i="13"/>
  <c r="O210" i="13"/>
  <c r="P210" i="13"/>
  <c r="A211" i="13"/>
  <c r="B211" i="13"/>
  <c r="D211" i="13"/>
  <c r="E211" i="13"/>
  <c r="F211" i="13"/>
  <c r="G211" i="13"/>
  <c r="H211" i="13"/>
  <c r="I211" i="13"/>
  <c r="J211" i="13"/>
  <c r="K211" i="13"/>
  <c r="L211" i="13"/>
  <c r="M211" i="13"/>
  <c r="N211" i="13"/>
  <c r="O211" i="13"/>
  <c r="P211" i="13"/>
  <c r="A212" i="13"/>
  <c r="B212" i="13"/>
  <c r="D212" i="13"/>
  <c r="E212" i="13"/>
  <c r="F212" i="13"/>
  <c r="G212" i="13"/>
  <c r="H212" i="13"/>
  <c r="I212" i="13"/>
  <c r="J212" i="13"/>
  <c r="K212" i="13"/>
  <c r="L212" i="13"/>
  <c r="M212" i="13"/>
  <c r="N212" i="13"/>
  <c r="O212" i="13"/>
  <c r="P212" i="13"/>
  <c r="A213" i="13"/>
  <c r="B213" i="13"/>
  <c r="D213" i="13"/>
  <c r="E213" i="13"/>
  <c r="F213" i="13"/>
  <c r="G213" i="13"/>
  <c r="H213" i="13"/>
  <c r="I213" i="13"/>
  <c r="J213" i="13"/>
  <c r="K213" i="13"/>
  <c r="L213" i="13"/>
  <c r="M213" i="13"/>
  <c r="N213" i="13"/>
  <c r="O213" i="13"/>
  <c r="P213" i="13"/>
  <c r="A214" i="13"/>
  <c r="B214" i="13"/>
  <c r="D214" i="13"/>
  <c r="E214" i="13"/>
  <c r="F214" i="13"/>
  <c r="G214" i="13"/>
  <c r="H214" i="13"/>
  <c r="I214" i="13"/>
  <c r="J214" i="13"/>
  <c r="K214" i="13"/>
  <c r="L214" i="13"/>
  <c r="M214" i="13"/>
  <c r="N214" i="13"/>
  <c r="O214" i="13"/>
  <c r="P214" i="13"/>
  <c r="A215" i="13"/>
  <c r="B215" i="13"/>
  <c r="D215" i="13"/>
  <c r="E215" i="13"/>
  <c r="F215" i="13"/>
  <c r="G215" i="13"/>
  <c r="H215" i="13"/>
  <c r="I215" i="13"/>
  <c r="J215" i="13"/>
  <c r="K215" i="13"/>
  <c r="L215" i="13"/>
  <c r="M215" i="13"/>
  <c r="N215" i="13"/>
  <c r="O215" i="13"/>
  <c r="P215" i="13"/>
  <c r="A216" i="13"/>
  <c r="B216" i="13"/>
  <c r="D216" i="13"/>
  <c r="E216" i="13"/>
  <c r="F216" i="13"/>
  <c r="G216" i="13"/>
  <c r="H216" i="13"/>
  <c r="I216" i="13"/>
  <c r="J216" i="13"/>
  <c r="K216" i="13"/>
  <c r="L216" i="13"/>
  <c r="M216" i="13"/>
  <c r="N216" i="13"/>
  <c r="O216" i="13"/>
  <c r="P216" i="13"/>
  <c r="A217" i="13"/>
  <c r="B217" i="13"/>
  <c r="D217" i="13"/>
  <c r="E217" i="13"/>
  <c r="F217" i="13"/>
  <c r="G217" i="13"/>
  <c r="H217" i="13"/>
  <c r="I217" i="13"/>
  <c r="J217" i="13"/>
  <c r="K217" i="13"/>
  <c r="L217" i="13"/>
  <c r="M217" i="13"/>
  <c r="N217" i="13"/>
  <c r="O217" i="13"/>
  <c r="P217" i="13"/>
  <c r="A218" i="13"/>
  <c r="B218" i="13"/>
  <c r="D218" i="13"/>
  <c r="E218" i="13"/>
  <c r="F218" i="13"/>
  <c r="G218" i="13"/>
  <c r="H218" i="13"/>
  <c r="I218" i="13"/>
  <c r="J218" i="13"/>
  <c r="K218" i="13"/>
  <c r="L218" i="13"/>
  <c r="M218" i="13"/>
  <c r="N218" i="13"/>
  <c r="O218" i="13"/>
  <c r="P218" i="13"/>
  <c r="A219" i="13"/>
  <c r="B219" i="13"/>
  <c r="D219" i="13"/>
  <c r="E219" i="13"/>
  <c r="F219" i="13"/>
  <c r="G219" i="13"/>
  <c r="H219" i="13"/>
  <c r="I219" i="13"/>
  <c r="J219" i="13"/>
  <c r="K219" i="13"/>
  <c r="L219" i="13"/>
  <c r="M219" i="13"/>
  <c r="N219" i="13"/>
  <c r="O219" i="13"/>
  <c r="P219" i="13"/>
  <c r="A220" i="13"/>
  <c r="B220" i="13"/>
  <c r="D220" i="13"/>
  <c r="E220" i="13"/>
  <c r="F220" i="13"/>
  <c r="G220" i="13"/>
  <c r="H220" i="13"/>
  <c r="I220" i="13"/>
  <c r="J220" i="13"/>
  <c r="K220" i="13"/>
  <c r="L220" i="13"/>
  <c r="M220" i="13"/>
  <c r="N220" i="13"/>
  <c r="O220" i="13"/>
  <c r="P220" i="13"/>
  <c r="A221" i="13"/>
  <c r="B221" i="13"/>
  <c r="D221" i="13"/>
  <c r="E221" i="13"/>
  <c r="F221" i="13"/>
  <c r="G221" i="13"/>
  <c r="H221" i="13"/>
  <c r="I221" i="13"/>
  <c r="J221" i="13"/>
  <c r="K221" i="13"/>
  <c r="L221" i="13"/>
  <c r="M221" i="13"/>
  <c r="N221" i="13"/>
  <c r="O221" i="13"/>
  <c r="P221" i="13"/>
  <c r="A222" i="13"/>
  <c r="B222" i="13"/>
  <c r="D222" i="13"/>
  <c r="E222" i="13"/>
  <c r="F222" i="13"/>
  <c r="G222" i="13"/>
  <c r="H222" i="13"/>
  <c r="I222" i="13"/>
  <c r="J222" i="13"/>
  <c r="K222" i="13"/>
  <c r="L222" i="13"/>
  <c r="M222" i="13"/>
  <c r="N222" i="13"/>
  <c r="O222" i="13"/>
  <c r="P222" i="13"/>
  <c r="A223" i="13"/>
  <c r="B223" i="13"/>
  <c r="D223" i="13"/>
  <c r="E223" i="13"/>
  <c r="F223" i="13"/>
  <c r="G223" i="13"/>
  <c r="H223" i="13"/>
  <c r="I223" i="13"/>
  <c r="J223" i="13"/>
  <c r="K223" i="13"/>
  <c r="L223" i="13"/>
  <c r="M223" i="13"/>
  <c r="N223" i="13"/>
  <c r="O223" i="13"/>
  <c r="P223" i="13"/>
  <c r="A224" i="13"/>
  <c r="B224" i="13"/>
  <c r="D224" i="13"/>
  <c r="E224" i="13"/>
  <c r="F224" i="13"/>
  <c r="G224" i="13"/>
  <c r="H224" i="13"/>
  <c r="I224" i="13"/>
  <c r="J224" i="13"/>
  <c r="K224" i="13"/>
  <c r="L224" i="13"/>
  <c r="M224" i="13"/>
  <c r="N224" i="13"/>
  <c r="O224" i="13"/>
  <c r="P224" i="13"/>
  <c r="A225" i="13"/>
  <c r="B225" i="13"/>
  <c r="D225" i="13"/>
  <c r="E225" i="13"/>
  <c r="F225" i="13"/>
  <c r="G225" i="13"/>
  <c r="H225" i="13"/>
  <c r="I225" i="13"/>
  <c r="J225" i="13"/>
  <c r="K225" i="13"/>
  <c r="L225" i="13"/>
  <c r="M225" i="13"/>
  <c r="N225" i="13"/>
  <c r="O225" i="13"/>
  <c r="P225" i="13"/>
  <c r="A226" i="13"/>
  <c r="B226" i="13"/>
  <c r="D226" i="13"/>
  <c r="E226" i="13"/>
  <c r="F226" i="13"/>
  <c r="G226" i="13"/>
  <c r="H226" i="13"/>
  <c r="I226" i="13"/>
  <c r="J226" i="13"/>
  <c r="K226" i="13"/>
  <c r="L226" i="13"/>
  <c r="M226" i="13"/>
  <c r="N226" i="13"/>
  <c r="O226" i="13"/>
  <c r="P226" i="13"/>
  <c r="A227" i="13"/>
  <c r="B227" i="13"/>
  <c r="D227" i="13"/>
  <c r="E227" i="13"/>
  <c r="F227" i="13"/>
  <c r="G227" i="13"/>
  <c r="H227" i="13"/>
  <c r="I227" i="13"/>
  <c r="J227" i="13"/>
  <c r="K227" i="13"/>
  <c r="L227" i="13"/>
  <c r="M227" i="13"/>
  <c r="N227" i="13"/>
  <c r="O227" i="13"/>
  <c r="P227" i="13"/>
  <c r="A228" i="13"/>
  <c r="B228" i="13"/>
  <c r="D228" i="13"/>
  <c r="E228" i="13"/>
  <c r="F228" i="13"/>
  <c r="G228" i="13"/>
  <c r="H228" i="13"/>
  <c r="I228" i="13"/>
  <c r="J228" i="13"/>
  <c r="K228" i="13"/>
  <c r="L228" i="13"/>
  <c r="M228" i="13"/>
  <c r="N228" i="13"/>
  <c r="O228" i="13"/>
  <c r="P228" i="13"/>
  <c r="A229" i="13"/>
  <c r="B229" i="13"/>
  <c r="D229" i="13"/>
  <c r="E229" i="13"/>
  <c r="F229" i="13"/>
  <c r="G229" i="13"/>
  <c r="H229" i="13"/>
  <c r="I229" i="13"/>
  <c r="J229" i="13"/>
  <c r="K229" i="13"/>
  <c r="L229" i="13"/>
  <c r="M229" i="13"/>
  <c r="N229" i="13"/>
  <c r="O229" i="13"/>
  <c r="P229" i="13"/>
  <c r="A230" i="13"/>
  <c r="B230" i="13"/>
  <c r="D230" i="13"/>
  <c r="E230" i="13"/>
  <c r="F230" i="13"/>
  <c r="G230" i="13"/>
  <c r="H230" i="13"/>
  <c r="I230" i="13"/>
  <c r="J230" i="13"/>
  <c r="K230" i="13"/>
  <c r="L230" i="13"/>
  <c r="M230" i="13"/>
  <c r="N230" i="13"/>
  <c r="O230" i="13"/>
  <c r="P230" i="13"/>
  <c r="A231" i="13"/>
  <c r="B231" i="13"/>
  <c r="D231" i="13"/>
  <c r="E231" i="13"/>
  <c r="F231" i="13"/>
  <c r="G231" i="13"/>
  <c r="H231" i="13"/>
  <c r="I231" i="13"/>
  <c r="J231" i="13"/>
  <c r="K231" i="13"/>
  <c r="L231" i="13"/>
  <c r="M231" i="13"/>
  <c r="N231" i="13"/>
  <c r="O231" i="13"/>
  <c r="P231" i="13"/>
  <c r="A232" i="13"/>
  <c r="B232" i="13"/>
  <c r="D232" i="13"/>
  <c r="E232" i="13"/>
  <c r="F232" i="13"/>
  <c r="G232" i="13"/>
  <c r="H232" i="13"/>
  <c r="I232" i="13"/>
  <c r="J232" i="13"/>
  <c r="K232" i="13"/>
  <c r="L232" i="13"/>
  <c r="M232" i="13"/>
  <c r="N232" i="13"/>
  <c r="O232" i="13"/>
  <c r="P232" i="13"/>
  <c r="A233" i="13"/>
  <c r="B233" i="13"/>
  <c r="D233" i="13"/>
  <c r="E233" i="13"/>
  <c r="F233" i="13"/>
  <c r="G233" i="13"/>
  <c r="H233" i="13"/>
  <c r="I233" i="13"/>
  <c r="J233" i="13"/>
  <c r="K233" i="13"/>
  <c r="L233" i="13"/>
  <c r="M233" i="13"/>
  <c r="N233" i="13"/>
  <c r="O233" i="13"/>
  <c r="P233" i="13"/>
  <c r="A234" i="13"/>
  <c r="B234" i="13"/>
  <c r="D234" i="13"/>
  <c r="E234" i="13"/>
  <c r="F234" i="13"/>
  <c r="G234" i="13"/>
  <c r="H234" i="13"/>
  <c r="I234" i="13"/>
  <c r="J234" i="13"/>
  <c r="K234" i="13"/>
  <c r="L234" i="13"/>
  <c r="M234" i="13"/>
  <c r="N234" i="13"/>
  <c r="O234" i="13"/>
  <c r="P234" i="13"/>
  <c r="A235" i="13"/>
  <c r="B235" i="13"/>
  <c r="D235" i="13"/>
  <c r="E235" i="13"/>
  <c r="F235" i="13"/>
  <c r="G235" i="13"/>
  <c r="H235" i="13"/>
  <c r="I235" i="13"/>
  <c r="J235" i="13"/>
  <c r="K235" i="13"/>
  <c r="L235" i="13"/>
  <c r="M235" i="13"/>
  <c r="N235" i="13"/>
  <c r="O235" i="13"/>
  <c r="P235" i="13"/>
  <c r="A236" i="13"/>
  <c r="B236" i="13"/>
  <c r="D236" i="13"/>
  <c r="E236" i="13"/>
  <c r="F236" i="13"/>
  <c r="G236" i="13"/>
  <c r="H236" i="13"/>
  <c r="I236" i="13"/>
  <c r="J236" i="13"/>
  <c r="K236" i="13"/>
  <c r="L236" i="13"/>
  <c r="M236" i="13"/>
  <c r="N236" i="13"/>
  <c r="O236" i="13"/>
  <c r="P236" i="13"/>
  <c r="A237" i="13"/>
  <c r="B237" i="13"/>
  <c r="D237" i="13"/>
  <c r="E237" i="13"/>
  <c r="F237" i="13"/>
  <c r="G237" i="13"/>
  <c r="H237" i="13"/>
  <c r="I237" i="13"/>
  <c r="J237" i="13"/>
  <c r="K237" i="13"/>
  <c r="L237" i="13"/>
  <c r="M237" i="13"/>
  <c r="N237" i="13"/>
  <c r="O237" i="13"/>
  <c r="P237" i="13"/>
  <c r="A238" i="13"/>
  <c r="B238" i="13"/>
  <c r="D238" i="13"/>
  <c r="E238" i="13"/>
  <c r="F238" i="13"/>
  <c r="G238" i="13"/>
  <c r="H238" i="13"/>
  <c r="I238" i="13"/>
  <c r="J238" i="13"/>
  <c r="K238" i="13"/>
  <c r="L238" i="13"/>
  <c r="M238" i="13"/>
  <c r="N238" i="13"/>
  <c r="O238" i="13"/>
  <c r="P238" i="13"/>
  <c r="A239" i="13"/>
  <c r="B239" i="13"/>
  <c r="D239" i="13"/>
  <c r="E239" i="13"/>
  <c r="F239" i="13"/>
  <c r="G239" i="13"/>
  <c r="H239" i="13"/>
  <c r="I239" i="13"/>
  <c r="J239" i="13"/>
  <c r="K239" i="13"/>
  <c r="L239" i="13"/>
  <c r="M239" i="13"/>
  <c r="N239" i="13"/>
  <c r="O239" i="13"/>
  <c r="P239" i="13"/>
  <c r="A240" i="13"/>
  <c r="B240" i="13"/>
  <c r="D240" i="13"/>
  <c r="E240" i="13"/>
  <c r="F240" i="13"/>
  <c r="G240" i="13"/>
  <c r="H240" i="13"/>
  <c r="I240" i="13"/>
  <c r="J240" i="13"/>
  <c r="K240" i="13"/>
  <c r="L240" i="13"/>
  <c r="M240" i="13"/>
  <c r="N240" i="13"/>
  <c r="O240" i="13"/>
  <c r="P240" i="13"/>
  <c r="A241" i="13"/>
  <c r="B241" i="13"/>
  <c r="D241" i="13"/>
  <c r="E241" i="13"/>
  <c r="F241" i="13"/>
  <c r="G241" i="13"/>
  <c r="H241" i="13"/>
  <c r="I241" i="13"/>
  <c r="J241" i="13"/>
  <c r="K241" i="13"/>
  <c r="L241" i="13"/>
  <c r="M241" i="13"/>
  <c r="N241" i="13"/>
  <c r="O241" i="13"/>
  <c r="P241" i="13"/>
  <c r="A242" i="13"/>
  <c r="B242" i="13"/>
  <c r="D242" i="13"/>
  <c r="E242" i="13"/>
  <c r="F242" i="13"/>
  <c r="G242" i="13"/>
  <c r="H242" i="13"/>
  <c r="I242" i="13"/>
  <c r="J242" i="13"/>
  <c r="K242" i="13"/>
  <c r="L242" i="13"/>
  <c r="M242" i="13"/>
  <c r="N242" i="13"/>
  <c r="O242" i="13"/>
  <c r="P242" i="13"/>
  <c r="A243" i="13"/>
  <c r="B243" i="13"/>
  <c r="D243" i="13"/>
  <c r="E243" i="13"/>
  <c r="F243" i="13"/>
  <c r="G243" i="13"/>
  <c r="H243" i="13"/>
  <c r="I243" i="13"/>
  <c r="J243" i="13"/>
  <c r="K243" i="13"/>
  <c r="L243" i="13"/>
  <c r="M243" i="13"/>
  <c r="N243" i="13"/>
  <c r="O243" i="13"/>
  <c r="P243" i="13"/>
  <c r="A244" i="13"/>
  <c r="B244" i="13"/>
  <c r="D244" i="13"/>
  <c r="E244" i="13"/>
  <c r="F244" i="13"/>
  <c r="G244" i="13"/>
  <c r="H244" i="13"/>
  <c r="I244" i="13"/>
  <c r="J244" i="13"/>
  <c r="K244" i="13"/>
  <c r="L244" i="13"/>
  <c r="M244" i="13"/>
  <c r="N244" i="13"/>
  <c r="O244" i="13"/>
  <c r="P244" i="13"/>
  <c r="A245" i="13"/>
  <c r="B245" i="13"/>
  <c r="D245" i="13"/>
  <c r="E245" i="13"/>
  <c r="F245" i="13"/>
  <c r="G245" i="13"/>
  <c r="H245" i="13"/>
  <c r="I245" i="13"/>
  <c r="J245" i="13"/>
  <c r="K245" i="13"/>
  <c r="L245" i="13"/>
  <c r="M245" i="13"/>
  <c r="N245" i="13"/>
  <c r="O245" i="13"/>
  <c r="P245" i="13"/>
  <c r="A246" i="13"/>
  <c r="B246" i="13"/>
  <c r="D246" i="13"/>
  <c r="E246" i="13"/>
  <c r="F246" i="13"/>
  <c r="G246" i="13"/>
  <c r="H246" i="13"/>
  <c r="I246" i="13"/>
  <c r="J246" i="13"/>
  <c r="K246" i="13"/>
  <c r="L246" i="13"/>
  <c r="M246" i="13"/>
  <c r="N246" i="13"/>
  <c r="O246" i="13"/>
  <c r="P246" i="13"/>
  <c r="A247" i="13"/>
  <c r="B247" i="13"/>
  <c r="D247" i="13"/>
  <c r="E247" i="13"/>
  <c r="F247" i="13"/>
  <c r="G247" i="13"/>
  <c r="H247" i="13"/>
  <c r="I247" i="13"/>
  <c r="J247" i="13"/>
  <c r="K247" i="13"/>
  <c r="L247" i="13"/>
  <c r="M247" i="13"/>
  <c r="N247" i="13"/>
  <c r="O247" i="13"/>
  <c r="P247" i="13"/>
  <c r="A248" i="13"/>
  <c r="B248" i="13"/>
  <c r="D248" i="13"/>
  <c r="E248" i="13"/>
  <c r="F248" i="13"/>
  <c r="G248" i="13"/>
  <c r="H248" i="13"/>
  <c r="I248" i="13"/>
  <c r="J248" i="13"/>
  <c r="K248" i="13"/>
  <c r="L248" i="13"/>
  <c r="M248" i="13"/>
  <c r="N248" i="13"/>
  <c r="O248" i="13"/>
  <c r="P248" i="13"/>
  <c r="A249" i="13"/>
  <c r="B249" i="13"/>
  <c r="D249" i="13"/>
  <c r="E249" i="13"/>
  <c r="F249" i="13"/>
  <c r="G249" i="13"/>
  <c r="H249" i="13"/>
  <c r="I249" i="13"/>
  <c r="J249" i="13"/>
  <c r="K249" i="13"/>
  <c r="L249" i="13"/>
  <c r="M249" i="13"/>
  <c r="N249" i="13"/>
  <c r="O249" i="13"/>
  <c r="P249" i="13"/>
  <c r="A250" i="13"/>
  <c r="B250" i="13"/>
  <c r="D250" i="13"/>
  <c r="E250" i="13"/>
  <c r="F250" i="13"/>
  <c r="G250" i="13"/>
  <c r="H250" i="13"/>
  <c r="I250" i="13"/>
  <c r="J250" i="13"/>
  <c r="K250" i="13"/>
  <c r="L250" i="13"/>
  <c r="M250" i="13"/>
  <c r="N250" i="13"/>
  <c r="O250" i="13"/>
  <c r="P250" i="13"/>
  <c r="A251" i="13"/>
  <c r="B251" i="13"/>
  <c r="D251" i="13"/>
  <c r="E251" i="13"/>
  <c r="F251" i="13"/>
  <c r="G251" i="13"/>
  <c r="H251" i="13"/>
  <c r="I251" i="13"/>
  <c r="J251" i="13"/>
  <c r="K251" i="13"/>
  <c r="L251" i="13"/>
  <c r="M251" i="13"/>
  <c r="N251" i="13"/>
  <c r="O251" i="13"/>
  <c r="P251" i="13"/>
  <c r="A252" i="13"/>
  <c r="B252" i="13"/>
  <c r="D252" i="13"/>
  <c r="E252" i="13"/>
  <c r="F252" i="13"/>
  <c r="G252" i="13"/>
  <c r="H252" i="13"/>
  <c r="I252" i="13"/>
  <c r="J252" i="13"/>
  <c r="K252" i="13"/>
  <c r="L252" i="13"/>
  <c r="M252" i="13"/>
  <c r="N252" i="13"/>
  <c r="O252" i="13"/>
  <c r="P252" i="13"/>
  <c r="A253" i="13"/>
  <c r="B253" i="13"/>
  <c r="D253" i="13"/>
  <c r="E253" i="13"/>
  <c r="F253" i="13"/>
  <c r="G253" i="13"/>
  <c r="H253" i="13"/>
  <c r="I253" i="13"/>
  <c r="J253" i="13"/>
  <c r="K253" i="13"/>
  <c r="L253" i="13"/>
  <c r="M253" i="13"/>
  <c r="N253" i="13"/>
  <c r="O253" i="13"/>
  <c r="P253" i="13"/>
  <c r="A254" i="13"/>
  <c r="B254" i="13"/>
  <c r="D254" i="13"/>
  <c r="E254" i="13"/>
  <c r="F254" i="13"/>
  <c r="G254" i="13"/>
  <c r="H254" i="13"/>
  <c r="I254" i="13"/>
  <c r="J254" i="13"/>
  <c r="K254" i="13"/>
  <c r="L254" i="13"/>
  <c r="M254" i="13"/>
  <c r="N254" i="13"/>
  <c r="O254" i="13"/>
  <c r="P254" i="13"/>
  <c r="A255" i="13"/>
  <c r="B255" i="13"/>
  <c r="D255" i="13"/>
  <c r="E255" i="13"/>
  <c r="F255" i="13"/>
  <c r="G255" i="13"/>
  <c r="H255" i="13"/>
  <c r="I255" i="13"/>
  <c r="J255" i="13"/>
  <c r="K255" i="13"/>
  <c r="L255" i="13"/>
  <c r="M255" i="13"/>
  <c r="N255" i="13"/>
  <c r="O255" i="13"/>
  <c r="P255" i="13"/>
  <c r="A256" i="13"/>
  <c r="B256" i="13"/>
  <c r="D256" i="13"/>
  <c r="E256" i="13"/>
  <c r="F256" i="13"/>
  <c r="G256" i="13"/>
  <c r="H256" i="13"/>
  <c r="I256" i="13"/>
  <c r="J256" i="13"/>
  <c r="K256" i="13"/>
  <c r="L256" i="13"/>
  <c r="M256" i="13"/>
  <c r="N256" i="13"/>
  <c r="O256" i="13"/>
  <c r="P256" i="13"/>
  <c r="A257" i="13"/>
  <c r="B257" i="13"/>
  <c r="D257" i="13"/>
  <c r="E257" i="13"/>
  <c r="F257" i="13"/>
  <c r="G257" i="13"/>
  <c r="H257" i="13"/>
  <c r="I257" i="13"/>
  <c r="J257" i="13"/>
  <c r="K257" i="13"/>
  <c r="L257" i="13"/>
  <c r="M257" i="13"/>
  <c r="N257" i="13"/>
  <c r="O257" i="13"/>
  <c r="P257" i="13"/>
  <c r="A258" i="13"/>
  <c r="B258" i="13"/>
  <c r="D258" i="13"/>
  <c r="E258" i="13"/>
  <c r="F258" i="13"/>
  <c r="G258" i="13"/>
  <c r="H258" i="13"/>
  <c r="I258" i="13"/>
  <c r="J258" i="13"/>
  <c r="K258" i="13"/>
  <c r="L258" i="13"/>
  <c r="M258" i="13"/>
  <c r="N258" i="13"/>
  <c r="O258" i="13"/>
  <c r="P258" i="13"/>
  <c r="B259" i="13"/>
  <c r="D259" i="13"/>
  <c r="E259" i="13"/>
  <c r="F259" i="13"/>
  <c r="G259" i="13"/>
  <c r="H259" i="13"/>
  <c r="I259" i="13"/>
  <c r="J259" i="13"/>
  <c r="K259" i="13"/>
  <c r="L259" i="13"/>
  <c r="M259" i="13"/>
  <c r="N259" i="13"/>
  <c r="O259" i="13"/>
  <c r="P259" i="13"/>
  <c r="B260" i="13"/>
  <c r="D260" i="13"/>
  <c r="E260" i="13"/>
  <c r="F260" i="13"/>
  <c r="G260" i="13"/>
  <c r="H260" i="13"/>
  <c r="I260" i="13"/>
  <c r="J260" i="13"/>
  <c r="K260" i="13"/>
  <c r="L260" i="13"/>
  <c r="M260" i="13"/>
  <c r="N260" i="13"/>
  <c r="O260" i="13"/>
  <c r="P260" i="13"/>
  <c r="B261" i="13"/>
  <c r="D261" i="13"/>
  <c r="E261" i="13"/>
  <c r="F261" i="13"/>
  <c r="G261" i="13"/>
  <c r="H261" i="13"/>
  <c r="I261" i="13"/>
  <c r="J261" i="13"/>
  <c r="K261" i="13"/>
  <c r="L261" i="13"/>
  <c r="M261" i="13"/>
  <c r="N261" i="13"/>
  <c r="O261" i="13"/>
  <c r="P261" i="13"/>
  <c r="B262" i="13"/>
  <c r="D262" i="13"/>
  <c r="E262" i="13"/>
  <c r="F262" i="13"/>
  <c r="G262" i="13"/>
  <c r="H262" i="13"/>
  <c r="I262" i="13"/>
  <c r="J262" i="13"/>
  <c r="K262" i="13"/>
  <c r="L262" i="13"/>
  <c r="M262" i="13"/>
  <c r="N262" i="13"/>
  <c r="O262" i="13"/>
  <c r="P262" i="13"/>
  <c r="B263" i="13"/>
  <c r="D263" i="13"/>
  <c r="E263" i="13"/>
  <c r="F263" i="13"/>
  <c r="G263" i="13"/>
  <c r="H263" i="13"/>
  <c r="I263" i="13"/>
  <c r="J263" i="13"/>
  <c r="K263" i="13"/>
  <c r="L263" i="13"/>
  <c r="M263" i="13"/>
  <c r="N263" i="13"/>
  <c r="O263" i="13"/>
  <c r="P263" i="13"/>
  <c r="A264" i="13"/>
  <c r="B264" i="13"/>
  <c r="D264" i="13"/>
  <c r="E264" i="13"/>
  <c r="F264" i="13"/>
  <c r="G264" i="13"/>
  <c r="H264" i="13"/>
  <c r="I264" i="13"/>
  <c r="J264" i="13"/>
  <c r="K264" i="13"/>
  <c r="L264" i="13"/>
  <c r="M264" i="13"/>
  <c r="N264" i="13"/>
  <c r="O264" i="13"/>
  <c r="P264" i="13"/>
  <c r="B265" i="13"/>
  <c r="D265" i="13"/>
  <c r="E265" i="13"/>
  <c r="F265" i="13"/>
  <c r="G265" i="13"/>
  <c r="H265" i="13"/>
  <c r="I265" i="13"/>
  <c r="J265" i="13"/>
  <c r="K265" i="13"/>
  <c r="L265" i="13"/>
  <c r="M265" i="13"/>
  <c r="N265" i="13"/>
  <c r="O265" i="13"/>
  <c r="P265" i="13"/>
  <c r="A266" i="13"/>
  <c r="B266" i="13"/>
  <c r="D266" i="13"/>
  <c r="E266" i="13"/>
  <c r="F266" i="13"/>
  <c r="G266" i="13"/>
  <c r="H266" i="13"/>
  <c r="I266" i="13"/>
  <c r="J266" i="13"/>
  <c r="K266" i="13"/>
  <c r="L266" i="13"/>
  <c r="M266" i="13"/>
  <c r="N266" i="13"/>
  <c r="O266" i="13"/>
  <c r="P266" i="13"/>
  <c r="A267" i="13"/>
  <c r="B267" i="13"/>
  <c r="D267" i="13"/>
  <c r="E267" i="13"/>
  <c r="F267" i="13"/>
  <c r="G267" i="13"/>
  <c r="H267" i="13"/>
  <c r="I267" i="13"/>
  <c r="J267" i="13"/>
  <c r="K267" i="13"/>
  <c r="L267" i="13"/>
  <c r="M267" i="13"/>
  <c r="N267" i="13"/>
  <c r="O267" i="13"/>
  <c r="P267" i="13"/>
  <c r="A268" i="13"/>
  <c r="B268" i="13"/>
  <c r="D268" i="13"/>
  <c r="E268" i="13"/>
  <c r="F268" i="13"/>
  <c r="G268" i="13"/>
  <c r="H268" i="13"/>
  <c r="I268" i="13"/>
  <c r="J268" i="13"/>
  <c r="K268" i="13"/>
  <c r="L268" i="13"/>
  <c r="M268" i="13"/>
  <c r="N268" i="13"/>
  <c r="O268" i="13"/>
  <c r="P268" i="13"/>
  <c r="A269" i="13"/>
  <c r="B269" i="13"/>
  <c r="D269" i="13"/>
  <c r="E269" i="13"/>
  <c r="F269" i="13"/>
  <c r="G269" i="13"/>
  <c r="H269" i="13"/>
  <c r="I269" i="13"/>
  <c r="J269" i="13"/>
  <c r="K269" i="13"/>
  <c r="L269" i="13"/>
  <c r="M269" i="13"/>
  <c r="N269" i="13"/>
  <c r="O269" i="13"/>
  <c r="P269" i="13"/>
  <c r="A270" i="13"/>
  <c r="B270" i="13"/>
  <c r="D270" i="13"/>
  <c r="E270" i="13"/>
  <c r="F270" i="13"/>
  <c r="G270" i="13"/>
  <c r="H270" i="13"/>
  <c r="I270" i="13"/>
  <c r="J270" i="13"/>
  <c r="K270" i="13"/>
  <c r="L270" i="13"/>
  <c r="M270" i="13"/>
  <c r="N270" i="13"/>
  <c r="O270" i="13"/>
  <c r="P270" i="13"/>
  <c r="A271" i="13"/>
  <c r="B271" i="13"/>
  <c r="D271" i="13"/>
  <c r="E271" i="13"/>
  <c r="F271" i="13"/>
  <c r="G271" i="13"/>
  <c r="H271" i="13"/>
  <c r="I271" i="13"/>
  <c r="J271" i="13"/>
  <c r="K271" i="13"/>
  <c r="L271" i="13"/>
  <c r="M271" i="13"/>
  <c r="N271" i="13"/>
  <c r="O271" i="13"/>
  <c r="P271" i="13"/>
  <c r="A272" i="13"/>
  <c r="B272" i="13"/>
  <c r="D272" i="13"/>
  <c r="E272" i="13"/>
  <c r="F272" i="13"/>
  <c r="G272" i="13"/>
  <c r="H272" i="13"/>
  <c r="I272" i="13"/>
  <c r="J272" i="13"/>
  <c r="K272" i="13"/>
  <c r="L272" i="13"/>
  <c r="M272" i="13"/>
  <c r="N272" i="13"/>
  <c r="O272" i="13"/>
  <c r="P272" i="13"/>
  <c r="A273" i="13"/>
  <c r="B273" i="13"/>
  <c r="D273" i="13"/>
  <c r="E273" i="13"/>
  <c r="F273" i="13"/>
  <c r="G273" i="13"/>
  <c r="H273" i="13"/>
  <c r="I273" i="13"/>
  <c r="J273" i="13"/>
  <c r="K273" i="13"/>
  <c r="L273" i="13"/>
  <c r="M273" i="13"/>
  <c r="N273" i="13"/>
  <c r="O273" i="13"/>
  <c r="P273" i="13"/>
  <c r="A274" i="13"/>
  <c r="B274" i="13"/>
  <c r="D274" i="13"/>
  <c r="E274" i="13"/>
  <c r="F274" i="13"/>
  <c r="G274" i="13"/>
  <c r="H274" i="13"/>
  <c r="I274" i="13"/>
  <c r="J274" i="13"/>
  <c r="K274" i="13"/>
  <c r="L274" i="13"/>
  <c r="M274" i="13"/>
  <c r="N274" i="13"/>
  <c r="O274" i="13"/>
  <c r="P274" i="13"/>
  <c r="A275" i="13"/>
  <c r="B275" i="13"/>
  <c r="D275" i="13"/>
  <c r="E275" i="13"/>
  <c r="F275" i="13"/>
  <c r="G275" i="13"/>
  <c r="H275" i="13"/>
  <c r="I275" i="13"/>
  <c r="J275" i="13"/>
  <c r="K275" i="13"/>
  <c r="L275" i="13"/>
  <c r="M275" i="13"/>
  <c r="N275" i="13"/>
  <c r="O275" i="13"/>
  <c r="P275" i="13"/>
  <c r="A276" i="13"/>
  <c r="B276" i="13"/>
  <c r="D276" i="13"/>
  <c r="E276" i="13"/>
  <c r="F276" i="13"/>
  <c r="G276" i="13"/>
  <c r="H276" i="13"/>
  <c r="I276" i="13"/>
  <c r="J276" i="13"/>
  <c r="K276" i="13"/>
  <c r="L276" i="13"/>
  <c r="M276" i="13"/>
  <c r="N276" i="13"/>
  <c r="O276" i="13"/>
  <c r="P276" i="13"/>
  <c r="A277" i="13"/>
  <c r="B277" i="13"/>
  <c r="D277" i="13"/>
  <c r="E277" i="13"/>
  <c r="F277" i="13"/>
  <c r="G277" i="13"/>
  <c r="H277" i="13"/>
  <c r="I277" i="13"/>
  <c r="J277" i="13"/>
  <c r="K277" i="13"/>
  <c r="L277" i="13"/>
  <c r="M277" i="13"/>
  <c r="N277" i="13"/>
  <c r="O277" i="13"/>
  <c r="P277" i="13"/>
  <c r="A278" i="13"/>
  <c r="B278" i="13"/>
  <c r="D278" i="13"/>
  <c r="E278" i="13"/>
  <c r="F278" i="13"/>
  <c r="G278" i="13"/>
  <c r="H278" i="13"/>
  <c r="I278" i="13"/>
  <c r="J278" i="13"/>
  <c r="K278" i="13"/>
  <c r="L278" i="13"/>
  <c r="M278" i="13"/>
  <c r="N278" i="13"/>
  <c r="O278" i="13"/>
  <c r="P278" i="13"/>
  <c r="A279" i="13"/>
  <c r="B279" i="13"/>
  <c r="D279" i="13"/>
  <c r="E279" i="13"/>
  <c r="F279" i="13"/>
  <c r="G279" i="13"/>
  <c r="H279" i="13"/>
  <c r="I279" i="13"/>
  <c r="J279" i="13"/>
  <c r="K279" i="13"/>
  <c r="L279" i="13"/>
  <c r="M279" i="13"/>
  <c r="N279" i="13"/>
  <c r="O279" i="13"/>
  <c r="P279" i="13"/>
  <c r="A280" i="13"/>
  <c r="B280" i="13"/>
  <c r="D280" i="13"/>
  <c r="E280" i="13"/>
  <c r="F280" i="13"/>
  <c r="G280" i="13"/>
  <c r="H280" i="13"/>
  <c r="I280" i="13"/>
  <c r="J280" i="13"/>
  <c r="K280" i="13"/>
  <c r="L280" i="13"/>
  <c r="M280" i="13"/>
  <c r="N280" i="13"/>
  <c r="O280" i="13"/>
  <c r="P280" i="13"/>
  <c r="A281" i="13"/>
  <c r="B281" i="13"/>
  <c r="D281" i="13"/>
  <c r="E281" i="13"/>
  <c r="F281" i="13"/>
  <c r="G281" i="13"/>
  <c r="H281" i="13"/>
  <c r="I281" i="13"/>
  <c r="J281" i="13"/>
  <c r="K281" i="13"/>
  <c r="L281" i="13"/>
  <c r="M281" i="13"/>
  <c r="N281" i="13"/>
  <c r="O281" i="13"/>
  <c r="P281" i="13"/>
  <c r="A282" i="13"/>
  <c r="B282" i="13"/>
  <c r="D282" i="13"/>
  <c r="E282" i="13"/>
  <c r="F282" i="13"/>
  <c r="G282" i="13"/>
  <c r="H282" i="13"/>
  <c r="I282" i="13"/>
  <c r="J282" i="13"/>
  <c r="K282" i="13"/>
  <c r="L282" i="13"/>
  <c r="M282" i="13"/>
  <c r="N282" i="13"/>
  <c r="O282" i="13"/>
  <c r="P282" i="13"/>
  <c r="A283" i="13"/>
  <c r="B283" i="13"/>
  <c r="D283" i="13"/>
  <c r="E283" i="13"/>
  <c r="F283" i="13"/>
  <c r="G283" i="13"/>
  <c r="H283" i="13"/>
  <c r="I283" i="13"/>
  <c r="J283" i="13"/>
  <c r="K283" i="13"/>
  <c r="L283" i="13"/>
  <c r="M283" i="13"/>
  <c r="N283" i="13"/>
  <c r="O283" i="13"/>
  <c r="P283" i="13"/>
  <c r="A284" i="13"/>
  <c r="B284" i="13"/>
  <c r="D284" i="13"/>
  <c r="E284" i="13"/>
  <c r="F284" i="13"/>
  <c r="G284" i="13"/>
  <c r="H284" i="13"/>
  <c r="I284" i="13"/>
  <c r="J284" i="13"/>
  <c r="K284" i="13"/>
  <c r="L284" i="13"/>
  <c r="M284" i="13"/>
  <c r="N284" i="13"/>
  <c r="O284" i="13"/>
  <c r="P284" i="13"/>
  <c r="A285" i="13"/>
  <c r="B285" i="13"/>
  <c r="D285" i="13"/>
  <c r="E285" i="13"/>
  <c r="F285" i="13"/>
  <c r="G285" i="13"/>
  <c r="H285" i="13"/>
  <c r="I285" i="13"/>
  <c r="J285" i="13"/>
  <c r="K285" i="13"/>
  <c r="L285" i="13"/>
  <c r="M285" i="13"/>
  <c r="N285" i="13"/>
  <c r="O285" i="13"/>
  <c r="P285" i="13"/>
  <c r="A286" i="13"/>
  <c r="B286" i="13"/>
  <c r="E286" i="13"/>
  <c r="F286" i="13"/>
  <c r="G286" i="13"/>
  <c r="H286" i="13"/>
  <c r="I286" i="13"/>
  <c r="J286" i="13"/>
  <c r="K286" i="13"/>
  <c r="L286" i="13"/>
  <c r="M286" i="13"/>
  <c r="N286" i="13"/>
  <c r="O286" i="13"/>
  <c r="P286" i="13"/>
  <c r="A287" i="13"/>
  <c r="B287" i="13"/>
  <c r="D287" i="13"/>
  <c r="E287" i="13"/>
  <c r="F287" i="13"/>
  <c r="G287" i="13"/>
  <c r="H287" i="13"/>
  <c r="I287" i="13"/>
  <c r="J287" i="13"/>
  <c r="K287" i="13"/>
  <c r="L287" i="13"/>
  <c r="M287" i="13"/>
  <c r="N287" i="13"/>
  <c r="O287" i="13"/>
  <c r="P287" i="13"/>
  <c r="A288" i="13"/>
  <c r="B288" i="13"/>
  <c r="D288" i="13"/>
  <c r="E288" i="13"/>
  <c r="F288" i="13"/>
  <c r="G288" i="13"/>
  <c r="H288" i="13"/>
  <c r="I288" i="13"/>
  <c r="J288" i="13"/>
  <c r="K288" i="13"/>
  <c r="L288" i="13"/>
  <c r="M288" i="13"/>
  <c r="N288" i="13"/>
  <c r="O288" i="13"/>
  <c r="P288" i="13"/>
  <c r="A289" i="13"/>
  <c r="B289" i="13"/>
  <c r="D289" i="13"/>
  <c r="E289" i="13"/>
  <c r="F289" i="13"/>
  <c r="G289" i="13"/>
  <c r="H289" i="13"/>
  <c r="I289" i="13"/>
  <c r="J289" i="13"/>
  <c r="K289" i="13"/>
  <c r="L289" i="13"/>
  <c r="M289" i="13"/>
  <c r="N289" i="13"/>
  <c r="O289" i="13"/>
  <c r="P289" i="13"/>
  <c r="A290" i="13"/>
  <c r="B290" i="13"/>
  <c r="D290" i="13"/>
  <c r="E290" i="13"/>
  <c r="F290" i="13"/>
  <c r="G290" i="13"/>
  <c r="H290" i="13"/>
  <c r="I290" i="13"/>
  <c r="J290" i="13"/>
  <c r="K290" i="13"/>
  <c r="L290" i="13"/>
  <c r="M290" i="13"/>
  <c r="N290" i="13"/>
  <c r="O290" i="13"/>
  <c r="P290" i="13"/>
  <c r="B291" i="13"/>
  <c r="D291" i="13"/>
  <c r="E291" i="13"/>
  <c r="F291" i="13"/>
  <c r="G291" i="13"/>
  <c r="H291" i="13"/>
  <c r="I291" i="13"/>
  <c r="J291" i="13"/>
  <c r="K291" i="13"/>
  <c r="L291" i="13"/>
  <c r="M291" i="13"/>
  <c r="N291" i="13"/>
  <c r="O291" i="13"/>
  <c r="P291" i="13"/>
  <c r="L2" i="13"/>
  <c r="AO85" i="11"/>
  <c r="AO87" i="11"/>
  <c r="AL4" i="11"/>
  <c r="AL5" i="11"/>
  <c r="AL6" i="11"/>
  <c r="AL7" i="11"/>
  <c r="AL8" i="11"/>
  <c r="AL9" i="11"/>
  <c r="AL10" i="11"/>
  <c r="AL11" i="11"/>
  <c r="AL12" i="11"/>
  <c r="AL13" i="11"/>
  <c r="AL14" i="11"/>
  <c r="AL15" i="11"/>
  <c r="AL16" i="11"/>
  <c r="AL17" i="11"/>
  <c r="AL18" i="11"/>
  <c r="AL19" i="11"/>
  <c r="AL20" i="11"/>
  <c r="AL21" i="11"/>
  <c r="AL22" i="11"/>
  <c r="AL23" i="11"/>
  <c r="AL24" i="11"/>
  <c r="AL25" i="11"/>
  <c r="AL26" i="11"/>
  <c r="AL27" i="11"/>
  <c r="AL28" i="11"/>
  <c r="AL29" i="11"/>
  <c r="AL30" i="11"/>
  <c r="AL31" i="11"/>
  <c r="AL32" i="11"/>
  <c r="AL33" i="11"/>
  <c r="AL34" i="11"/>
  <c r="AL35" i="11"/>
  <c r="AL36" i="11"/>
  <c r="AL37" i="11"/>
  <c r="AL38" i="11"/>
  <c r="AL39" i="11"/>
  <c r="AL40" i="11"/>
  <c r="AL41" i="11"/>
  <c r="AL42" i="11"/>
  <c r="AL43" i="11"/>
  <c r="AL44" i="11"/>
  <c r="AL45" i="11"/>
  <c r="AL46" i="11"/>
  <c r="AL47" i="11"/>
  <c r="AL48" i="11"/>
  <c r="AL49" i="11"/>
  <c r="AL50" i="11"/>
  <c r="AL51" i="11"/>
  <c r="AL52" i="11"/>
  <c r="AL53" i="11"/>
  <c r="AL54" i="11"/>
  <c r="AL55" i="11"/>
  <c r="AL56" i="11"/>
  <c r="AL57" i="11"/>
  <c r="AL58" i="11"/>
  <c r="AL59" i="11"/>
  <c r="AL60" i="11"/>
  <c r="AL61" i="11"/>
  <c r="AL62" i="11"/>
  <c r="AL63" i="11"/>
  <c r="AL64" i="11"/>
  <c r="AL65" i="11"/>
  <c r="AL66" i="11"/>
  <c r="AL67" i="11"/>
  <c r="AL68" i="11"/>
  <c r="AL69" i="11"/>
  <c r="AL70" i="11"/>
  <c r="AL71" i="11"/>
  <c r="AL72" i="11"/>
  <c r="AL73" i="11"/>
  <c r="AL74" i="11"/>
  <c r="AL75" i="11"/>
  <c r="AL76" i="11"/>
  <c r="AL77" i="11"/>
  <c r="AL78" i="11"/>
  <c r="AL79" i="11"/>
  <c r="AL80" i="11"/>
  <c r="AL81" i="11"/>
  <c r="AL82" i="11"/>
  <c r="AL83" i="11"/>
  <c r="AL84" i="11"/>
  <c r="AL85" i="11"/>
  <c r="AL86" i="11"/>
  <c r="AL87" i="11"/>
  <c r="AL88" i="11"/>
  <c r="AL89" i="11"/>
  <c r="AL90" i="11"/>
  <c r="AL91" i="11"/>
  <c r="AL92" i="11"/>
  <c r="AL93" i="11"/>
  <c r="AL94" i="11"/>
  <c r="AL95" i="11"/>
  <c r="AL96" i="11"/>
  <c r="AL97" i="11"/>
  <c r="AL98" i="11"/>
  <c r="AL99" i="11"/>
  <c r="AL100" i="11"/>
  <c r="AL101" i="11"/>
  <c r="AL102" i="11"/>
  <c r="AL103" i="11"/>
  <c r="AL104" i="11"/>
  <c r="AL105" i="11"/>
  <c r="AL106" i="11"/>
  <c r="AL107" i="11"/>
  <c r="AL108" i="11"/>
  <c r="AL109" i="11"/>
  <c r="AL110" i="11"/>
  <c r="AL111" i="11"/>
  <c r="AL112" i="11"/>
  <c r="AL113" i="11"/>
  <c r="AL114" i="11"/>
  <c r="AL115" i="11"/>
  <c r="AL116" i="11"/>
  <c r="AL117" i="11"/>
  <c r="AL118" i="11"/>
  <c r="AL119" i="11"/>
  <c r="AL120" i="11"/>
  <c r="AL121" i="11"/>
  <c r="AL122" i="11"/>
  <c r="AL123" i="11"/>
  <c r="AL124" i="11"/>
  <c r="AL125" i="11"/>
  <c r="AL126" i="11"/>
  <c r="AL127" i="11"/>
  <c r="AL128" i="11"/>
  <c r="AL129" i="11"/>
  <c r="AL130" i="11"/>
  <c r="AL131" i="11"/>
  <c r="AL132" i="11"/>
  <c r="AL133" i="11"/>
  <c r="AL134" i="11"/>
  <c r="AL135" i="11"/>
  <c r="AL136" i="11"/>
  <c r="AL137" i="11"/>
  <c r="AL138" i="11"/>
  <c r="AL139" i="11"/>
  <c r="AL140" i="11"/>
  <c r="AL141" i="11"/>
  <c r="AL142" i="11"/>
  <c r="AL143" i="11"/>
  <c r="AL144" i="11"/>
  <c r="AL145" i="11"/>
  <c r="AL146" i="11"/>
  <c r="AL147" i="11"/>
  <c r="AL148" i="11"/>
  <c r="AL149" i="11"/>
  <c r="AL150" i="11"/>
  <c r="AL151" i="11"/>
  <c r="AL152" i="11"/>
  <c r="AL153" i="11"/>
  <c r="AL154" i="11"/>
  <c r="AL155" i="11"/>
  <c r="AL156" i="11"/>
  <c r="AL157" i="11"/>
  <c r="AL158" i="11"/>
  <c r="AL159" i="11"/>
  <c r="AL160" i="11"/>
  <c r="AL161" i="11"/>
  <c r="AL162" i="11"/>
  <c r="AL163" i="11"/>
  <c r="AL164" i="11"/>
  <c r="AL165" i="11"/>
  <c r="AL166" i="11"/>
  <c r="AL167" i="11"/>
  <c r="AL168" i="11"/>
  <c r="AL169" i="11"/>
  <c r="AL170" i="11"/>
  <c r="AL171" i="11"/>
  <c r="AL172" i="11"/>
  <c r="AL173" i="11"/>
  <c r="AL174" i="11"/>
  <c r="AL175" i="11"/>
  <c r="AL176" i="11"/>
  <c r="AL177" i="11"/>
  <c r="AL178" i="11"/>
  <c r="AL179" i="11"/>
  <c r="AL180" i="11"/>
  <c r="AL181" i="11"/>
  <c r="AL182" i="11"/>
  <c r="AL183" i="11"/>
  <c r="AL184" i="11"/>
  <c r="AL185" i="11"/>
  <c r="AL186" i="11"/>
  <c r="AL187" i="11"/>
  <c r="AL188" i="11"/>
  <c r="AL189" i="11"/>
  <c r="AL190" i="11"/>
  <c r="AL191" i="11"/>
  <c r="AL192" i="11"/>
  <c r="AL193" i="11"/>
  <c r="AL194" i="11"/>
  <c r="AL195" i="11"/>
  <c r="AL196" i="11"/>
  <c r="AL197" i="11"/>
  <c r="AL198" i="11"/>
  <c r="AL199" i="11"/>
  <c r="AL200" i="11"/>
  <c r="AL201" i="11"/>
  <c r="AL202" i="11"/>
  <c r="AL203" i="11"/>
  <c r="AL204" i="11"/>
  <c r="AL205" i="11"/>
  <c r="AL206" i="11"/>
  <c r="AL207" i="11"/>
  <c r="AL208" i="11"/>
  <c r="AL209" i="11"/>
  <c r="AL210" i="11"/>
  <c r="AL211" i="11"/>
  <c r="AL212" i="11"/>
  <c r="AL213" i="11"/>
  <c r="AL214" i="11"/>
  <c r="AL215" i="11"/>
  <c r="AL216" i="11"/>
  <c r="AL217" i="11"/>
  <c r="AL218" i="11"/>
  <c r="AL219" i="11"/>
  <c r="AL220" i="11"/>
  <c r="AL221" i="11"/>
  <c r="AL222" i="11"/>
  <c r="AL223" i="11"/>
  <c r="AL224" i="11"/>
  <c r="AL225" i="11"/>
  <c r="AL226" i="11"/>
  <c r="AL227" i="11"/>
  <c r="AL228" i="11"/>
  <c r="AL229" i="11"/>
  <c r="AL230" i="11"/>
  <c r="AL231" i="11"/>
  <c r="AL232" i="11"/>
  <c r="AL233" i="11"/>
  <c r="AL234" i="11"/>
  <c r="AL235" i="11"/>
  <c r="AL236" i="11"/>
  <c r="AL237" i="11"/>
  <c r="AL238" i="11"/>
  <c r="AL239" i="11"/>
  <c r="AL240" i="11"/>
  <c r="AL241" i="11"/>
  <c r="AL242" i="11"/>
  <c r="AL243" i="11"/>
  <c r="AL244" i="11"/>
  <c r="AL245" i="11"/>
  <c r="AL246" i="11"/>
  <c r="AL247" i="11"/>
  <c r="AL248" i="11"/>
  <c r="AL249" i="11"/>
  <c r="AL250" i="11"/>
  <c r="AL251" i="11"/>
  <c r="AL252" i="11"/>
  <c r="AL253" i="11"/>
  <c r="AL254" i="11"/>
  <c r="AL255" i="11"/>
  <c r="AL256" i="11"/>
  <c r="AL257" i="11"/>
  <c r="AL258" i="11"/>
  <c r="AL259" i="11"/>
  <c r="AL260" i="11"/>
  <c r="AL261" i="11"/>
  <c r="AL262" i="11"/>
  <c r="AL263" i="11"/>
  <c r="AL264" i="11"/>
  <c r="AL265" i="11"/>
  <c r="AL266" i="11"/>
  <c r="AL267" i="11"/>
  <c r="AL268" i="11"/>
  <c r="AL269" i="11"/>
  <c r="AL270" i="11"/>
  <c r="AL271" i="11"/>
  <c r="AL272" i="11"/>
  <c r="AL273" i="11"/>
  <c r="AL274" i="11"/>
  <c r="AL275" i="11"/>
  <c r="AL276" i="11"/>
  <c r="AL277" i="11"/>
  <c r="AL278" i="11"/>
  <c r="AL279" i="11"/>
  <c r="AL280" i="11"/>
  <c r="AL281" i="11"/>
  <c r="AL282" i="11"/>
  <c r="AL283" i="11"/>
  <c r="AL284" i="11"/>
  <c r="AL285" i="11"/>
  <c r="AL286" i="11"/>
  <c r="AL287" i="11"/>
  <c r="AL288" i="11"/>
  <c r="AL289" i="11"/>
  <c r="AL290" i="11"/>
  <c r="AL291" i="11"/>
  <c r="AL292" i="11"/>
  <c r="AL293" i="11"/>
  <c r="AL3" i="11"/>
  <c r="AG20" i="11"/>
  <c r="AH5" i="11"/>
  <c r="AP293" i="11"/>
  <c r="AO293" i="11"/>
  <c r="AN293" i="11"/>
  <c r="AM293" i="11"/>
  <c r="AK293" i="11"/>
  <c r="AJ293" i="11"/>
  <c r="AI293" i="11"/>
  <c r="AH293" i="11"/>
  <c r="AG293" i="11"/>
  <c r="AF293" i="11"/>
  <c r="AP292" i="11"/>
  <c r="AO292" i="11"/>
  <c r="AN292" i="11"/>
  <c r="AM292" i="11"/>
  <c r="AK292" i="11"/>
  <c r="AJ292" i="11"/>
  <c r="AI292" i="11"/>
  <c r="AH292" i="11"/>
  <c r="AG292" i="11"/>
  <c r="AF292" i="11"/>
  <c r="AP291" i="11"/>
  <c r="AO291" i="11"/>
  <c r="AN291" i="11"/>
  <c r="AM291" i="11"/>
  <c r="AK291" i="11"/>
  <c r="AJ291" i="11"/>
  <c r="AI291" i="11"/>
  <c r="AH291" i="11"/>
  <c r="AG291" i="11"/>
  <c r="AF291" i="11"/>
  <c r="AP290" i="11"/>
  <c r="AO290" i="11"/>
  <c r="AN290" i="11"/>
  <c r="AM290" i="11"/>
  <c r="AK290" i="11"/>
  <c r="AJ290" i="11"/>
  <c r="AI290" i="11"/>
  <c r="AH290" i="11"/>
  <c r="AG290" i="11"/>
  <c r="AF290" i="11"/>
  <c r="AP289" i="11"/>
  <c r="AO289" i="11"/>
  <c r="AN289" i="11"/>
  <c r="AM289" i="11"/>
  <c r="AK289" i="11"/>
  <c r="AJ289" i="11"/>
  <c r="AI289" i="11"/>
  <c r="AH289" i="11"/>
  <c r="AG289" i="11"/>
  <c r="AF289" i="11"/>
  <c r="AP288" i="11"/>
  <c r="AO288" i="11"/>
  <c r="AN288" i="11"/>
  <c r="AM288" i="11"/>
  <c r="AK288" i="11"/>
  <c r="AJ288" i="11"/>
  <c r="AI288" i="11"/>
  <c r="AH288" i="11"/>
  <c r="AG288" i="11"/>
  <c r="AF288" i="11"/>
  <c r="AP287" i="11"/>
  <c r="AO287" i="11"/>
  <c r="AN287" i="11"/>
  <c r="AM287" i="11"/>
  <c r="AK287" i="11"/>
  <c r="AJ287" i="11"/>
  <c r="AI287" i="11"/>
  <c r="AH287" i="11"/>
  <c r="AG287" i="11"/>
  <c r="AF287" i="11"/>
  <c r="AP286" i="11"/>
  <c r="AO286" i="11"/>
  <c r="AN286" i="11"/>
  <c r="AM286" i="11"/>
  <c r="AK286" i="11"/>
  <c r="AJ286" i="11"/>
  <c r="AI286" i="11"/>
  <c r="AH286" i="11"/>
  <c r="AG286" i="11"/>
  <c r="AF286" i="11"/>
  <c r="AP285" i="11"/>
  <c r="AO285" i="11"/>
  <c r="AN285" i="11"/>
  <c r="AM285" i="11"/>
  <c r="AK285" i="11"/>
  <c r="AJ285" i="11"/>
  <c r="AI285" i="11"/>
  <c r="AH285" i="11"/>
  <c r="AG285" i="11"/>
  <c r="AF285" i="11"/>
  <c r="AP284" i="11"/>
  <c r="AO284" i="11"/>
  <c r="AN284" i="11"/>
  <c r="AM284" i="11"/>
  <c r="AK284" i="11"/>
  <c r="AJ284" i="11"/>
  <c r="AI284" i="11"/>
  <c r="AH284" i="11"/>
  <c r="AG284" i="11"/>
  <c r="AF284" i="11"/>
  <c r="AP283" i="11"/>
  <c r="AO283" i="11"/>
  <c r="AN283" i="11"/>
  <c r="AM283" i="11"/>
  <c r="AK283" i="11"/>
  <c r="AJ283" i="11"/>
  <c r="AI283" i="11"/>
  <c r="AH283" i="11"/>
  <c r="AG283" i="11"/>
  <c r="AF283" i="11"/>
  <c r="AP282" i="11"/>
  <c r="AO282" i="11"/>
  <c r="AN282" i="11"/>
  <c r="AM282" i="11"/>
  <c r="AK282" i="11"/>
  <c r="AJ282" i="11"/>
  <c r="AI282" i="11"/>
  <c r="AH282" i="11"/>
  <c r="AG282" i="11"/>
  <c r="AF282" i="11"/>
  <c r="AP281" i="11"/>
  <c r="AO281" i="11"/>
  <c r="AN281" i="11"/>
  <c r="AM281" i="11"/>
  <c r="AK281" i="11"/>
  <c r="AJ281" i="11"/>
  <c r="AI281" i="11"/>
  <c r="AH281" i="11"/>
  <c r="AG281" i="11"/>
  <c r="AF281" i="11"/>
  <c r="AP280" i="11"/>
  <c r="AO280" i="11"/>
  <c r="AN280" i="11"/>
  <c r="AM280" i="11"/>
  <c r="AK280" i="11"/>
  <c r="AJ280" i="11"/>
  <c r="AI280" i="11"/>
  <c r="AH280" i="11"/>
  <c r="AG280" i="11"/>
  <c r="AF280" i="11"/>
  <c r="AP279" i="11"/>
  <c r="AO279" i="11"/>
  <c r="AN279" i="11"/>
  <c r="AM279" i="11"/>
  <c r="AK279" i="11"/>
  <c r="AJ279" i="11"/>
  <c r="AI279" i="11"/>
  <c r="AH279" i="11"/>
  <c r="AG279" i="11"/>
  <c r="AF279" i="11"/>
  <c r="AP278" i="11"/>
  <c r="AO278" i="11"/>
  <c r="AN278" i="11"/>
  <c r="AM278" i="11"/>
  <c r="AK278" i="11"/>
  <c r="AJ278" i="11"/>
  <c r="AI278" i="11"/>
  <c r="AH278" i="11"/>
  <c r="AG278" i="11"/>
  <c r="AF278" i="11"/>
  <c r="AP277" i="11"/>
  <c r="AO277" i="11"/>
  <c r="AN277" i="11"/>
  <c r="AM277" i="11"/>
  <c r="AK277" i="11"/>
  <c r="AJ277" i="11"/>
  <c r="AI277" i="11"/>
  <c r="AH277" i="11"/>
  <c r="AG277" i="11"/>
  <c r="AF277" i="11"/>
  <c r="AP276" i="11"/>
  <c r="AO276" i="11"/>
  <c r="AN276" i="11"/>
  <c r="AM276" i="11"/>
  <c r="AK276" i="11"/>
  <c r="AJ276" i="11"/>
  <c r="AI276" i="11"/>
  <c r="AH276" i="11"/>
  <c r="AG276" i="11"/>
  <c r="AF276" i="11"/>
  <c r="AP275" i="11"/>
  <c r="AO275" i="11"/>
  <c r="AN275" i="11"/>
  <c r="AM275" i="11"/>
  <c r="AK275" i="11"/>
  <c r="AJ275" i="11"/>
  <c r="AI275" i="11"/>
  <c r="AH275" i="11"/>
  <c r="AG275" i="11"/>
  <c r="AF275" i="11"/>
  <c r="AP274" i="11"/>
  <c r="AO274" i="11"/>
  <c r="AN274" i="11"/>
  <c r="AM274" i="11"/>
  <c r="AK274" i="11"/>
  <c r="AJ274" i="11"/>
  <c r="AI274" i="11"/>
  <c r="AH274" i="11"/>
  <c r="AG274" i="11"/>
  <c r="AF274" i="11"/>
  <c r="AP273" i="11"/>
  <c r="AO273" i="11"/>
  <c r="AN273" i="11"/>
  <c r="AM273" i="11"/>
  <c r="AK273" i="11"/>
  <c r="AJ273" i="11"/>
  <c r="AI273" i="11"/>
  <c r="AH273" i="11"/>
  <c r="AG273" i="11"/>
  <c r="AF273" i="11"/>
  <c r="AP272" i="11"/>
  <c r="AO272" i="11"/>
  <c r="AN272" i="11"/>
  <c r="AM272" i="11"/>
  <c r="AK272" i="11"/>
  <c r="AJ272" i="11"/>
  <c r="AI272" i="11"/>
  <c r="AH272" i="11"/>
  <c r="AG272" i="11"/>
  <c r="AF272" i="11"/>
  <c r="AP271" i="11"/>
  <c r="AO271" i="11"/>
  <c r="AN271" i="11"/>
  <c r="AM271" i="11"/>
  <c r="AK271" i="11"/>
  <c r="AJ271" i="11"/>
  <c r="AI271" i="11"/>
  <c r="AH271" i="11"/>
  <c r="AG271" i="11"/>
  <c r="AF271" i="11"/>
  <c r="AP270" i="11"/>
  <c r="AO270" i="11"/>
  <c r="AN270" i="11"/>
  <c r="AM270" i="11"/>
  <c r="AK270" i="11"/>
  <c r="AJ270" i="11"/>
  <c r="AI270" i="11"/>
  <c r="AH270" i="11"/>
  <c r="AG270" i="11"/>
  <c r="AF270" i="11"/>
  <c r="AP269" i="11"/>
  <c r="AO269" i="11"/>
  <c r="AN269" i="11"/>
  <c r="AM269" i="11"/>
  <c r="AK269" i="11"/>
  <c r="AJ269" i="11"/>
  <c r="AI269" i="11"/>
  <c r="AH269" i="11"/>
  <c r="AG269" i="11"/>
  <c r="AF269" i="11"/>
  <c r="AP268" i="11"/>
  <c r="AO268" i="11"/>
  <c r="AN268" i="11"/>
  <c r="AM268" i="11"/>
  <c r="AK268" i="11"/>
  <c r="AJ268" i="11"/>
  <c r="AI268" i="11"/>
  <c r="AH268" i="11"/>
  <c r="AG268" i="11"/>
  <c r="AF268" i="11"/>
  <c r="AP267" i="11"/>
  <c r="AO267" i="11"/>
  <c r="AN267" i="11"/>
  <c r="AM267" i="11"/>
  <c r="AK267" i="11"/>
  <c r="AJ267" i="11"/>
  <c r="AI267" i="11"/>
  <c r="AH267" i="11"/>
  <c r="AG267" i="11"/>
  <c r="AF267" i="11"/>
  <c r="AP266" i="11"/>
  <c r="AO266" i="11"/>
  <c r="AN266" i="11"/>
  <c r="AM266" i="11"/>
  <c r="AK266" i="11"/>
  <c r="AJ266" i="11"/>
  <c r="AI266" i="11"/>
  <c r="AH266" i="11"/>
  <c r="AG266" i="11"/>
  <c r="AF266" i="11"/>
  <c r="AP265" i="11"/>
  <c r="AO265" i="11"/>
  <c r="AN265" i="11"/>
  <c r="AM265" i="11"/>
  <c r="AK265" i="11"/>
  <c r="AJ265" i="11"/>
  <c r="AI265" i="11"/>
  <c r="AH265" i="11"/>
  <c r="AG265" i="11"/>
  <c r="AF265" i="11"/>
  <c r="AP264" i="11"/>
  <c r="AO264" i="11"/>
  <c r="AN264" i="11"/>
  <c r="AM264" i="11"/>
  <c r="AK264" i="11"/>
  <c r="AJ264" i="11"/>
  <c r="AI264" i="11"/>
  <c r="AH264" i="11"/>
  <c r="AG264" i="11"/>
  <c r="AF264" i="11"/>
  <c r="AP263" i="11"/>
  <c r="AO263" i="11"/>
  <c r="AN263" i="11"/>
  <c r="AM263" i="11"/>
  <c r="AK263" i="11"/>
  <c r="AJ263" i="11"/>
  <c r="AI263" i="11"/>
  <c r="AH263" i="11"/>
  <c r="AG263" i="11"/>
  <c r="AF263" i="11"/>
  <c r="AP262" i="11"/>
  <c r="AO262" i="11"/>
  <c r="AN262" i="11"/>
  <c r="AM262" i="11"/>
  <c r="AK262" i="11"/>
  <c r="AJ262" i="11"/>
  <c r="AI262" i="11"/>
  <c r="AH262" i="11"/>
  <c r="AG262" i="11"/>
  <c r="AF262" i="11"/>
  <c r="AP261" i="11"/>
  <c r="AO261" i="11"/>
  <c r="AN261" i="11"/>
  <c r="AM261" i="11"/>
  <c r="AK261" i="11"/>
  <c r="AJ261" i="11"/>
  <c r="AI261" i="11"/>
  <c r="AH261" i="11"/>
  <c r="AG261" i="11"/>
  <c r="AF261" i="11"/>
  <c r="AP260" i="11"/>
  <c r="AO260" i="11"/>
  <c r="AN260" i="11"/>
  <c r="AM260" i="11"/>
  <c r="AK260" i="11"/>
  <c r="AJ260" i="11"/>
  <c r="AI260" i="11"/>
  <c r="AH260" i="11"/>
  <c r="AG260" i="11"/>
  <c r="AF260" i="11"/>
  <c r="AP259" i="11"/>
  <c r="AO259" i="11"/>
  <c r="AN259" i="11"/>
  <c r="AM259" i="11"/>
  <c r="AK259" i="11"/>
  <c r="AJ259" i="11"/>
  <c r="AI259" i="11"/>
  <c r="AH259" i="11"/>
  <c r="AG259" i="11"/>
  <c r="AF259" i="11"/>
  <c r="AP258" i="11"/>
  <c r="AO258" i="11"/>
  <c r="AN258" i="11"/>
  <c r="AM258" i="11"/>
  <c r="AK258" i="11"/>
  <c r="AJ258" i="11"/>
  <c r="AI258" i="11"/>
  <c r="AH258" i="11"/>
  <c r="AG258" i="11"/>
  <c r="AF258" i="11"/>
  <c r="AP257" i="11"/>
  <c r="AO257" i="11"/>
  <c r="AN257" i="11"/>
  <c r="AM257" i="11"/>
  <c r="AK257" i="11"/>
  <c r="AJ257" i="11"/>
  <c r="AI257" i="11"/>
  <c r="AH257" i="11"/>
  <c r="AG257" i="11"/>
  <c r="AF257" i="11"/>
  <c r="AP256" i="11"/>
  <c r="AO256" i="11"/>
  <c r="AN256" i="11"/>
  <c r="AM256" i="11"/>
  <c r="AK256" i="11"/>
  <c r="AJ256" i="11"/>
  <c r="AI256" i="11"/>
  <c r="AH256" i="11"/>
  <c r="AG256" i="11"/>
  <c r="AF256" i="11"/>
  <c r="AP255" i="11"/>
  <c r="AO255" i="11"/>
  <c r="AN255" i="11"/>
  <c r="AM255" i="11"/>
  <c r="AK255" i="11"/>
  <c r="AJ255" i="11"/>
  <c r="AI255" i="11"/>
  <c r="AH255" i="11"/>
  <c r="AG255" i="11"/>
  <c r="AF255" i="11"/>
  <c r="AP254" i="11"/>
  <c r="AO254" i="11"/>
  <c r="AN254" i="11"/>
  <c r="AM254" i="11"/>
  <c r="AK254" i="11"/>
  <c r="AJ254" i="11"/>
  <c r="AI254" i="11"/>
  <c r="AH254" i="11"/>
  <c r="AG254" i="11"/>
  <c r="AF254" i="11"/>
  <c r="AP253" i="11"/>
  <c r="AO253" i="11"/>
  <c r="AN253" i="11"/>
  <c r="AM253" i="11"/>
  <c r="AK253" i="11"/>
  <c r="AJ253" i="11"/>
  <c r="AI253" i="11"/>
  <c r="AH253" i="11"/>
  <c r="AG253" i="11"/>
  <c r="AF253" i="11"/>
  <c r="AP252" i="11"/>
  <c r="AO252" i="11"/>
  <c r="AN252" i="11"/>
  <c r="AM252" i="11"/>
  <c r="AK252" i="11"/>
  <c r="AJ252" i="11"/>
  <c r="AI252" i="11"/>
  <c r="AH252" i="11"/>
  <c r="AG252" i="11"/>
  <c r="AF252" i="11"/>
  <c r="AP251" i="11"/>
  <c r="AO251" i="11"/>
  <c r="AN251" i="11"/>
  <c r="AM251" i="11"/>
  <c r="AK251" i="11"/>
  <c r="AJ251" i="11"/>
  <c r="AI251" i="11"/>
  <c r="AH251" i="11"/>
  <c r="AG251" i="11"/>
  <c r="AF251" i="11"/>
  <c r="AP250" i="11"/>
  <c r="AO250" i="11"/>
  <c r="AN250" i="11"/>
  <c r="AM250" i="11"/>
  <c r="AK250" i="11"/>
  <c r="AJ250" i="11"/>
  <c r="AI250" i="11"/>
  <c r="AH250" i="11"/>
  <c r="AG250" i="11"/>
  <c r="AF250" i="11"/>
  <c r="AP249" i="11"/>
  <c r="AO249" i="11"/>
  <c r="AN249" i="11"/>
  <c r="AM249" i="11"/>
  <c r="AK249" i="11"/>
  <c r="AJ249" i="11"/>
  <c r="AI249" i="11"/>
  <c r="AH249" i="11"/>
  <c r="AG249" i="11"/>
  <c r="AF249" i="11"/>
  <c r="AP248" i="11"/>
  <c r="AO248" i="11"/>
  <c r="AN248" i="11"/>
  <c r="AM248" i="11"/>
  <c r="AK248" i="11"/>
  <c r="AJ248" i="11"/>
  <c r="AI248" i="11"/>
  <c r="AH248" i="11"/>
  <c r="AG248" i="11"/>
  <c r="AF248" i="11"/>
  <c r="AP247" i="11"/>
  <c r="AO247" i="11"/>
  <c r="AN247" i="11"/>
  <c r="AM247" i="11"/>
  <c r="AK247" i="11"/>
  <c r="AJ247" i="11"/>
  <c r="AI247" i="11"/>
  <c r="AH247" i="11"/>
  <c r="AG247" i="11"/>
  <c r="AF247" i="11"/>
  <c r="AP246" i="11"/>
  <c r="AO246" i="11"/>
  <c r="AN246" i="11"/>
  <c r="AM246" i="11"/>
  <c r="AK246" i="11"/>
  <c r="AJ246" i="11"/>
  <c r="AI246" i="11"/>
  <c r="AH246" i="11"/>
  <c r="AG246" i="11"/>
  <c r="AF246" i="11"/>
  <c r="AP245" i="11"/>
  <c r="AO245" i="11"/>
  <c r="AN245" i="11"/>
  <c r="AM245" i="11"/>
  <c r="AK245" i="11"/>
  <c r="AJ245" i="11"/>
  <c r="AI245" i="11"/>
  <c r="AH245" i="11"/>
  <c r="AG245" i="11"/>
  <c r="AF245" i="11"/>
  <c r="AP244" i="11"/>
  <c r="AO244" i="11"/>
  <c r="AN244" i="11"/>
  <c r="AM244" i="11"/>
  <c r="AK244" i="11"/>
  <c r="AJ244" i="11"/>
  <c r="AI244" i="11"/>
  <c r="AH244" i="11"/>
  <c r="AG244" i="11"/>
  <c r="AF244" i="11"/>
  <c r="AP243" i="11"/>
  <c r="AO243" i="11"/>
  <c r="AN243" i="11"/>
  <c r="AM243" i="11"/>
  <c r="AK243" i="11"/>
  <c r="AJ243" i="11"/>
  <c r="AI243" i="11"/>
  <c r="AH243" i="11"/>
  <c r="AG243" i="11"/>
  <c r="AF243" i="11"/>
  <c r="AP242" i="11"/>
  <c r="AO242" i="11"/>
  <c r="AN242" i="11"/>
  <c r="AM242" i="11"/>
  <c r="AK242" i="11"/>
  <c r="AJ242" i="11"/>
  <c r="AI242" i="11"/>
  <c r="AH242" i="11"/>
  <c r="AG242" i="11"/>
  <c r="AF242" i="11"/>
  <c r="AP241" i="11"/>
  <c r="AO241" i="11"/>
  <c r="AN241" i="11"/>
  <c r="AM241" i="11"/>
  <c r="AK241" i="11"/>
  <c r="AJ241" i="11"/>
  <c r="AI241" i="11"/>
  <c r="AH241" i="11"/>
  <c r="AG241" i="11"/>
  <c r="AF241" i="11"/>
  <c r="AP240" i="11"/>
  <c r="AO240" i="11"/>
  <c r="AN240" i="11"/>
  <c r="AM240" i="11"/>
  <c r="AK240" i="11"/>
  <c r="AJ240" i="11"/>
  <c r="AI240" i="11"/>
  <c r="AH240" i="11"/>
  <c r="AG240" i="11"/>
  <c r="AF240" i="11"/>
  <c r="AP239" i="11"/>
  <c r="AO239" i="11"/>
  <c r="AN239" i="11"/>
  <c r="AM239" i="11"/>
  <c r="AK239" i="11"/>
  <c r="AJ239" i="11"/>
  <c r="AI239" i="11"/>
  <c r="AH239" i="11"/>
  <c r="AG239" i="11"/>
  <c r="AF239" i="11"/>
  <c r="AP238" i="11"/>
  <c r="AO238" i="11"/>
  <c r="AN238" i="11"/>
  <c r="AM238" i="11"/>
  <c r="AK238" i="11"/>
  <c r="AJ238" i="11"/>
  <c r="AI238" i="11"/>
  <c r="AH238" i="11"/>
  <c r="AG238" i="11"/>
  <c r="AF238" i="11"/>
  <c r="AP237" i="11"/>
  <c r="AO237" i="11"/>
  <c r="AN237" i="11"/>
  <c r="AM237" i="11"/>
  <c r="AK237" i="11"/>
  <c r="AJ237" i="11"/>
  <c r="AI237" i="11"/>
  <c r="AH237" i="11"/>
  <c r="AG237" i="11"/>
  <c r="AF237" i="11"/>
  <c r="AP236" i="11"/>
  <c r="AO236" i="11"/>
  <c r="AN236" i="11"/>
  <c r="AM236" i="11"/>
  <c r="AK236" i="11"/>
  <c r="AJ236" i="11"/>
  <c r="AI236" i="11"/>
  <c r="AH236" i="11"/>
  <c r="AG236" i="11"/>
  <c r="AF236" i="11"/>
  <c r="AP235" i="11"/>
  <c r="AO235" i="11"/>
  <c r="AN235" i="11"/>
  <c r="AM235" i="11"/>
  <c r="AK235" i="11"/>
  <c r="AJ235" i="11"/>
  <c r="AI235" i="11"/>
  <c r="AH235" i="11"/>
  <c r="AG235" i="11"/>
  <c r="AF235" i="11"/>
  <c r="AP234" i="11"/>
  <c r="AO234" i="11"/>
  <c r="AN234" i="11"/>
  <c r="AM234" i="11"/>
  <c r="AK234" i="11"/>
  <c r="AJ234" i="11"/>
  <c r="AI234" i="11"/>
  <c r="AH234" i="11"/>
  <c r="AG234" i="11"/>
  <c r="AF234" i="11"/>
  <c r="AP233" i="11"/>
  <c r="AO233" i="11"/>
  <c r="AN233" i="11"/>
  <c r="AM233" i="11"/>
  <c r="AK233" i="11"/>
  <c r="AJ233" i="11"/>
  <c r="AI233" i="11"/>
  <c r="AH233" i="11"/>
  <c r="AG233" i="11"/>
  <c r="AF233" i="11"/>
  <c r="AP232" i="11"/>
  <c r="AO232" i="11"/>
  <c r="AN232" i="11"/>
  <c r="AM232" i="11"/>
  <c r="AK232" i="11"/>
  <c r="AJ232" i="11"/>
  <c r="AI232" i="11"/>
  <c r="AH232" i="11"/>
  <c r="AG232" i="11"/>
  <c r="AF232" i="11"/>
  <c r="AP231" i="11"/>
  <c r="AO231" i="11"/>
  <c r="AN231" i="11"/>
  <c r="AM231" i="11"/>
  <c r="AK231" i="11"/>
  <c r="AJ231" i="11"/>
  <c r="AI231" i="11"/>
  <c r="AH231" i="11"/>
  <c r="AG231" i="11"/>
  <c r="AF231" i="11"/>
  <c r="AP230" i="11"/>
  <c r="AO230" i="11"/>
  <c r="AN230" i="11"/>
  <c r="AM230" i="11"/>
  <c r="AK230" i="11"/>
  <c r="AJ230" i="11"/>
  <c r="AI230" i="11"/>
  <c r="AH230" i="11"/>
  <c r="AG230" i="11"/>
  <c r="AF230" i="11"/>
  <c r="AP229" i="11"/>
  <c r="AO229" i="11"/>
  <c r="AN229" i="11"/>
  <c r="AM229" i="11"/>
  <c r="AK229" i="11"/>
  <c r="AJ229" i="11"/>
  <c r="AI229" i="11"/>
  <c r="AH229" i="11"/>
  <c r="AG229" i="11"/>
  <c r="AF229" i="11"/>
  <c r="AP228" i="11"/>
  <c r="AO228" i="11"/>
  <c r="AN228" i="11"/>
  <c r="AM228" i="11"/>
  <c r="AK228" i="11"/>
  <c r="AJ228" i="11"/>
  <c r="AI228" i="11"/>
  <c r="AH228" i="11"/>
  <c r="AG228" i="11"/>
  <c r="AF228" i="11"/>
  <c r="AP227" i="11"/>
  <c r="AO227" i="11"/>
  <c r="AN227" i="11"/>
  <c r="AM227" i="11"/>
  <c r="AK227" i="11"/>
  <c r="AJ227" i="11"/>
  <c r="AI227" i="11"/>
  <c r="AH227" i="11"/>
  <c r="AG227" i="11"/>
  <c r="AF227" i="11"/>
  <c r="AP226" i="11"/>
  <c r="AO226" i="11"/>
  <c r="AN226" i="11"/>
  <c r="AM226" i="11"/>
  <c r="AK226" i="11"/>
  <c r="AJ226" i="11"/>
  <c r="AI226" i="11"/>
  <c r="AH226" i="11"/>
  <c r="AG226" i="11"/>
  <c r="AF226" i="11"/>
  <c r="AP225" i="11"/>
  <c r="AO225" i="11"/>
  <c r="AN225" i="11"/>
  <c r="AM225" i="11"/>
  <c r="AK225" i="11"/>
  <c r="AJ225" i="11"/>
  <c r="AI225" i="11"/>
  <c r="AH225" i="11"/>
  <c r="AG225" i="11"/>
  <c r="AF225" i="11"/>
  <c r="AP224" i="11"/>
  <c r="AO224" i="11"/>
  <c r="AN224" i="11"/>
  <c r="AM224" i="11"/>
  <c r="AK224" i="11"/>
  <c r="AJ224" i="11"/>
  <c r="AI224" i="11"/>
  <c r="AH224" i="11"/>
  <c r="AG224" i="11"/>
  <c r="AF224" i="11"/>
  <c r="AP223" i="11"/>
  <c r="AO223" i="11"/>
  <c r="AN223" i="11"/>
  <c r="AM223" i="11"/>
  <c r="AK223" i="11"/>
  <c r="AJ223" i="11"/>
  <c r="AI223" i="11"/>
  <c r="AH223" i="11"/>
  <c r="AG223" i="11"/>
  <c r="AF223" i="11"/>
  <c r="AP222" i="11"/>
  <c r="AO222" i="11"/>
  <c r="AN222" i="11"/>
  <c r="AM222" i="11"/>
  <c r="AK222" i="11"/>
  <c r="AJ222" i="11"/>
  <c r="AI222" i="11"/>
  <c r="AH222" i="11"/>
  <c r="AG222" i="11"/>
  <c r="AF222" i="11"/>
  <c r="AP221" i="11"/>
  <c r="AO221" i="11"/>
  <c r="AN221" i="11"/>
  <c r="AM221" i="11"/>
  <c r="AK221" i="11"/>
  <c r="AJ221" i="11"/>
  <c r="AI221" i="11"/>
  <c r="AH221" i="11"/>
  <c r="AG221" i="11"/>
  <c r="AF221" i="11"/>
  <c r="AP220" i="11"/>
  <c r="AO220" i="11"/>
  <c r="AN220" i="11"/>
  <c r="AM220" i="11"/>
  <c r="AK220" i="11"/>
  <c r="AJ220" i="11"/>
  <c r="AI220" i="11"/>
  <c r="AH220" i="11"/>
  <c r="AG220" i="11"/>
  <c r="AF220" i="11"/>
  <c r="AP219" i="11"/>
  <c r="AO219" i="11"/>
  <c r="AN219" i="11"/>
  <c r="AM219" i="11"/>
  <c r="AK219" i="11"/>
  <c r="AJ219" i="11"/>
  <c r="AI219" i="11"/>
  <c r="AH219" i="11"/>
  <c r="AG219" i="11"/>
  <c r="AF219" i="11"/>
  <c r="AP218" i="11"/>
  <c r="AO218" i="11"/>
  <c r="AN218" i="11"/>
  <c r="AM218" i="11"/>
  <c r="AK218" i="11"/>
  <c r="AJ218" i="11"/>
  <c r="AI218" i="11"/>
  <c r="AH218" i="11"/>
  <c r="AG218" i="11"/>
  <c r="AF218" i="11"/>
  <c r="AP217" i="11"/>
  <c r="AO217" i="11"/>
  <c r="AN217" i="11"/>
  <c r="AM217" i="11"/>
  <c r="AK217" i="11"/>
  <c r="AJ217" i="11"/>
  <c r="AI217" i="11"/>
  <c r="AH217" i="11"/>
  <c r="AG217" i="11"/>
  <c r="AF217" i="11"/>
  <c r="AP216" i="11"/>
  <c r="AO216" i="11"/>
  <c r="AN216" i="11"/>
  <c r="AM216" i="11"/>
  <c r="AK216" i="11"/>
  <c r="AJ216" i="11"/>
  <c r="AI216" i="11"/>
  <c r="AH216" i="11"/>
  <c r="AG216" i="11"/>
  <c r="AF216" i="11"/>
  <c r="AP215" i="11"/>
  <c r="AO215" i="11"/>
  <c r="AN215" i="11"/>
  <c r="AM215" i="11"/>
  <c r="AK215" i="11"/>
  <c r="AJ215" i="11"/>
  <c r="AI215" i="11"/>
  <c r="AH215" i="11"/>
  <c r="AG215" i="11"/>
  <c r="AF215" i="11"/>
  <c r="AP214" i="11"/>
  <c r="AO214" i="11"/>
  <c r="AN214" i="11"/>
  <c r="AM214" i="11"/>
  <c r="AK214" i="11"/>
  <c r="AJ214" i="11"/>
  <c r="AI214" i="11"/>
  <c r="AH214" i="11"/>
  <c r="AG214" i="11"/>
  <c r="AF214" i="11"/>
  <c r="AP213" i="11"/>
  <c r="AO213" i="11"/>
  <c r="AN213" i="11"/>
  <c r="AM213" i="11"/>
  <c r="AK213" i="11"/>
  <c r="AJ213" i="11"/>
  <c r="AI213" i="11"/>
  <c r="AH213" i="11"/>
  <c r="AG213" i="11"/>
  <c r="AF213" i="11"/>
  <c r="AP212" i="11"/>
  <c r="AO212" i="11"/>
  <c r="AN212" i="11"/>
  <c r="AM212" i="11"/>
  <c r="AK212" i="11"/>
  <c r="AJ212" i="11"/>
  <c r="AI212" i="11"/>
  <c r="AH212" i="11"/>
  <c r="AG212" i="11"/>
  <c r="AF212" i="11"/>
  <c r="AP211" i="11"/>
  <c r="AO211" i="11"/>
  <c r="AN211" i="11"/>
  <c r="AM211" i="11"/>
  <c r="AK211" i="11"/>
  <c r="AJ211" i="11"/>
  <c r="AI211" i="11"/>
  <c r="AH211" i="11"/>
  <c r="AG211" i="11"/>
  <c r="AF211" i="11"/>
  <c r="AP210" i="11"/>
  <c r="AO210" i="11"/>
  <c r="AN210" i="11"/>
  <c r="AM210" i="11"/>
  <c r="AK210" i="11"/>
  <c r="AJ210" i="11"/>
  <c r="AI210" i="11"/>
  <c r="AH210" i="11"/>
  <c r="AG210" i="11"/>
  <c r="AF210" i="11"/>
  <c r="AP209" i="11"/>
  <c r="AO209" i="11"/>
  <c r="AN209" i="11"/>
  <c r="AM209" i="11"/>
  <c r="AK209" i="11"/>
  <c r="AJ209" i="11"/>
  <c r="AI209" i="11"/>
  <c r="AH209" i="11"/>
  <c r="AG209" i="11"/>
  <c r="AF209" i="11"/>
  <c r="AP208" i="11"/>
  <c r="AO208" i="11"/>
  <c r="AN208" i="11"/>
  <c r="AM208" i="11"/>
  <c r="AK208" i="11"/>
  <c r="AJ208" i="11"/>
  <c r="AI208" i="11"/>
  <c r="AH208" i="11"/>
  <c r="AG208" i="11"/>
  <c r="AF208" i="11"/>
  <c r="AP207" i="11"/>
  <c r="AO207" i="11"/>
  <c r="AN207" i="11"/>
  <c r="AM207" i="11"/>
  <c r="AK207" i="11"/>
  <c r="AJ207" i="11"/>
  <c r="AI207" i="11"/>
  <c r="AH207" i="11"/>
  <c r="AG207" i="11"/>
  <c r="AF207" i="11"/>
  <c r="AP206" i="11"/>
  <c r="AO206" i="11"/>
  <c r="AN206" i="11"/>
  <c r="AM206" i="11"/>
  <c r="AK206" i="11"/>
  <c r="AJ206" i="11"/>
  <c r="AI206" i="11"/>
  <c r="AH206" i="11"/>
  <c r="AG206" i="11"/>
  <c r="AF206" i="11"/>
  <c r="AP205" i="11"/>
  <c r="AO205" i="11"/>
  <c r="AN205" i="11"/>
  <c r="AM205" i="11"/>
  <c r="AK205" i="11"/>
  <c r="AJ205" i="11"/>
  <c r="AI205" i="11"/>
  <c r="AH205" i="11"/>
  <c r="AG205" i="11"/>
  <c r="AF205" i="11"/>
  <c r="AP204" i="11"/>
  <c r="AO204" i="11"/>
  <c r="AN204" i="11"/>
  <c r="AM204" i="11"/>
  <c r="AK204" i="11"/>
  <c r="AJ204" i="11"/>
  <c r="AI204" i="11"/>
  <c r="AH204" i="11"/>
  <c r="AG204" i="11"/>
  <c r="AF204" i="11"/>
  <c r="AP203" i="11"/>
  <c r="AO203" i="11"/>
  <c r="AN203" i="11"/>
  <c r="AM203" i="11"/>
  <c r="AK203" i="11"/>
  <c r="AJ203" i="11"/>
  <c r="AI203" i="11"/>
  <c r="AH203" i="11"/>
  <c r="AG203" i="11"/>
  <c r="AF203" i="11"/>
  <c r="AP202" i="11"/>
  <c r="AO202" i="11"/>
  <c r="AN202" i="11"/>
  <c r="AM202" i="11"/>
  <c r="AK202" i="11"/>
  <c r="AJ202" i="11"/>
  <c r="AI202" i="11"/>
  <c r="AH202" i="11"/>
  <c r="AG202" i="11"/>
  <c r="AF202" i="11"/>
  <c r="AP201" i="11"/>
  <c r="AO201" i="11"/>
  <c r="AN201" i="11"/>
  <c r="AM201" i="11"/>
  <c r="AK201" i="11"/>
  <c r="AJ201" i="11"/>
  <c r="AI201" i="11"/>
  <c r="AH201" i="11"/>
  <c r="AG201" i="11"/>
  <c r="AF201" i="11"/>
  <c r="AP200" i="11"/>
  <c r="AO200" i="11"/>
  <c r="AN200" i="11"/>
  <c r="AM200" i="11"/>
  <c r="AK200" i="11"/>
  <c r="AJ200" i="11"/>
  <c r="AI200" i="11"/>
  <c r="AH200" i="11"/>
  <c r="AG200" i="11"/>
  <c r="AF200" i="11"/>
  <c r="AP199" i="11"/>
  <c r="AO199" i="11"/>
  <c r="AN199" i="11"/>
  <c r="AM199" i="11"/>
  <c r="AK199" i="11"/>
  <c r="AJ199" i="11"/>
  <c r="AI199" i="11"/>
  <c r="AH199" i="11"/>
  <c r="AG199" i="11"/>
  <c r="AF199" i="11"/>
  <c r="AP198" i="11"/>
  <c r="AO198" i="11"/>
  <c r="AN198" i="11"/>
  <c r="AM198" i="11"/>
  <c r="AK198" i="11"/>
  <c r="AJ198" i="11"/>
  <c r="AI198" i="11"/>
  <c r="AH198" i="11"/>
  <c r="AG198" i="11"/>
  <c r="AF198" i="11"/>
  <c r="AP197" i="11"/>
  <c r="AO197" i="11"/>
  <c r="AN197" i="11"/>
  <c r="AM197" i="11"/>
  <c r="AK197" i="11"/>
  <c r="AJ197" i="11"/>
  <c r="AI197" i="11"/>
  <c r="AH197" i="11"/>
  <c r="AG197" i="11"/>
  <c r="AF197" i="11"/>
  <c r="AP196" i="11"/>
  <c r="AO196" i="11"/>
  <c r="AN196" i="11"/>
  <c r="AM196" i="11"/>
  <c r="AK196" i="11"/>
  <c r="AJ196" i="11"/>
  <c r="AI196" i="11"/>
  <c r="AH196" i="11"/>
  <c r="AG196" i="11"/>
  <c r="AF196" i="11"/>
  <c r="AP195" i="11"/>
  <c r="AO195" i="11"/>
  <c r="AN195" i="11"/>
  <c r="AM195" i="11"/>
  <c r="AK195" i="11"/>
  <c r="AJ195" i="11"/>
  <c r="AI195" i="11"/>
  <c r="AH195" i="11"/>
  <c r="AG195" i="11"/>
  <c r="AF195" i="11"/>
  <c r="AP194" i="11"/>
  <c r="AO194" i="11"/>
  <c r="AN194" i="11"/>
  <c r="AM194" i="11"/>
  <c r="AK194" i="11"/>
  <c r="AJ194" i="11"/>
  <c r="AI194" i="11"/>
  <c r="AH194" i="11"/>
  <c r="AG194" i="11"/>
  <c r="AF194" i="11"/>
  <c r="AP193" i="11"/>
  <c r="AO193" i="11"/>
  <c r="AN193" i="11"/>
  <c r="AM193" i="11"/>
  <c r="AK193" i="11"/>
  <c r="AJ193" i="11"/>
  <c r="AI193" i="11"/>
  <c r="AH193" i="11"/>
  <c r="AG193" i="11"/>
  <c r="AF193" i="11"/>
  <c r="AP192" i="11"/>
  <c r="AO192" i="11"/>
  <c r="AN192" i="11"/>
  <c r="AM192" i="11"/>
  <c r="AK192" i="11"/>
  <c r="AJ192" i="11"/>
  <c r="AI192" i="11"/>
  <c r="AH192" i="11"/>
  <c r="AG192" i="11"/>
  <c r="AF192" i="11"/>
  <c r="AP191" i="11"/>
  <c r="AO191" i="11"/>
  <c r="AN191" i="11"/>
  <c r="AM191" i="11"/>
  <c r="AK191" i="11"/>
  <c r="AJ191" i="11"/>
  <c r="AI191" i="11"/>
  <c r="AH191" i="11"/>
  <c r="AG191" i="11"/>
  <c r="AF191" i="11"/>
  <c r="AP190" i="11"/>
  <c r="AO190" i="11"/>
  <c r="AN190" i="11"/>
  <c r="AM190" i="11"/>
  <c r="AK190" i="11"/>
  <c r="AJ190" i="11"/>
  <c r="AI190" i="11"/>
  <c r="AH190" i="11"/>
  <c r="AG190" i="11"/>
  <c r="AF190" i="11"/>
  <c r="AP189" i="11"/>
  <c r="AO189" i="11"/>
  <c r="AN189" i="11"/>
  <c r="AM189" i="11"/>
  <c r="AK189" i="11"/>
  <c r="AJ189" i="11"/>
  <c r="AI189" i="11"/>
  <c r="AH189" i="11"/>
  <c r="AG189" i="11"/>
  <c r="AF189" i="11"/>
  <c r="AP188" i="11"/>
  <c r="AO188" i="11"/>
  <c r="AN188" i="11"/>
  <c r="AM188" i="11"/>
  <c r="AK188" i="11"/>
  <c r="AJ188" i="11"/>
  <c r="AI188" i="11"/>
  <c r="AH188" i="11"/>
  <c r="AG188" i="11"/>
  <c r="AF188" i="11"/>
  <c r="AP187" i="11"/>
  <c r="AO187" i="11"/>
  <c r="AN187" i="11"/>
  <c r="AM187" i="11"/>
  <c r="AK187" i="11"/>
  <c r="AJ187" i="11"/>
  <c r="AI187" i="11"/>
  <c r="AH187" i="11"/>
  <c r="AG187" i="11"/>
  <c r="AF187" i="11"/>
  <c r="AP186" i="11"/>
  <c r="AO186" i="11"/>
  <c r="AN186" i="11"/>
  <c r="AM186" i="11"/>
  <c r="AK186" i="11"/>
  <c r="AJ186" i="11"/>
  <c r="AI186" i="11"/>
  <c r="AH186" i="11"/>
  <c r="AG186" i="11"/>
  <c r="AF186" i="11"/>
  <c r="AP185" i="11"/>
  <c r="AO185" i="11"/>
  <c r="AN185" i="11"/>
  <c r="AM185" i="11"/>
  <c r="AK185" i="11"/>
  <c r="AJ185" i="11"/>
  <c r="AI185" i="11"/>
  <c r="AH185" i="11"/>
  <c r="AG185" i="11"/>
  <c r="AF185" i="11"/>
  <c r="AP184" i="11"/>
  <c r="AO184" i="11"/>
  <c r="AN184" i="11"/>
  <c r="AM184" i="11"/>
  <c r="AK184" i="11"/>
  <c r="AJ184" i="11"/>
  <c r="AI184" i="11"/>
  <c r="AH184" i="11"/>
  <c r="AG184" i="11"/>
  <c r="AF184" i="11"/>
  <c r="AP183" i="11"/>
  <c r="AO183" i="11"/>
  <c r="AN183" i="11"/>
  <c r="AM183" i="11"/>
  <c r="AK183" i="11"/>
  <c r="AJ183" i="11"/>
  <c r="AI183" i="11"/>
  <c r="AH183" i="11"/>
  <c r="AG183" i="11"/>
  <c r="AF183" i="11"/>
  <c r="AP182" i="11"/>
  <c r="AO182" i="11"/>
  <c r="AN182" i="11"/>
  <c r="AM182" i="11"/>
  <c r="AK182" i="11"/>
  <c r="AJ182" i="11"/>
  <c r="AI182" i="11"/>
  <c r="AH182" i="11"/>
  <c r="AG182" i="11"/>
  <c r="AF182" i="11"/>
  <c r="AP181" i="11"/>
  <c r="AO181" i="11"/>
  <c r="AN181" i="11"/>
  <c r="AM181" i="11"/>
  <c r="AK181" i="11"/>
  <c r="AJ181" i="11"/>
  <c r="AI181" i="11"/>
  <c r="AH181" i="11"/>
  <c r="AG181" i="11"/>
  <c r="AF181" i="11"/>
  <c r="AP180" i="11"/>
  <c r="AO180" i="11"/>
  <c r="AN180" i="11"/>
  <c r="AM180" i="11"/>
  <c r="AK180" i="11"/>
  <c r="AJ180" i="11"/>
  <c r="AI180" i="11"/>
  <c r="AH180" i="11"/>
  <c r="AG180" i="11"/>
  <c r="AF180" i="11"/>
  <c r="AP179" i="11"/>
  <c r="AO179" i="11"/>
  <c r="AN179" i="11"/>
  <c r="AM179" i="11"/>
  <c r="AK179" i="11"/>
  <c r="AJ179" i="11"/>
  <c r="AI179" i="11"/>
  <c r="AH179" i="11"/>
  <c r="AG179" i="11"/>
  <c r="AF179" i="11"/>
  <c r="AP178" i="11"/>
  <c r="AO178" i="11"/>
  <c r="AN178" i="11"/>
  <c r="AM178" i="11"/>
  <c r="AK178" i="11"/>
  <c r="AJ178" i="11"/>
  <c r="AI178" i="11"/>
  <c r="AH178" i="11"/>
  <c r="AG178" i="11"/>
  <c r="AF178" i="11"/>
  <c r="AP177" i="11"/>
  <c r="AO177" i="11"/>
  <c r="AN177" i="11"/>
  <c r="AM177" i="11"/>
  <c r="AK177" i="11"/>
  <c r="AJ177" i="11"/>
  <c r="AI177" i="11"/>
  <c r="AH177" i="11"/>
  <c r="AG177" i="11"/>
  <c r="AF177" i="11"/>
  <c r="AP176" i="11"/>
  <c r="AO176" i="11"/>
  <c r="AN176" i="11"/>
  <c r="AM176" i="11"/>
  <c r="AK176" i="11"/>
  <c r="AJ176" i="11"/>
  <c r="AI176" i="11"/>
  <c r="AH176" i="11"/>
  <c r="AG176" i="11"/>
  <c r="AF176" i="11"/>
  <c r="AP175" i="11"/>
  <c r="AO175" i="11"/>
  <c r="AN175" i="11"/>
  <c r="AM175" i="11"/>
  <c r="AK175" i="11"/>
  <c r="AJ175" i="11"/>
  <c r="AI175" i="11"/>
  <c r="AH175" i="11"/>
  <c r="AG175" i="11"/>
  <c r="AF175" i="11"/>
  <c r="AP174" i="11"/>
  <c r="AO174" i="11"/>
  <c r="AN174" i="11"/>
  <c r="AM174" i="11"/>
  <c r="AK174" i="11"/>
  <c r="AJ174" i="11"/>
  <c r="AI174" i="11"/>
  <c r="AH174" i="11"/>
  <c r="AG174" i="11"/>
  <c r="AF174" i="11"/>
  <c r="AP173" i="11"/>
  <c r="AO173" i="11"/>
  <c r="AN173" i="11"/>
  <c r="AM173" i="11"/>
  <c r="AK173" i="11"/>
  <c r="AJ173" i="11"/>
  <c r="AI173" i="11"/>
  <c r="AH173" i="11"/>
  <c r="AG173" i="11"/>
  <c r="AF173" i="11"/>
  <c r="AP172" i="11"/>
  <c r="AO172" i="11"/>
  <c r="AN172" i="11"/>
  <c r="AM172" i="11"/>
  <c r="AK172" i="11"/>
  <c r="AJ172" i="11"/>
  <c r="AI172" i="11"/>
  <c r="AH172" i="11"/>
  <c r="AG172" i="11"/>
  <c r="AF172" i="11"/>
  <c r="AP171" i="11"/>
  <c r="AO171" i="11"/>
  <c r="AN171" i="11"/>
  <c r="AM171" i="11"/>
  <c r="AK171" i="11"/>
  <c r="AJ171" i="11"/>
  <c r="AI171" i="11"/>
  <c r="AH171" i="11"/>
  <c r="AG171" i="11"/>
  <c r="AF171" i="11"/>
  <c r="AP170" i="11"/>
  <c r="AO170" i="11"/>
  <c r="AN170" i="11"/>
  <c r="AM170" i="11"/>
  <c r="AK170" i="11"/>
  <c r="AJ170" i="11"/>
  <c r="AI170" i="11"/>
  <c r="AH170" i="11"/>
  <c r="AG170" i="11"/>
  <c r="AF170" i="11"/>
  <c r="AP169" i="11"/>
  <c r="AO169" i="11"/>
  <c r="AN169" i="11"/>
  <c r="AM169" i="11"/>
  <c r="AK169" i="11"/>
  <c r="AJ169" i="11"/>
  <c r="AI169" i="11"/>
  <c r="AH169" i="11"/>
  <c r="AG169" i="11"/>
  <c r="AF169" i="11"/>
  <c r="AP168" i="11"/>
  <c r="AO168" i="11"/>
  <c r="AN168" i="11"/>
  <c r="AM168" i="11"/>
  <c r="AK168" i="11"/>
  <c r="AJ168" i="11"/>
  <c r="AI168" i="11"/>
  <c r="AH168" i="11"/>
  <c r="AG168" i="11"/>
  <c r="AF168" i="11"/>
  <c r="AP167" i="11"/>
  <c r="AO167" i="11"/>
  <c r="AN167" i="11"/>
  <c r="AM167" i="11"/>
  <c r="AK167" i="11"/>
  <c r="AJ167" i="11"/>
  <c r="AI167" i="11"/>
  <c r="AH167" i="11"/>
  <c r="AG167" i="11"/>
  <c r="AF167" i="11"/>
  <c r="AP166" i="11"/>
  <c r="AO166" i="11"/>
  <c r="AN166" i="11"/>
  <c r="AM166" i="11"/>
  <c r="AK166" i="11"/>
  <c r="AJ166" i="11"/>
  <c r="AI166" i="11"/>
  <c r="AH166" i="11"/>
  <c r="AG166" i="11"/>
  <c r="AF166" i="11"/>
  <c r="AP165" i="11"/>
  <c r="AO165" i="11"/>
  <c r="AN165" i="11"/>
  <c r="AM165" i="11"/>
  <c r="AK165" i="11"/>
  <c r="AJ165" i="11"/>
  <c r="AI165" i="11"/>
  <c r="AH165" i="11"/>
  <c r="AG165" i="11"/>
  <c r="AF165" i="11"/>
  <c r="AP164" i="11"/>
  <c r="AO164" i="11"/>
  <c r="AN164" i="11"/>
  <c r="AM164" i="11"/>
  <c r="AK164" i="11"/>
  <c r="AJ164" i="11"/>
  <c r="AI164" i="11"/>
  <c r="AH164" i="11"/>
  <c r="AG164" i="11"/>
  <c r="AF164" i="11"/>
  <c r="AP163" i="11"/>
  <c r="AO163" i="11"/>
  <c r="AN163" i="11"/>
  <c r="AM163" i="11"/>
  <c r="AK163" i="11"/>
  <c r="AJ163" i="11"/>
  <c r="AI163" i="11"/>
  <c r="AH163" i="11"/>
  <c r="AG163" i="11"/>
  <c r="AF163" i="11"/>
  <c r="AP162" i="11"/>
  <c r="AO162" i="11"/>
  <c r="AN162" i="11"/>
  <c r="AM162" i="11"/>
  <c r="AK162" i="11"/>
  <c r="AJ162" i="11"/>
  <c r="AI162" i="11"/>
  <c r="AH162" i="11"/>
  <c r="AG162" i="11"/>
  <c r="AF162" i="11"/>
  <c r="AP161" i="11"/>
  <c r="AO161" i="11"/>
  <c r="AN161" i="11"/>
  <c r="AM161" i="11"/>
  <c r="AK161" i="11"/>
  <c r="AJ161" i="11"/>
  <c r="AI161" i="11"/>
  <c r="AH161" i="11"/>
  <c r="AG161" i="11"/>
  <c r="AF161" i="11"/>
  <c r="AP160" i="11"/>
  <c r="AO160" i="11"/>
  <c r="AN160" i="11"/>
  <c r="AM160" i="11"/>
  <c r="AK160" i="11"/>
  <c r="AJ160" i="11"/>
  <c r="AI160" i="11"/>
  <c r="AH160" i="11"/>
  <c r="AG160" i="11"/>
  <c r="AF160" i="11"/>
  <c r="AP159" i="11"/>
  <c r="AO159" i="11"/>
  <c r="AN159" i="11"/>
  <c r="AM159" i="11"/>
  <c r="AK159" i="11"/>
  <c r="AJ159" i="11"/>
  <c r="AI159" i="11"/>
  <c r="AH159" i="11"/>
  <c r="AG159" i="11"/>
  <c r="AF159" i="11"/>
  <c r="AP158" i="11"/>
  <c r="AO158" i="11"/>
  <c r="AN158" i="11"/>
  <c r="AM158" i="11"/>
  <c r="AK158" i="11"/>
  <c r="AJ158" i="11"/>
  <c r="AI158" i="11"/>
  <c r="AH158" i="11"/>
  <c r="AG158" i="11"/>
  <c r="AF158" i="11"/>
  <c r="AP157" i="11"/>
  <c r="AO157" i="11"/>
  <c r="AN157" i="11"/>
  <c r="AM157" i="11"/>
  <c r="AK157" i="11"/>
  <c r="AJ157" i="11"/>
  <c r="AI157" i="11"/>
  <c r="AH157" i="11"/>
  <c r="AG157" i="11"/>
  <c r="AF157" i="11"/>
  <c r="AP156" i="11"/>
  <c r="AO156" i="11"/>
  <c r="AN156" i="11"/>
  <c r="AM156" i="11"/>
  <c r="AK156" i="11"/>
  <c r="AJ156" i="11"/>
  <c r="AI156" i="11"/>
  <c r="AH156" i="11"/>
  <c r="AG156" i="11"/>
  <c r="AF156" i="11"/>
  <c r="AP155" i="11"/>
  <c r="AO155" i="11"/>
  <c r="AN155" i="11"/>
  <c r="AM155" i="11"/>
  <c r="AK155" i="11"/>
  <c r="AJ155" i="11"/>
  <c r="AI155" i="11"/>
  <c r="AH155" i="11"/>
  <c r="AG155" i="11"/>
  <c r="AF155" i="11"/>
  <c r="AP154" i="11"/>
  <c r="AO154" i="11"/>
  <c r="AN154" i="11"/>
  <c r="AM154" i="11"/>
  <c r="AK154" i="11"/>
  <c r="AJ154" i="11"/>
  <c r="AI154" i="11"/>
  <c r="AH154" i="11"/>
  <c r="AG154" i="11"/>
  <c r="AF154" i="11"/>
  <c r="AP153" i="11"/>
  <c r="AO153" i="11"/>
  <c r="AN153" i="11"/>
  <c r="AM153" i="11"/>
  <c r="AK153" i="11"/>
  <c r="AJ153" i="11"/>
  <c r="AI153" i="11"/>
  <c r="AH153" i="11"/>
  <c r="AG153" i="11"/>
  <c r="AF153" i="11"/>
  <c r="AP152" i="11"/>
  <c r="AO152" i="11"/>
  <c r="AN152" i="11"/>
  <c r="AM152" i="11"/>
  <c r="AK152" i="11"/>
  <c r="AJ152" i="11"/>
  <c r="AI152" i="11"/>
  <c r="AH152" i="11"/>
  <c r="AG152" i="11"/>
  <c r="AF152" i="11"/>
  <c r="AP151" i="11"/>
  <c r="AO151" i="11"/>
  <c r="AN151" i="11"/>
  <c r="AM151" i="11"/>
  <c r="AK151" i="11"/>
  <c r="AJ151" i="11"/>
  <c r="AI151" i="11"/>
  <c r="AH151" i="11"/>
  <c r="AG151" i="11"/>
  <c r="AF151" i="11"/>
  <c r="AP150" i="11"/>
  <c r="AO150" i="11"/>
  <c r="AN150" i="11"/>
  <c r="AM150" i="11"/>
  <c r="AK150" i="11"/>
  <c r="AJ150" i="11"/>
  <c r="AI150" i="11"/>
  <c r="AH150" i="11"/>
  <c r="AG150" i="11"/>
  <c r="AF150" i="11"/>
  <c r="AP149" i="11"/>
  <c r="AO149" i="11"/>
  <c r="AN149" i="11"/>
  <c r="AM149" i="11"/>
  <c r="AK149" i="11"/>
  <c r="AJ149" i="11"/>
  <c r="AI149" i="11"/>
  <c r="AH149" i="11"/>
  <c r="AG149" i="11"/>
  <c r="AF149" i="11"/>
  <c r="AP148" i="11"/>
  <c r="AO148" i="11"/>
  <c r="AN148" i="11"/>
  <c r="AM148" i="11"/>
  <c r="AK148" i="11"/>
  <c r="AJ148" i="11"/>
  <c r="AI148" i="11"/>
  <c r="AH148" i="11"/>
  <c r="AG148" i="11"/>
  <c r="AF148" i="11"/>
  <c r="AP147" i="11"/>
  <c r="AO147" i="11"/>
  <c r="AN147" i="11"/>
  <c r="AM147" i="11"/>
  <c r="AK147" i="11"/>
  <c r="AJ147" i="11"/>
  <c r="AI147" i="11"/>
  <c r="AH147" i="11"/>
  <c r="AG147" i="11"/>
  <c r="AF147" i="11"/>
  <c r="AP146" i="11"/>
  <c r="AO146" i="11"/>
  <c r="AN146" i="11"/>
  <c r="AM146" i="11"/>
  <c r="AK146" i="11"/>
  <c r="AJ146" i="11"/>
  <c r="AI146" i="11"/>
  <c r="AH146" i="11"/>
  <c r="AG146" i="11"/>
  <c r="AF146" i="11"/>
  <c r="AP145" i="11"/>
  <c r="AO145" i="11"/>
  <c r="AN145" i="11"/>
  <c r="AM145" i="11"/>
  <c r="AK145" i="11"/>
  <c r="AJ145" i="11"/>
  <c r="AI145" i="11"/>
  <c r="AH145" i="11"/>
  <c r="AG145" i="11"/>
  <c r="AF145" i="11"/>
  <c r="AP144" i="11"/>
  <c r="AO144" i="11"/>
  <c r="AN144" i="11"/>
  <c r="AM144" i="11"/>
  <c r="AK144" i="11"/>
  <c r="AJ144" i="11"/>
  <c r="AI144" i="11"/>
  <c r="AH144" i="11"/>
  <c r="AG144" i="11"/>
  <c r="AF144" i="11"/>
  <c r="AP143" i="11"/>
  <c r="AO143" i="11"/>
  <c r="AN143" i="11"/>
  <c r="AM143" i="11"/>
  <c r="AK143" i="11"/>
  <c r="AJ143" i="11"/>
  <c r="AI143" i="11"/>
  <c r="AH143" i="11"/>
  <c r="AG143" i="11"/>
  <c r="AF143" i="11"/>
  <c r="AP142" i="11"/>
  <c r="AO142" i="11"/>
  <c r="AN142" i="11"/>
  <c r="AM142" i="11"/>
  <c r="AK142" i="11"/>
  <c r="AJ142" i="11"/>
  <c r="AI142" i="11"/>
  <c r="AH142" i="11"/>
  <c r="AG142" i="11"/>
  <c r="AF142" i="11"/>
  <c r="AP141" i="11"/>
  <c r="AO141" i="11"/>
  <c r="AN141" i="11"/>
  <c r="AM141" i="11"/>
  <c r="AK141" i="11"/>
  <c r="AJ141" i="11"/>
  <c r="AI141" i="11"/>
  <c r="AH141" i="11"/>
  <c r="AG141" i="11"/>
  <c r="AF141" i="11"/>
  <c r="AP140" i="11"/>
  <c r="AO140" i="11"/>
  <c r="AN140" i="11"/>
  <c r="AM140" i="11"/>
  <c r="AK140" i="11"/>
  <c r="AJ140" i="11"/>
  <c r="AI140" i="11"/>
  <c r="AH140" i="11"/>
  <c r="AG140" i="11"/>
  <c r="AF140" i="11"/>
  <c r="AP139" i="11"/>
  <c r="AO139" i="11"/>
  <c r="AN139" i="11"/>
  <c r="AM139" i="11"/>
  <c r="AK139" i="11"/>
  <c r="AJ139" i="11"/>
  <c r="AI139" i="11"/>
  <c r="AH139" i="11"/>
  <c r="AG139" i="11"/>
  <c r="AF139" i="11"/>
  <c r="AP138" i="11"/>
  <c r="AO138" i="11"/>
  <c r="AN138" i="11"/>
  <c r="AM138" i="11"/>
  <c r="AK138" i="11"/>
  <c r="AJ138" i="11"/>
  <c r="AI138" i="11"/>
  <c r="AH138" i="11"/>
  <c r="AG138" i="11"/>
  <c r="AF138" i="11"/>
  <c r="AP137" i="11"/>
  <c r="AO137" i="11"/>
  <c r="AN137" i="11"/>
  <c r="AM137" i="11"/>
  <c r="AK137" i="11"/>
  <c r="AJ137" i="11"/>
  <c r="AI137" i="11"/>
  <c r="AH137" i="11"/>
  <c r="AG137" i="11"/>
  <c r="AF137" i="11"/>
  <c r="AP136" i="11"/>
  <c r="AO136" i="11"/>
  <c r="AN136" i="11"/>
  <c r="AM136" i="11"/>
  <c r="AK136" i="11"/>
  <c r="AJ136" i="11"/>
  <c r="AI136" i="11"/>
  <c r="AH136" i="11"/>
  <c r="AG136" i="11"/>
  <c r="AF136" i="11"/>
  <c r="AP135" i="11"/>
  <c r="AO135" i="11"/>
  <c r="AN135" i="11"/>
  <c r="AM135" i="11"/>
  <c r="AK135" i="11"/>
  <c r="AJ135" i="11"/>
  <c r="AI135" i="11"/>
  <c r="AH135" i="11"/>
  <c r="AG135" i="11"/>
  <c r="AF135" i="11"/>
  <c r="AP134" i="11"/>
  <c r="AO134" i="11"/>
  <c r="AN134" i="11"/>
  <c r="AM134" i="11"/>
  <c r="AK134" i="11"/>
  <c r="AJ134" i="11"/>
  <c r="AI134" i="11"/>
  <c r="AH134" i="11"/>
  <c r="AG134" i="11"/>
  <c r="AF134" i="11"/>
  <c r="AP133" i="11"/>
  <c r="AO133" i="11"/>
  <c r="AN133" i="11"/>
  <c r="AM133" i="11"/>
  <c r="AK133" i="11"/>
  <c r="AJ133" i="11"/>
  <c r="AI133" i="11"/>
  <c r="AH133" i="11"/>
  <c r="AG133" i="11"/>
  <c r="AF133" i="11"/>
  <c r="AP132" i="11"/>
  <c r="AO132" i="11"/>
  <c r="AN132" i="11"/>
  <c r="AM132" i="11"/>
  <c r="AK132" i="11"/>
  <c r="AJ132" i="11"/>
  <c r="AI132" i="11"/>
  <c r="AH132" i="11"/>
  <c r="AG132" i="11"/>
  <c r="AF132" i="11"/>
  <c r="AP131" i="11"/>
  <c r="AO131" i="11"/>
  <c r="AN131" i="11"/>
  <c r="AM131" i="11"/>
  <c r="AK131" i="11"/>
  <c r="AJ131" i="11"/>
  <c r="AI131" i="11"/>
  <c r="AH131" i="11"/>
  <c r="AG131" i="11"/>
  <c r="AF131" i="11"/>
  <c r="AP130" i="11"/>
  <c r="AO130" i="11"/>
  <c r="AN130" i="11"/>
  <c r="AM130" i="11"/>
  <c r="AK130" i="11"/>
  <c r="AJ130" i="11"/>
  <c r="AI130" i="11"/>
  <c r="AH130" i="11"/>
  <c r="AG130" i="11"/>
  <c r="AF130" i="11"/>
  <c r="AP129" i="11"/>
  <c r="AO129" i="11"/>
  <c r="AN129" i="11"/>
  <c r="AM129" i="11"/>
  <c r="AK129" i="11"/>
  <c r="AJ129" i="11"/>
  <c r="AI129" i="11"/>
  <c r="AH129" i="11"/>
  <c r="AG129" i="11"/>
  <c r="AF129" i="11"/>
  <c r="AP128" i="11"/>
  <c r="AO128" i="11"/>
  <c r="AN128" i="11"/>
  <c r="AM128" i="11"/>
  <c r="AK128" i="11"/>
  <c r="AJ128" i="11"/>
  <c r="AI128" i="11"/>
  <c r="AH128" i="11"/>
  <c r="AG128" i="11"/>
  <c r="AF128" i="11"/>
  <c r="AP127" i="11"/>
  <c r="AO127" i="11"/>
  <c r="AN127" i="11"/>
  <c r="AM127" i="11"/>
  <c r="AK127" i="11"/>
  <c r="AJ127" i="11"/>
  <c r="AI127" i="11"/>
  <c r="AH127" i="11"/>
  <c r="AG127" i="11"/>
  <c r="AF127" i="11"/>
  <c r="AP126" i="11"/>
  <c r="AO126" i="11"/>
  <c r="AN126" i="11"/>
  <c r="AM126" i="11"/>
  <c r="AK126" i="11"/>
  <c r="AJ126" i="11"/>
  <c r="AI126" i="11"/>
  <c r="AH126" i="11"/>
  <c r="AG126" i="11"/>
  <c r="AF126" i="11"/>
  <c r="AP125" i="11"/>
  <c r="AO125" i="11"/>
  <c r="AN125" i="11"/>
  <c r="AM125" i="11"/>
  <c r="AK125" i="11"/>
  <c r="AJ125" i="11"/>
  <c r="AI125" i="11"/>
  <c r="AH125" i="11"/>
  <c r="AG125" i="11"/>
  <c r="AF125" i="11"/>
  <c r="AP124" i="11"/>
  <c r="AO124" i="11"/>
  <c r="AN124" i="11"/>
  <c r="AM124" i="11"/>
  <c r="AK124" i="11"/>
  <c r="AJ124" i="11"/>
  <c r="AI124" i="11"/>
  <c r="AH124" i="11"/>
  <c r="AG124" i="11"/>
  <c r="AF124" i="11"/>
  <c r="AP123" i="11"/>
  <c r="AO123" i="11"/>
  <c r="AN123" i="11"/>
  <c r="AM123" i="11"/>
  <c r="AK123" i="11"/>
  <c r="AJ123" i="11"/>
  <c r="AI123" i="11"/>
  <c r="AH123" i="11"/>
  <c r="AG123" i="11"/>
  <c r="AF123" i="11"/>
  <c r="AP122" i="11"/>
  <c r="AO122" i="11"/>
  <c r="AN122" i="11"/>
  <c r="AM122" i="11"/>
  <c r="AK122" i="11"/>
  <c r="AJ122" i="11"/>
  <c r="AI122" i="11"/>
  <c r="AH122" i="11"/>
  <c r="AG122" i="11"/>
  <c r="AF122" i="11"/>
  <c r="AP121" i="11"/>
  <c r="AO121" i="11"/>
  <c r="AN121" i="11"/>
  <c r="AM121" i="11"/>
  <c r="AK121" i="11"/>
  <c r="AJ121" i="11"/>
  <c r="AI121" i="11"/>
  <c r="AH121" i="11"/>
  <c r="AG121" i="11"/>
  <c r="AF121" i="11"/>
  <c r="AP120" i="11"/>
  <c r="AO120" i="11"/>
  <c r="AN120" i="11"/>
  <c r="AM120" i="11"/>
  <c r="AK120" i="11"/>
  <c r="AJ120" i="11"/>
  <c r="AI120" i="11"/>
  <c r="AH120" i="11"/>
  <c r="AG120" i="11"/>
  <c r="AF120" i="11"/>
  <c r="AP119" i="11"/>
  <c r="AO119" i="11"/>
  <c r="AN119" i="11"/>
  <c r="AM119" i="11"/>
  <c r="AK119" i="11"/>
  <c r="AJ119" i="11"/>
  <c r="AI119" i="11"/>
  <c r="AH119" i="11"/>
  <c r="AG119" i="11"/>
  <c r="AF119" i="11"/>
  <c r="AP118" i="11"/>
  <c r="AO118" i="11"/>
  <c r="AN118" i="11"/>
  <c r="AM118" i="11"/>
  <c r="AK118" i="11"/>
  <c r="AJ118" i="11"/>
  <c r="AI118" i="11"/>
  <c r="AH118" i="11"/>
  <c r="AG118" i="11"/>
  <c r="AF118" i="11"/>
  <c r="AP117" i="11"/>
  <c r="AO117" i="11"/>
  <c r="AN117" i="11"/>
  <c r="AM117" i="11"/>
  <c r="AK117" i="11"/>
  <c r="AJ117" i="11"/>
  <c r="AI117" i="11"/>
  <c r="AH117" i="11"/>
  <c r="AG117" i="11"/>
  <c r="AF117" i="11"/>
  <c r="AP116" i="11"/>
  <c r="AO116" i="11"/>
  <c r="AN116" i="11"/>
  <c r="AM116" i="11"/>
  <c r="AK116" i="11"/>
  <c r="AJ116" i="11"/>
  <c r="AI116" i="11"/>
  <c r="AH116" i="11"/>
  <c r="AG116" i="11"/>
  <c r="AF116" i="11"/>
  <c r="AP115" i="11"/>
  <c r="AO115" i="11"/>
  <c r="AN115" i="11"/>
  <c r="AM115" i="11"/>
  <c r="AK115" i="11"/>
  <c r="AJ115" i="11"/>
  <c r="AI115" i="11"/>
  <c r="AH115" i="11"/>
  <c r="AG115" i="11"/>
  <c r="AF115" i="11"/>
  <c r="AP114" i="11"/>
  <c r="AO114" i="11"/>
  <c r="AN114" i="11"/>
  <c r="AM114" i="11"/>
  <c r="AK114" i="11"/>
  <c r="AJ114" i="11"/>
  <c r="AI114" i="11"/>
  <c r="AH114" i="11"/>
  <c r="AG114" i="11"/>
  <c r="AF114" i="11"/>
  <c r="AP113" i="11"/>
  <c r="AO113" i="11"/>
  <c r="AN113" i="11"/>
  <c r="AM113" i="11"/>
  <c r="AK113" i="11"/>
  <c r="AJ113" i="11"/>
  <c r="AI113" i="11"/>
  <c r="AH113" i="11"/>
  <c r="AG113" i="11"/>
  <c r="AF113" i="11"/>
  <c r="AP112" i="11"/>
  <c r="AO112" i="11"/>
  <c r="AN112" i="11"/>
  <c r="AM112" i="11"/>
  <c r="AK112" i="11"/>
  <c r="AJ112" i="11"/>
  <c r="AI112" i="11"/>
  <c r="AH112" i="11"/>
  <c r="AG112" i="11"/>
  <c r="AF112" i="11"/>
  <c r="AP111" i="11"/>
  <c r="AO111" i="11"/>
  <c r="AN111" i="11"/>
  <c r="AM111" i="11"/>
  <c r="AK111" i="11"/>
  <c r="AJ111" i="11"/>
  <c r="AI111" i="11"/>
  <c r="AH111" i="11"/>
  <c r="AG111" i="11"/>
  <c r="AF111" i="11"/>
  <c r="AP110" i="11"/>
  <c r="AO110" i="11"/>
  <c r="AN110" i="11"/>
  <c r="AM110" i="11"/>
  <c r="AK110" i="11"/>
  <c r="AJ110" i="11"/>
  <c r="AI110" i="11"/>
  <c r="AH110" i="11"/>
  <c r="AG110" i="11"/>
  <c r="AF110" i="11"/>
  <c r="AP109" i="11"/>
  <c r="AO109" i="11"/>
  <c r="AN109" i="11"/>
  <c r="AM109" i="11"/>
  <c r="AK109" i="11"/>
  <c r="AJ109" i="11"/>
  <c r="AI109" i="11"/>
  <c r="AH109" i="11"/>
  <c r="AG109" i="11"/>
  <c r="AF109" i="11"/>
  <c r="AP108" i="11"/>
  <c r="AO108" i="11"/>
  <c r="AN108" i="11"/>
  <c r="AM108" i="11"/>
  <c r="AK108" i="11"/>
  <c r="AJ108" i="11"/>
  <c r="AI108" i="11"/>
  <c r="AH108" i="11"/>
  <c r="AG108" i="11"/>
  <c r="AF108" i="11"/>
  <c r="AP107" i="11"/>
  <c r="AO107" i="11"/>
  <c r="AN107" i="11"/>
  <c r="AM107" i="11"/>
  <c r="AK107" i="11"/>
  <c r="AJ107" i="11"/>
  <c r="AI107" i="11"/>
  <c r="AH107" i="11"/>
  <c r="AG107" i="11"/>
  <c r="AF107" i="11"/>
  <c r="AP106" i="11"/>
  <c r="AO106" i="11"/>
  <c r="AN106" i="11"/>
  <c r="AM106" i="11"/>
  <c r="AK106" i="11"/>
  <c r="AJ106" i="11"/>
  <c r="AI106" i="11"/>
  <c r="AH106" i="11"/>
  <c r="AG106" i="11"/>
  <c r="AF106" i="11"/>
  <c r="AP105" i="11"/>
  <c r="AO105" i="11"/>
  <c r="AN105" i="11"/>
  <c r="AM105" i="11"/>
  <c r="AK105" i="11"/>
  <c r="AJ105" i="11"/>
  <c r="AI105" i="11"/>
  <c r="AH105" i="11"/>
  <c r="AG105" i="11"/>
  <c r="AF105" i="11"/>
  <c r="AP104" i="11"/>
  <c r="AO104" i="11"/>
  <c r="AN104" i="11"/>
  <c r="AM104" i="11"/>
  <c r="AK104" i="11"/>
  <c r="AJ104" i="11"/>
  <c r="AI104" i="11"/>
  <c r="AH104" i="11"/>
  <c r="AG104" i="11"/>
  <c r="AF104" i="11"/>
  <c r="AP103" i="11"/>
  <c r="AO103" i="11"/>
  <c r="AN103" i="11"/>
  <c r="AM103" i="11"/>
  <c r="AK103" i="11"/>
  <c r="AJ103" i="11"/>
  <c r="AI103" i="11"/>
  <c r="AH103" i="11"/>
  <c r="AG103" i="11"/>
  <c r="AF103" i="11"/>
  <c r="AP102" i="11"/>
  <c r="AO102" i="11"/>
  <c r="AN102" i="11"/>
  <c r="AM102" i="11"/>
  <c r="AK102" i="11"/>
  <c r="AJ102" i="11"/>
  <c r="AI102" i="11"/>
  <c r="AH102" i="11"/>
  <c r="AG102" i="11"/>
  <c r="AF102" i="11"/>
  <c r="AP101" i="11"/>
  <c r="AO101" i="11"/>
  <c r="AN101" i="11"/>
  <c r="AM101" i="11"/>
  <c r="AK101" i="11"/>
  <c r="AJ101" i="11"/>
  <c r="AI101" i="11"/>
  <c r="AH101" i="11"/>
  <c r="AG101" i="11"/>
  <c r="AF101" i="11"/>
  <c r="AP100" i="11"/>
  <c r="AO100" i="11"/>
  <c r="AN100" i="11"/>
  <c r="AM100" i="11"/>
  <c r="AK100" i="11"/>
  <c r="AJ100" i="11"/>
  <c r="AI100" i="11"/>
  <c r="AH100" i="11"/>
  <c r="AG100" i="11"/>
  <c r="AF100" i="11"/>
  <c r="AP99" i="11"/>
  <c r="AO99" i="11"/>
  <c r="AN99" i="11"/>
  <c r="AM99" i="11"/>
  <c r="AK99" i="11"/>
  <c r="AJ99" i="11"/>
  <c r="AI99" i="11"/>
  <c r="AH99" i="11"/>
  <c r="AG99" i="11"/>
  <c r="AF99" i="11"/>
  <c r="AP98" i="11"/>
  <c r="AO98" i="11"/>
  <c r="AN98" i="11"/>
  <c r="AM98" i="11"/>
  <c r="AK98" i="11"/>
  <c r="AJ98" i="11"/>
  <c r="AI98" i="11"/>
  <c r="AH98" i="11"/>
  <c r="AG98" i="11"/>
  <c r="AF98" i="11"/>
  <c r="AP97" i="11"/>
  <c r="AO97" i="11"/>
  <c r="AN97" i="11"/>
  <c r="AM97" i="11"/>
  <c r="AK97" i="11"/>
  <c r="AJ97" i="11"/>
  <c r="AI97" i="11"/>
  <c r="AH97" i="11"/>
  <c r="AG97" i="11"/>
  <c r="AF97" i="11"/>
  <c r="AP96" i="11"/>
  <c r="AO96" i="11"/>
  <c r="AN96" i="11"/>
  <c r="AM96" i="11"/>
  <c r="AK96" i="11"/>
  <c r="AJ96" i="11"/>
  <c r="AI96" i="11"/>
  <c r="AH96" i="11"/>
  <c r="AG96" i="11"/>
  <c r="AF96" i="11"/>
  <c r="AP95" i="11"/>
  <c r="AO95" i="11"/>
  <c r="AN95" i="11"/>
  <c r="AM95" i="11"/>
  <c r="AK95" i="11"/>
  <c r="AJ95" i="11"/>
  <c r="AI95" i="11"/>
  <c r="AH95" i="11"/>
  <c r="AG95" i="11"/>
  <c r="AF95" i="11"/>
  <c r="AP94" i="11"/>
  <c r="AO94" i="11"/>
  <c r="AN94" i="11"/>
  <c r="AM94" i="11"/>
  <c r="AK94" i="11"/>
  <c r="AJ94" i="11"/>
  <c r="AI94" i="11"/>
  <c r="AH94" i="11"/>
  <c r="AG94" i="11"/>
  <c r="AF94" i="11"/>
  <c r="AP93" i="11"/>
  <c r="AO93" i="11"/>
  <c r="AN93" i="11"/>
  <c r="AM93" i="11"/>
  <c r="AK93" i="11"/>
  <c r="AJ93" i="11"/>
  <c r="AI93" i="11"/>
  <c r="AH93" i="11"/>
  <c r="AG93" i="11"/>
  <c r="AF93" i="11"/>
  <c r="AP92" i="11"/>
  <c r="AO92" i="11"/>
  <c r="AN92" i="11"/>
  <c r="AM92" i="11"/>
  <c r="AK92" i="11"/>
  <c r="AJ92" i="11"/>
  <c r="AI92" i="11"/>
  <c r="AH92" i="11"/>
  <c r="AG92" i="11"/>
  <c r="AF92" i="11"/>
  <c r="AP91" i="11"/>
  <c r="AO91" i="11"/>
  <c r="AN91" i="11"/>
  <c r="AM91" i="11"/>
  <c r="AK91" i="11"/>
  <c r="AJ91" i="11"/>
  <c r="AI91" i="11"/>
  <c r="AH91" i="11"/>
  <c r="AG91" i="11"/>
  <c r="AF91" i="11"/>
  <c r="AP90" i="11"/>
  <c r="AO90" i="11"/>
  <c r="AN90" i="11"/>
  <c r="AM90" i="11"/>
  <c r="AK90" i="11"/>
  <c r="AJ90" i="11"/>
  <c r="AI90" i="11"/>
  <c r="AH90" i="11"/>
  <c r="AG90" i="11"/>
  <c r="AF90" i="11"/>
  <c r="AP89" i="11"/>
  <c r="AO89" i="11"/>
  <c r="AN89" i="11"/>
  <c r="AM89" i="11"/>
  <c r="AK89" i="11"/>
  <c r="AJ89" i="11"/>
  <c r="AI89" i="11"/>
  <c r="AH89" i="11"/>
  <c r="AG89" i="11"/>
  <c r="AF89" i="11"/>
  <c r="AP88" i="11"/>
  <c r="AO88" i="11"/>
  <c r="AN88" i="11"/>
  <c r="AM88" i="11"/>
  <c r="AK88" i="11"/>
  <c r="AJ88" i="11"/>
  <c r="AI88" i="11"/>
  <c r="AH88" i="11"/>
  <c r="AG88" i="11"/>
  <c r="AF88" i="11"/>
  <c r="AP87" i="11"/>
  <c r="AN87" i="11"/>
  <c r="AM87" i="11"/>
  <c r="AK87" i="11"/>
  <c r="AJ87" i="11"/>
  <c r="AI87" i="11"/>
  <c r="AH87" i="11"/>
  <c r="AG87" i="11"/>
  <c r="AF87" i="11"/>
  <c r="AP86" i="11"/>
  <c r="AO86" i="11"/>
  <c r="AN86" i="11"/>
  <c r="AM86" i="11"/>
  <c r="AK86" i="11"/>
  <c r="AJ86" i="11"/>
  <c r="AI86" i="11"/>
  <c r="AH86" i="11"/>
  <c r="AG86" i="11"/>
  <c r="AF86" i="11"/>
  <c r="AP85" i="11"/>
  <c r="AN85" i="11"/>
  <c r="AM85" i="11"/>
  <c r="AK85" i="11"/>
  <c r="AJ85" i="11"/>
  <c r="AI85" i="11"/>
  <c r="AH85" i="11"/>
  <c r="AG85" i="11"/>
  <c r="AF85" i="11"/>
  <c r="AP84" i="11"/>
  <c r="AO84" i="11"/>
  <c r="AN84" i="11"/>
  <c r="AM84" i="11"/>
  <c r="AK84" i="11"/>
  <c r="AJ84" i="11"/>
  <c r="AI84" i="11"/>
  <c r="AH84" i="11"/>
  <c r="AG84" i="11"/>
  <c r="AF84" i="11"/>
  <c r="AP83" i="11"/>
  <c r="AO83" i="11"/>
  <c r="AN83" i="11"/>
  <c r="AM83" i="11"/>
  <c r="AK83" i="11"/>
  <c r="AJ83" i="11"/>
  <c r="AI83" i="11"/>
  <c r="AH83" i="11"/>
  <c r="AG83" i="11"/>
  <c r="AF83" i="11"/>
  <c r="AP82" i="11"/>
  <c r="AO82" i="11"/>
  <c r="AN82" i="11"/>
  <c r="AM82" i="11"/>
  <c r="AK82" i="11"/>
  <c r="AJ82" i="11"/>
  <c r="AI82" i="11"/>
  <c r="AH82" i="11"/>
  <c r="AG82" i="11"/>
  <c r="AF82" i="11"/>
  <c r="AP81" i="11"/>
  <c r="AO81" i="11"/>
  <c r="AN81" i="11"/>
  <c r="AM81" i="11"/>
  <c r="AK81" i="11"/>
  <c r="AJ81" i="11"/>
  <c r="AI81" i="11"/>
  <c r="AH81" i="11"/>
  <c r="AG81" i="11"/>
  <c r="AF81" i="11"/>
  <c r="AP80" i="11"/>
  <c r="AO80" i="11"/>
  <c r="AN80" i="11"/>
  <c r="AM80" i="11"/>
  <c r="AK80" i="11"/>
  <c r="AJ80" i="11"/>
  <c r="AI80" i="11"/>
  <c r="AH80" i="11"/>
  <c r="AG80" i="11"/>
  <c r="AF80" i="11"/>
  <c r="AP79" i="11"/>
  <c r="AO79" i="11"/>
  <c r="AN79" i="11"/>
  <c r="AM79" i="11"/>
  <c r="AK79" i="11"/>
  <c r="AJ79" i="11"/>
  <c r="AI79" i="11"/>
  <c r="AH79" i="11"/>
  <c r="AG79" i="11"/>
  <c r="AF79" i="11"/>
  <c r="AP78" i="11"/>
  <c r="AO78" i="11"/>
  <c r="AN78" i="11"/>
  <c r="AM78" i="11"/>
  <c r="AK78" i="11"/>
  <c r="AJ78" i="11"/>
  <c r="AI78" i="11"/>
  <c r="AH78" i="11"/>
  <c r="AG78" i="11"/>
  <c r="AF78" i="11"/>
  <c r="AP77" i="11"/>
  <c r="AO77" i="11"/>
  <c r="AN77" i="11"/>
  <c r="AM77" i="11"/>
  <c r="AK77" i="11"/>
  <c r="AJ77" i="11"/>
  <c r="AI77" i="11"/>
  <c r="AH77" i="11"/>
  <c r="AG77" i="11"/>
  <c r="AF77" i="11"/>
  <c r="AP76" i="11"/>
  <c r="AO76" i="11"/>
  <c r="AN76" i="11"/>
  <c r="AM76" i="11"/>
  <c r="AK76" i="11"/>
  <c r="AJ76" i="11"/>
  <c r="AI76" i="11"/>
  <c r="AH76" i="11"/>
  <c r="AG76" i="11"/>
  <c r="AF76" i="11"/>
  <c r="AP75" i="11"/>
  <c r="AO75" i="11"/>
  <c r="AN75" i="11"/>
  <c r="AM75" i="11"/>
  <c r="AK75" i="11"/>
  <c r="AJ75" i="11"/>
  <c r="AI75" i="11"/>
  <c r="AH75" i="11"/>
  <c r="AG75" i="11"/>
  <c r="AF75" i="11"/>
  <c r="AP74" i="11"/>
  <c r="AO74" i="11"/>
  <c r="AN74" i="11"/>
  <c r="AM74" i="11"/>
  <c r="AK74" i="11"/>
  <c r="AJ74" i="11"/>
  <c r="AI74" i="11"/>
  <c r="AH74" i="11"/>
  <c r="AG74" i="11"/>
  <c r="AF74" i="11"/>
  <c r="AP73" i="11"/>
  <c r="AO73" i="11"/>
  <c r="AN73" i="11"/>
  <c r="AM73" i="11"/>
  <c r="AK73" i="11"/>
  <c r="AJ73" i="11"/>
  <c r="AI73" i="11"/>
  <c r="AH73" i="11"/>
  <c r="AG73" i="11"/>
  <c r="AF73" i="11"/>
  <c r="AP72" i="11"/>
  <c r="AO72" i="11"/>
  <c r="AN72" i="11"/>
  <c r="AM72" i="11"/>
  <c r="AK72" i="11"/>
  <c r="AJ72" i="11"/>
  <c r="AI72" i="11"/>
  <c r="AH72" i="11"/>
  <c r="AG72" i="11"/>
  <c r="AF72" i="11"/>
  <c r="AP71" i="11"/>
  <c r="AO71" i="11"/>
  <c r="AN71" i="11"/>
  <c r="AM71" i="11"/>
  <c r="AK71" i="11"/>
  <c r="AJ71" i="11"/>
  <c r="AI71" i="11"/>
  <c r="AH71" i="11"/>
  <c r="AG71" i="11"/>
  <c r="AF71" i="11"/>
  <c r="AP70" i="11"/>
  <c r="AO70" i="11"/>
  <c r="AN70" i="11"/>
  <c r="AM70" i="11"/>
  <c r="AK70" i="11"/>
  <c r="AJ70" i="11"/>
  <c r="AI70" i="11"/>
  <c r="AH70" i="11"/>
  <c r="AG70" i="11"/>
  <c r="AF70" i="11"/>
  <c r="AP69" i="11"/>
  <c r="AO69" i="11"/>
  <c r="AN69" i="11"/>
  <c r="AM69" i="11"/>
  <c r="AK69" i="11"/>
  <c r="AJ69" i="11"/>
  <c r="AI69" i="11"/>
  <c r="AH69" i="11"/>
  <c r="AG69" i="11"/>
  <c r="AF69" i="11"/>
  <c r="AP68" i="11"/>
  <c r="AO68" i="11"/>
  <c r="AN68" i="11"/>
  <c r="AM68" i="11"/>
  <c r="AK68" i="11"/>
  <c r="AJ68" i="11"/>
  <c r="AI68" i="11"/>
  <c r="AH68" i="11"/>
  <c r="AG68" i="11"/>
  <c r="AF68" i="11"/>
  <c r="AP67" i="11"/>
  <c r="AO67" i="11"/>
  <c r="AN67" i="11"/>
  <c r="AM67" i="11"/>
  <c r="AK67" i="11"/>
  <c r="AJ67" i="11"/>
  <c r="AI67" i="11"/>
  <c r="AH67" i="11"/>
  <c r="AG67" i="11"/>
  <c r="AF67" i="11"/>
  <c r="AP66" i="11"/>
  <c r="AO66" i="11"/>
  <c r="AN66" i="11"/>
  <c r="AM66" i="11"/>
  <c r="AK66" i="11"/>
  <c r="AJ66" i="11"/>
  <c r="AI66" i="11"/>
  <c r="AH66" i="11"/>
  <c r="AG66" i="11"/>
  <c r="AF66" i="11"/>
  <c r="AP65" i="11"/>
  <c r="AO65" i="11"/>
  <c r="AN65" i="11"/>
  <c r="AM65" i="11"/>
  <c r="AK65" i="11"/>
  <c r="AJ65" i="11"/>
  <c r="AI65" i="11"/>
  <c r="AH65" i="11"/>
  <c r="AG65" i="11"/>
  <c r="AF65" i="11"/>
  <c r="AP64" i="11"/>
  <c r="AO64" i="11"/>
  <c r="AN64" i="11"/>
  <c r="AM64" i="11"/>
  <c r="AK64" i="11"/>
  <c r="AJ64" i="11"/>
  <c r="AI64" i="11"/>
  <c r="AH64" i="11"/>
  <c r="AG64" i="11"/>
  <c r="AF64" i="11"/>
  <c r="AP63" i="11"/>
  <c r="AO63" i="11"/>
  <c r="AN63" i="11"/>
  <c r="AM63" i="11"/>
  <c r="AK63" i="11"/>
  <c r="AJ63" i="11"/>
  <c r="AI63" i="11"/>
  <c r="AH63" i="11"/>
  <c r="AG63" i="11"/>
  <c r="AF63" i="11"/>
  <c r="AP62" i="11"/>
  <c r="AO62" i="11"/>
  <c r="AN62" i="11"/>
  <c r="AM62" i="11"/>
  <c r="AK62" i="11"/>
  <c r="AJ62" i="11"/>
  <c r="AI62" i="11"/>
  <c r="AH62" i="11"/>
  <c r="AG62" i="11"/>
  <c r="AF62" i="11"/>
  <c r="AP61" i="11"/>
  <c r="AO61" i="11"/>
  <c r="AN61" i="11"/>
  <c r="AM61" i="11"/>
  <c r="AK61" i="11"/>
  <c r="AJ61" i="11"/>
  <c r="AI61" i="11"/>
  <c r="AH61" i="11"/>
  <c r="AG61" i="11"/>
  <c r="AF61" i="11"/>
  <c r="AP60" i="11"/>
  <c r="AO60" i="11"/>
  <c r="AN60" i="11"/>
  <c r="AM60" i="11"/>
  <c r="AK60" i="11"/>
  <c r="AJ60" i="11"/>
  <c r="AI60" i="11"/>
  <c r="AH60" i="11"/>
  <c r="AG60" i="11"/>
  <c r="AF60" i="11"/>
  <c r="AP59" i="11"/>
  <c r="AO59" i="11"/>
  <c r="AN59" i="11"/>
  <c r="AM59" i="11"/>
  <c r="AK59" i="11"/>
  <c r="AJ59" i="11"/>
  <c r="AI59" i="11"/>
  <c r="AH59" i="11"/>
  <c r="AG59" i="11"/>
  <c r="AF59" i="11"/>
  <c r="AP58" i="11"/>
  <c r="AO58" i="11"/>
  <c r="AN58" i="11"/>
  <c r="AM58" i="11"/>
  <c r="AK58" i="11"/>
  <c r="AJ58" i="11"/>
  <c r="AI58" i="11"/>
  <c r="AH58" i="11"/>
  <c r="AG58" i="11"/>
  <c r="AF58" i="11"/>
  <c r="AP57" i="11"/>
  <c r="AO57" i="11"/>
  <c r="AN57" i="11"/>
  <c r="AM57" i="11"/>
  <c r="AK57" i="11"/>
  <c r="AJ57" i="11"/>
  <c r="AI57" i="11"/>
  <c r="AH57" i="11"/>
  <c r="AG57" i="11"/>
  <c r="AF57" i="11"/>
  <c r="AP56" i="11"/>
  <c r="AO56" i="11"/>
  <c r="AN56" i="11"/>
  <c r="AM56" i="11"/>
  <c r="AK56" i="11"/>
  <c r="AJ56" i="11"/>
  <c r="AI56" i="11"/>
  <c r="AH56" i="11"/>
  <c r="AG56" i="11"/>
  <c r="AF56" i="11"/>
  <c r="AP55" i="11"/>
  <c r="AO55" i="11"/>
  <c r="AN55" i="11"/>
  <c r="AM55" i="11"/>
  <c r="AK55" i="11"/>
  <c r="AJ55" i="11"/>
  <c r="AI55" i="11"/>
  <c r="AH55" i="11"/>
  <c r="AG55" i="11"/>
  <c r="AF55" i="11"/>
  <c r="AP54" i="11"/>
  <c r="AO54" i="11"/>
  <c r="AN54" i="11"/>
  <c r="AM54" i="11"/>
  <c r="AK54" i="11"/>
  <c r="AJ54" i="11"/>
  <c r="AI54" i="11"/>
  <c r="AH54" i="11"/>
  <c r="AG54" i="11"/>
  <c r="AF54" i="11"/>
  <c r="AP53" i="11"/>
  <c r="AO53" i="11"/>
  <c r="AN53" i="11"/>
  <c r="AM53" i="11"/>
  <c r="AK53" i="11"/>
  <c r="AJ53" i="11"/>
  <c r="AI53" i="11"/>
  <c r="AH53" i="11"/>
  <c r="AG53" i="11"/>
  <c r="AF53" i="11"/>
  <c r="AP52" i="11"/>
  <c r="AO52" i="11"/>
  <c r="AN52" i="11"/>
  <c r="AM52" i="11"/>
  <c r="AK52" i="11"/>
  <c r="AJ52" i="11"/>
  <c r="AI52" i="11"/>
  <c r="AH52" i="11"/>
  <c r="AG52" i="11"/>
  <c r="AF52" i="11"/>
  <c r="AP51" i="11"/>
  <c r="AN51" i="11"/>
  <c r="AM51" i="11"/>
  <c r="AK51" i="11"/>
  <c r="AJ51" i="11"/>
  <c r="AI51" i="11"/>
  <c r="AH51" i="11"/>
  <c r="AG51" i="11"/>
  <c r="AF51" i="11"/>
  <c r="AP50" i="11"/>
  <c r="AO50" i="11"/>
  <c r="AN50" i="11"/>
  <c r="AM50" i="11"/>
  <c r="AK50" i="11"/>
  <c r="AJ50" i="11"/>
  <c r="AI50" i="11"/>
  <c r="AH50" i="11"/>
  <c r="AG50" i="11"/>
  <c r="AF50" i="11"/>
  <c r="AP49" i="11"/>
  <c r="AO49" i="11"/>
  <c r="AN49" i="11"/>
  <c r="AM49" i="11"/>
  <c r="AJ49" i="11"/>
  <c r="AI49" i="11"/>
  <c r="AH49" i="11"/>
  <c r="AG49" i="11"/>
  <c r="AF49" i="11"/>
  <c r="AP48" i="11"/>
  <c r="AO48" i="11"/>
  <c r="AN48" i="11"/>
  <c r="AK48" i="11"/>
  <c r="AJ48" i="11"/>
  <c r="AI48" i="11"/>
  <c r="AH48" i="11"/>
  <c r="AG48" i="11"/>
  <c r="AF48" i="11"/>
  <c r="AP47" i="11"/>
  <c r="AO47" i="11"/>
  <c r="AN47" i="11"/>
  <c r="AM47" i="11"/>
  <c r="AK47" i="11"/>
  <c r="AJ47" i="11"/>
  <c r="AI47" i="11"/>
  <c r="AH47" i="11"/>
  <c r="AG47" i="11"/>
  <c r="AF47" i="11"/>
  <c r="AP46" i="11"/>
  <c r="AO46" i="11"/>
  <c r="AN46" i="11"/>
  <c r="AM46" i="11"/>
  <c r="AK46" i="11"/>
  <c r="AJ46" i="11"/>
  <c r="AI46" i="11"/>
  <c r="AH46" i="11"/>
  <c r="AG46" i="11"/>
  <c r="AF46" i="11"/>
  <c r="AP45" i="11"/>
  <c r="AO45" i="11"/>
  <c r="AN45" i="11"/>
  <c r="AM45" i="11"/>
  <c r="AK45" i="11"/>
  <c r="AJ45" i="11"/>
  <c r="AI45" i="11"/>
  <c r="AH45" i="11"/>
  <c r="AG45" i="11"/>
  <c r="AF45" i="11"/>
  <c r="AP44" i="11"/>
  <c r="AO44" i="11"/>
  <c r="AN44" i="11"/>
  <c r="AM44" i="11"/>
  <c r="AK44" i="11"/>
  <c r="AJ44" i="11"/>
  <c r="AI44" i="11"/>
  <c r="AH44" i="11"/>
  <c r="AG44" i="11"/>
  <c r="AF44" i="11"/>
  <c r="AP43" i="11"/>
  <c r="AO43" i="11"/>
  <c r="AN43" i="11"/>
  <c r="AK43" i="11"/>
  <c r="AJ43" i="11"/>
  <c r="AI43" i="11"/>
  <c r="AH43" i="11"/>
  <c r="AG43" i="11"/>
  <c r="AF43" i="11"/>
  <c r="AP42" i="11"/>
  <c r="AO42" i="11"/>
  <c r="AN42" i="11"/>
  <c r="AM42" i="11"/>
  <c r="AJ42" i="11"/>
  <c r="AI42" i="11"/>
  <c r="AG42" i="11"/>
  <c r="AF42" i="11"/>
  <c r="AP41" i="11"/>
  <c r="AO41" i="11"/>
  <c r="AN41" i="11"/>
  <c r="AM41" i="11"/>
  <c r="AK41" i="11"/>
  <c r="AJ41" i="11"/>
  <c r="AI41" i="11"/>
  <c r="AG41" i="11"/>
  <c r="AF41" i="11"/>
  <c r="AP40" i="11"/>
  <c r="AO40" i="11"/>
  <c r="AN40" i="11"/>
  <c r="AM40" i="11"/>
  <c r="AK40" i="11"/>
  <c r="AJ40" i="11"/>
  <c r="AI40" i="11"/>
  <c r="AH40" i="11"/>
  <c r="AG40" i="11"/>
  <c r="AF40" i="11"/>
  <c r="AP39" i="11"/>
  <c r="AO39" i="11"/>
  <c r="AN39" i="11"/>
  <c r="AM39" i="11"/>
  <c r="AK39" i="11"/>
  <c r="AJ39" i="11"/>
  <c r="AI39" i="11"/>
  <c r="AG39" i="11"/>
  <c r="AF39" i="11"/>
  <c r="AP38" i="11"/>
  <c r="AO38" i="11"/>
  <c r="AN38" i="11"/>
  <c r="AM38" i="11"/>
  <c r="AJ38" i="11"/>
  <c r="AI38" i="11"/>
  <c r="AH38" i="11"/>
  <c r="AG38" i="11"/>
  <c r="AF38" i="11"/>
  <c r="AP37" i="11"/>
  <c r="AO37" i="11"/>
  <c r="AN37" i="11"/>
  <c r="AM37" i="11"/>
  <c r="AK37" i="11"/>
  <c r="AJ37" i="11"/>
  <c r="AI37" i="11"/>
  <c r="AH37" i="11"/>
  <c r="AG37" i="11"/>
  <c r="AF37" i="11"/>
  <c r="AP36" i="11"/>
  <c r="AO36" i="11"/>
  <c r="AN36" i="11"/>
  <c r="AM36" i="11"/>
  <c r="AJ36" i="11"/>
  <c r="AI36" i="11"/>
  <c r="AH36" i="11"/>
  <c r="AG36" i="11"/>
  <c r="AF36" i="11"/>
  <c r="AP35" i="11"/>
  <c r="AO35" i="11"/>
  <c r="AN35" i="11"/>
  <c r="AM35" i="11"/>
  <c r="AK35" i="11"/>
  <c r="AJ35" i="11"/>
  <c r="AI35" i="11"/>
  <c r="AF35" i="11"/>
  <c r="AP34" i="11"/>
  <c r="AO34" i="11"/>
  <c r="AN34" i="11"/>
  <c r="AM34" i="11"/>
  <c r="AK34" i="11"/>
  <c r="AJ34" i="11"/>
  <c r="AI34" i="11"/>
  <c r="AH34" i="11"/>
  <c r="AG34" i="11"/>
  <c r="AF34" i="11"/>
  <c r="AP33" i="11"/>
  <c r="AO33" i="11"/>
  <c r="AN33" i="11"/>
  <c r="AM33" i="11"/>
  <c r="AK33" i="11"/>
  <c r="AJ33" i="11"/>
  <c r="AI33" i="11"/>
  <c r="AH33" i="11"/>
  <c r="AG33" i="11"/>
  <c r="AF33" i="11"/>
  <c r="AP32" i="11"/>
  <c r="AO32" i="11"/>
  <c r="AN32" i="11"/>
  <c r="AM32" i="11"/>
  <c r="AK32" i="11"/>
  <c r="AJ32" i="11"/>
  <c r="AI32" i="11"/>
  <c r="AH32" i="11"/>
  <c r="AG32" i="11"/>
  <c r="AF32" i="11"/>
  <c r="AP31" i="11"/>
  <c r="AO31" i="11"/>
  <c r="AN31" i="11"/>
  <c r="AM31" i="11"/>
  <c r="AJ31" i="11"/>
  <c r="AI31" i="11"/>
  <c r="AG31" i="11"/>
  <c r="AF31" i="11"/>
  <c r="AP30" i="11"/>
  <c r="AO30" i="11"/>
  <c r="AN30" i="11"/>
  <c r="AM30" i="11"/>
  <c r="AJ30" i="11"/>
  <c r="AI30" i="11"/>
  <c r="AG30" i="11"/>
  <c r="AF30" i="11"/>
  <c r="AP29" i="11"/>
  <c r="AO29" i="11"/>
  <c r="AN29" i="11"/>
  <c r="AM29" i="11"/>
  <c r="AJ29" i="11"/>
  <c r="AI29" i="11"/>
  <c r="AH29" i="11"/>
  <c r="AG29" i="11"/>
  <c r="AF29" i="11"/>
  <c r="AP28" i="11"/>
  <c r="AO28" i="11"/>
  <c r="AN28" i="11"/>
  <c r="AM28" i="11"/>
  <c r="AK28" i="11"/>
  <c r="AJ28" i="11"/>
  <c r="AI28" i="11"/>
  <c r="AH28" i="11"/>
  <c r="AG28" i="11"/>
  <c r="AF28" i="11"/>
  <c r="AP27" i="11"/>
  <c r="AO27" i="11"/>
  <c r="AN27" i="11"/>
  <c r="AM27" i="11"/>
  <c r="AK27" i="11"/>
  <c r="AJ27" i="11"/>
  <c r="AI27" i="11"/>
  <c r="AH27" i="11"/>
  <c r="AG27" i="11"/>
  <c r="AF27" i="11"/>
  <c r="AP26" i="11"/>
  <c r="AO26" i="11"/>
  <c r="AN26" i="11"/>
  <c r="AM26" i="11"/>
  <c r="AK26" i="11"/>
  <c r="AJ26" i="11"/>
  <c r="AI26" i="11"/>
  <c r="AH26" i="11"/>
  <c r="AG26" i="11"/>
  <c r="AF26" i="11"/>
  <c r="AP25" i="11"/>
  <c r="AO25" i="11"/>
  <c r="AN25" i="11"/>
  <c r="AM25" i="11"/>
  <c r="AK25" i="11"/>
  <c r="AJ25" i="11"/>
  <c r="AI25" i="11"/>
  <c r="AH25" i="11"/>
  <c r="AG25" i="11"/>
  <c r="AF25" i="11"/>
  <c r="AP24" i="11"/>
  <c r="AO24" i="11"/>
  <c r="AN24" i="11"/>
  <c r="AM24" i="11"/>
  <c r="AK24" i="11"/>
  <c r="AJ24" i="11"/>
  <c r="AI24" i="11"/>
  <c r="AH24" i="11"/>
  <c r="AG24" i="11"/>
  <c r="AF24" i="11"/>
  <c r="AP23" i="11"/>
  <c r="AO23" i="11"/>
  <c r="AN23" i="11"/>
  <c r="AM23" i="11"/>
  <c r="AK23" i="11"/>
  <c r="AJ23" i="11"/>
  <c r="AI23" i="11"/>
  <c r="AH23" i="11"/>
  <c r="AG23" i="11"/>
  <c r="AF23" i="11"/>
  <c r="AP22" i="11"/>
  <c r="AO22" i="11"/>
  <c r="AN22" i="11"/>
  <c r="AM22" i="11"/>
  <c r="AK22" i="11"/>
  <c r="AJ22" i="11"/>
  <c r="AI22" i="11"/>
  <c r="AH22" i="11"/>
  <c r="AG22" i="11"/>
  <c r="AF22" i="11"/>
  <c r="AP21" i="11"/>
  <c r="AO21" i="11"/>
  <c r="AN21" i="11"/>
  <c r="AM21" i="11"/>
  <c r="AK21" i="11"/>
  <c r="AJ21" i="11"/>
  <c r="AI21" i="11"/>
  <c r="AH21" i="11"/>
  <c r="AG21" i="11"/>
  <c r="AF21" i="11"/>
  <c r="AP20" i="11"/>
  <c r="AO20" i="11"/>
  <c r="AN20" i="11"/>
  <c r="AM20" i="11"/>
  <c r="AK20" i="11"/>
  <c r="AJ20" i="11"/>
  <c r="AI20" i="11"/>
  <c r="AH20" i="11"/>
  <c r="AF20" i="11"/>
  <c r="AP19" i="11"/>
  <c r="AO19" i="11"/>
  <c r="AN19" i="11"/>
  <c r="AM19" i="11"/>
  <c r="AK19" i="11"/>
  <c r="AJ19" i="11"/>
  <c r="AI19" i="11"/>
  <c r="AH19" i="11"/>
  <c r="AG19" i="11"/>
  <c r="AF19" i="11"/>
  <c r="AP18" i="11"/>
  <c r="AO18" i="11"/>
  <c r="AN18" i="11"/>
  <c r="AM18" i="11"/>
  <c r="AK18" i="11"/>
  <c r="AJ18" i="11"/>
  <c r="AI18" i="11"/>
  <c r="AH18" i="11"/>
  <c r="AG18" i="11"/>
  <c r="AF18" i="11"/>
  <c r="AP17" i="11"/>
  <c r="AO17" i="11"/>
  <c r="AN17" i="11"/>
  <c r="AM17" i="11"/>
  <c r="AK17" i="11"/>
  <c r="AJ17" i="11"/>
  <c r="AI17" i="11"/>
  <c r="AH17" i="11"/>
  <c r="AG17" i="11"/>
  <c r="AF17" i="11"/>
  <c r="AP16" i="11"/>
  <c r="AO16" i="11"/>
  <c r="AN16" i="11"/>
  <c r="AM16" i="11"/>
  <c r="AK16" i="11"/>
  <c r="AJ16" i="11"/>
  <c r="AI16" i="11"/>
  <c r="AH16" i="11"/>
  <c r="AG16" i="11"/>
  <c r="AF16" i="11"/>
  <c r="AP15" i="11"/>
  <c r="AO15" i="11"/>
  <c r="AN15" i="11"/>
  <c r="AM15" i="11"/>
  <c r="AK15" i="11"/>
  <c r="AJ15" i="11"/>
  <c r="AI15" i="11"/>
  <c r="AH15" i="11"/>
  <c r="AG15" i="11"/>
  <c r="AF15" i="11"/>
  <c r="AP14" i="11"/>
  <c r="AO14" i="11"/>
  <c r="AN14" i="11"/>
  <c r="AM14" i="11"/>
  <c r="AK14" i="11"/>
  <c r="AJ14" i="11"/>
  <c r="AI14" i="11"/>
  <c r="AH14" i="11"/>
  <c r="AG14" i="11"/>
  <c r="AF14" i="11"/>
  <c r="AP13" i="11"/>
  <c r="AO13" i="11"/>
  <c r="AN13" i="11"/>
  <c r="AM13" i="11"/>
  <c r="AK13" i="11"/>
  <c r="AJ13" i="11"/>
  <c r="AI13" i="11"/>
  <c r="AH13" i="11"/>
  <c r="AG13" i="11"/>
  <c r="AF13" i="11"/>
  <c r="AP12" i="11"/>
  <c r="AO12" i="11"/>
  <c r="AN12" i="11"/>
  <c r="AM12" i="11"/>
  <c r="AK12" i="11"/>
  <c r="AJ12" i="11"/>
  <c r="AI12" i="11"/>
  <c r="AH12" i="11"/>
  <c r="AG12" i="11"/>
  <c r="AF12" i="11"/>
  <c r="AP11" i="11"/>
  <c r="AO11" i="11"/>
  <c r="AN11" i="11"/>
  <c r="AM11" i="11"/>
  <c r="AK11" i="11"/>
  <c r="AJ11" i="11"/>
  <c r="AI11" i="11"/>
  <c r="AH11" i="11"/>
  <c r="AG11" i="11"/>
  <c r="AF11" i="11"/>
  <c r="AP10" i="11"/>
  <c r="AO10" i="11"/>
  <c r="AN10" i="11"/>
  <c r="AK10" i="11"/>
  <c r="AJ10" i="11"/>
  <c r="AI10" i="11"/>
  <c r="AH10" i="11"/>
  <c r="AG10" i="11"/>
  <c r="AF10" i="11"/>
  <c r="AP9" i="11"/>
  <c r="AO9" i="11"/>
  <c r="AN9" i="11"/>
  <c r="AM9" i="11"/>
  <c r="AK9" i="11"/>
  <c r="AJ9" i="11"/>
  <c r="AI9" i="11"/>
  <c r="AH9" i="11"/>
  <c r="AG9" i="11"/>
  <c r="AF9" i="11"/>
  <c r="AP8" i="11"/>
  <c r="AO8" i="11"/>
  <c r="AN8" i="11"/>
  <c r="AM8" i="11"/>
  <c r="AK8" i="11"/>
  <c r="AJ8" i="11"/>
  <c r="AI8" i="11"/>
  <c r="AH8" i="11"/>
  <c r="AG8" i="11"/>
  <c r="AF8" i="11"/>
  <c r="AP7" i="11"/>
  <c r="AO7" i="11"/>
  <c r="AN7" i="11"/>
  <c r="AM7" i="11"/>
  <c r="AK7" i="11"/>
  <c r="AJ7" i="11"/>
  <c r="AI7" i="11"/>
  <c r="AH7" i="11"/>
  <c r="AG7" i="11"/>
  <c r="AF7" i="11"/>
  <c r="AP6" i="11"/>
  <c r="AO6" i="11"/>
  <c r="AN6" i="11"/>
  <c r="AM6" i="11"/>
  <c r="AK6" i="11"/>
  <c r="AJ6" i="11"/>
  <c r="AI6" i="11"/>
  <c r="AH6" i="11"/>
  <c r="AG6" i="11"/>
  <c r="AF6" i="11"/>
  <c r="AP5" i="11"/>
  <c r="AO5" i="11"/>
  <c r="AN5" i="11"/>
  <c r="AM5" i="11"/>
  <c r="AK5" i="11"/>
  <c r="AJ5" i="11"/>
  <c r="AI5" i="11"/>
  <c r="AG5" i="11"/>
  <c r="AF5" i="11"/>
  <c r="AP4" i="11"/>
  <c r="AO4" i="11"/>
  <c r="AN4" i="11"/>
  <c r="AM4" i="11"/>
  <c r="AK4" i="11"/>
  <c r="AJ4" i="11"/>
  <c r="AI4" i="11"/>
  <c r="AG4" i="11"/>
  <c r="AF4" i="11"/>
  <c r="AP3" i="11"/>
  <c r="AO3" i="11"/>
  <c r="AN3" i="11"/>
  <c r="AM3" i="11"/>
  <c r="AK3" i="11"/>
  <c r="AJ3" i="11"/>
  <c r="AI3" i="11"/>
  <c r="AG3" i="11"/>
  <c r="AF3" i="11"/>
  <c r="A22" i="6"/>
  <c r="A23" i="6"/>
  <c r="A45" i="3"/>
  <c r="A36" i="3"/>
  <c r="AB264" i="11"/>
  <c r="AD264" i="11" s="1" a="1"/>
  <c r="AD264" i="11" s="1"/>
  <c r="AB258" i="11"/>
  <c r="A41" i="3"/>
  <c r="AB290" i="11"/>
  <c r="AB291" i="11"/>
  <c r="AD291" i="11" s="1" a="1"/>
  <c r="AD291" i="11" s="1"/>
  <c r="AB293" i="11"/>
  <c r="AB292" i="11"/>
  <c r="AD292" i="11" s="1" a="1"/>
  <c r="AD292" i="11" s="1"/>
  <c r="M8" i="4"/>
  <c r="T8" i="4"/>
  <c r="U8" i="4"/>
  <c r="M9" i="4"/>
  <c r="T9" i="4"/>
  <c r="U9" i="4"/>
  <c r="T10" i="4"/>
  <c r="U10" i="4"/>
  <c r="T11" i="4"/>
  <c r="U11" i="4"/>
  <c r="M20" i="4"/>
  <c r="T20" i="4"/>
  <c r="U20" i="4"/>
  <c r="M21" i="4"/>
  <c r="T21" i="4"/>
  <c r="U21" i="4"/>
  <c r="T27" i="4"/>
  <c r="U27" i="4"/>
  <c r="M28" i="4"/>
  <c r="M29" i="4"/>
  <c r="T29" i="4"/>
  <c r="U29" i="4"/>
  <c r="T36" i="4"/>
  <c r="U36" i="4"/>
  <c r="M38" i="4"/>
  <c r="T38" i="4"/>
  <c r="U38" i="4"/>
  <c r="AB9" i="3"/>
  <c r="AJ9" i="3"/>
  <c r="AK9" i="3"/>
  <c r="AB267" i="11"/>
  <c r="AD267" i="11" s="1" a="1"/>
  <c r="AD267" i="11" s="1"/>
  <c r="AE300" i="11" l="1"/>
  <c r="AD293" i="11" a="1"/>
  <c r="AD293" i="11" s="1"/>
  <c r="AE293" i="11" s="1"/>
  <c r="AE292" i="11"/>
  <c r="AD290" i="11" a="1"/>
  <c r="AD290" i="11" s="1"/>
  <c r="AE290" i="11" s="1"/>
  <c r="AD294" i="11" a="1"/>
  <c r="AD294" i="11" s="1"/>
  <c r="AE294" i="11" s="1"/>
  <c r="AE295" i="11"/>
  <c r="AE291" i="11"/>
  <c r="AE267" i="11"/>
  <c r="AB283" i="11"/>
  <c r="AB260" i="11"/>
  <c r="A45" i="4"/>
  <c r="M45" i="4"/>
  <c r="T45" i="4"/>
  <c r="U45" i="4"/>
  <c r="A40" i="4"/>
  <c r="A13" i="7"/>
  <c r="A20" i="7"/>
  <c r="P2" i="13"/>
  <c r="N2" i="13"/>
  <c r="AE254" i="11"/>
  <c r="AE255" i="11"/>
  <c r="AE256" i="11"/>
  <c r="AE257" i="11"/>
  <c r="AE259" i="11"/>
  <c r="AE264" i="11"/>
  <c r="AE265" i="11"/>
  <c r="AE268" i="11"/>
  <c r="AE269" i="11"/>
  <c r="AE271" i="11"/>
  <c r="AB247" i="11"/>
  <c r="AD247" i="11" s="1" a="1"/>
  <c r="AD247" i="11" s="1"/>
  <c r="AB248" i="11"/>
  <c r="AD248" i="11" s="1" a="1"/>
  <c r="AD248" i="11" s="1"/>
  <c r="AB249" i="11"/>
  <c r="AD249" i="11" s="1" a="1"/>
  <c r="AD249" i="11" s="1"/>
  <c r="AB250" i="11"/>
  <c r="AD250" i="11" s="1" a="1"/>
  <c r="AD250" i="11" s="1"/>
  <c r="AB251" i="11"/>
  <c r="AD251" i="11" s="1" a="1"/>
  <c r="AD251" i="11" s="1"/>
  <c r="AB252" i="11"/>
  <c r="AD252" i="11" s="1" a="1"/>
  <c r="AD252" i="11" s="1"/>
  <c r="AB253" i="11"/>
  <c r="AD253" i="11" s="1" a="1"/>
  <c r="AD253" i="11" s="1"/>
  <c r="AB254" i="11"/>
  <c r="AB255" i="11"/>
  <c r="AB256" i="11"/>
  <c r="AB257" i="11"/>
  <c r="AB259" i="11"/>
  <c r="AB261" i="11"/>
  <c r="AD261" i="11" s="1" a="1"/>
  <c r="AD261" i="11" s="1"/>
  <c r="AE261" i="11" s="1"/>
  <c r="AB262" i="11"/>
  <c r="AD262" i="11" s="1" a="1"/>
  <c r="AD262" i="11" s="1"/>
  <c r="AE262" i="11" s="1"/>
  <c r="AB263" i="11"/>
  <c r="AD263" i="11" s="1" a="1"/>
  <c r="AD263" i="11" s="1"/>
  <c r="AE263" i="11" s="1"/>
  <c r="AB265" i="11"/>
  <c r="AB266" i="11"/>
  <c r="AD266" i="11" s="1" a="1"/>
  <c r="AD266" i="11" s="1"/>
  <c r="AE266" i="11" s="1"/>
  <c r="AB268" i="11"/>
  <c r="AB269" i="11"/>
  <c r="AB270" i="11"/>
  <c r="AB271" i="11"/>
  <c r="AB272" i="11"/>
  <c r="AB273" i="11"/>
  <c r="AB274" i="11"/>
  <c r="AB275" i="11"/>
  <c r="AB276" i="11"/>
  <c r="AB277" i="11"/>
  <c r="AB278" i="11"/>
  <c r="AB279" i="11"/>
  <c r="AB280" i="11"/>
  <c r="AB281" i="11"/>
  <c r="AB282" i="11"/>
  <c r="AB284" i="11"/>
  <c r="AB285" i="11"/>
  <c r="AB286" i="11"/>
  <c r="AB287" i="11"/>
  <c r="AB288" i="11"/>
  <c r="AB289" i="11"/>
  <c r="AE246" i="11"/>
  <c r="AE247" i="11"/>
  <c r="AE248" i="11"/>
  <c r="AE249" i="11"/>
  <c r="AE250" i="11"/>
  <c r="AE251" i="11"/>
  <c r="AE252" i="11"/>
  <c r="AE253" i="11"/>
  <c r="AE245" i="11"/>
  <c r="AE244" i="11"/>
  <c r="AE243" i="11"/>
  <c r="AE242" i="11"/>
  <c r="AE241" i="11"/>
  <c r="AE239" i="11"/>
  <c r="AB246" i="11"/>
  <c r="AD246" i="11" s="1" a="1"/>
  <c r="AD246" i="11" s="1"/>
  <c r="AB238" i="11"/>
  <c r="AB239" i="11"/>
  <c r="AD239" i="11" s="1" a="1"/>
  <c r="AD239" i="11" s="1"/>
  <c r="AB240" i="11"/>
  <c r="AB241" i="11"/>
  <c r="AD241" i="11" s="1" a="1"/>
  <c r="AD241" i="11" s="1"/>
  <c r="AB242" i="11"/>
  <c r="AD242" i="11" s="1" a="1"/>
  <c r="AD242" i="11" s="1"/>
  <c r="AB243" i="11"/>
  <c r="AD243" i="11" s="1" a="1"/>
  <c r="AD243" i="11" s="1"/>
  <c r="AB244" i="11"/>
  <c r="AD244" i="11" s="1" a="1"/>
  <c r="AD244" i="11" s="1"/>
  <c r="AB245" i="11"/>
  <c r="AD245" i="11" s="1" a="1"/>
  <c r="AD245" i="11" s="1"/>
  <c r="A9" i="18"/>
  <c r="A10" i="18"/>
  <c r="A8" i="18"/>
  <c r="A9" i="8"/>
  <c r="A8" i="8"/>
  <c r="A10" i="8"/>
  <c r="A12" i="7"/>
  <c r="H28" i="6"/>
  <c r="A28" i="6"/>
  <c r="H27" i="6"/>
  <c r="A27" i="6"/>
  <c r="A14" i="6"/>
  <c r="A33" i="6"/>
  <c r="A13" i="6"/>
  <c r="A35" i="4"/>
  <c r="A12" i="5"/>
  <c r="A11" i="5"/>
  <c r="A10" i="5"/>
  <c r="A19" i="6"/>
  <c r="K6" i="15"/>
  <c r="J6" i="15"/>
  <c r="K5" i="15"/>
  <c r="J5" i="15"/>
  <c r="O2" i="13"/>
  <c r="M2" i="13"/>
  <c r="K2" i="13"/>
  <c r="J2" i="13"/>
  <c r="I2" i="13"/>
  <c r="H2" i="13"/>
  <c r="G2" i="13"/>
  <c r="F2" i="13"/>
  <c r="E2" i="13"/>
  <c r="D2" i="13"/>
  <c r="B2" i="13"/>
  <c r="A2" i="13"/>
  <c r="C70" i="12"/>
  <c r="A70" i="12"/>
  <c r="C69" i="12"/>
  <c r="A69" i="12"/>
  <c r="AB237" i="11"/>
  <c r="AB235" i="11"/>
  <c r="AB234" i="11"/>
  <c r="AB233" i="11"/>
  <c r="AB232" i="11"/>
  <c r="AB231" i="11"/>
  <c r="AB230" i="11"/>
  <c r="AB229" i="11"/>
  <c r="AB228" i="11"/>
  <c r="AB227" i="11"/>
  <c r="AB226" i="11"/>
  <c r="AB225" i="11"/>
  <c r="AE224" i="11"/>
  <c r="AB224" i="11"/>
  <c r="AB223" i="11"/>
  <c r="AE222" i="11"/>
  <c r="AB222" i="11"/>
  <c r="AD222" i="11" s="1" a="1"/>
  <c r="AD222" i="11" s="1"/>
  <c r="AE221" i="11"/>
  <c r="AB221" i="11"/>
  <c r="AD221" i="11" s="1" a="1"/>
  <c r="AD221" i="11" s="1"/>
  <c r="AB220" i="11"/>
  <c r="AB219" i="11"/>
  <c r="AE218" i="11"/>
  <c r="AB218" i="11"/>
  <c r="AD218" i="11" s="1" a="1"/>
  <c r="AD218" i="11" s="1"/>
  <c r="AE217" i="11"/>
  <c r="AB217" i="11"/>
  <c r="AD217" i="11" s="1" a="1"/>
  <c r="AD217" i="11" s="1"/>
  <c r="AE216" i="11"/>
  <c r="AB216" i="11"/>
  <c r="AB215" i="11"/>
  <c r="AE214" i="11"/>
  <c r="AB214" i="11"/>
  <c r="AE213" i="11"/>
  <c r="AB213" i="11"/>
  <c r="AB212" i="11"/>
  <c r="AE211" i="11"/>
  <c r="AB211" i="11"/>
  <c r="AE210" i="11"/>
  <c r="AB210" i="11"/>
  <c r="AB209" i="11"/>
  <c r="AE208" i="11"/>
  <c r="AB208" i="11"/>
  <c r="AE207" i="11"/>
  <c r="AB207" i="11"/>
  <c r="AE206" i="11"/>
  <c r="AB206" i="11"/>
  <c r="AD206" i="11" s="1" a="1"/>
  <c r="AD206" i="11" s="1"/>
  <c r="AE205" i="11"/>
  <c r="AB205" i="11"/>
  <c r="AD205" i="11" s="1" a="1"/>
  <c r="AD205" i="11" s="1"/>
  <c r="AB204" i="11"/>
  <c r="AE203" i="11"/>
  <c r="AB203" i="11"/>
  <c r="AD203" i="11" s="1" a="1"/>
  <c r="AD203" i="11" s="1"/>
  <c r="AE202" i="11"/>
  <c r="AB202" i="11"/>
  <c r="AD202" i="11" s="1" a="1"/>
  <c r="AD202" i="11" s="1"/>
  <c r="AE201" i="11"/>
  <c r="AB201" i="11"/>
  <c r="AD201" i="11" s="1" a="1"/>
  <c r="AD201" i="11" s="1"/>
  <c r="AE200" i="11"/>
  <c r="AB200" i="11"/>
  <c r="AD200" i="11" s="1" a="1"/>
  <c r="AD200" i="11" s="1"/>
  <c r="AE199" i="11"/>
  <c r="AB199" i="11"/>
  <c r="AD199" i="11" s="1" a="1"/>
  <c r="AD199" i="11" s="1"/>
  <c r="AE198" i="11"/>
  <c r="AB198" i="11"/>
  <c r="AD198" i="11" s="1" a="1"/>
  <c r="AD198" i="11" s="1"/>
  <c r="AE197" i="11"/>
  <c r="AB197" i="11"/>
  <c r="AD197" i="11" s="1" a="1"/>
  <c r="AD197" i="11" s="1"/>
  <c r="AE196" i="11"/>
  <c r="AB196" i="11"/>
  <c r="AD196" i="11" s="1" a="1"/>
  <c r="AD196" i="11" s="1"/>
  <c r="AE195" i="11"/>
  <c r="AB195" i="11"/>
  <c r="AD195" i="11" s="1" a="1"/>
  <c r="AD195" i="11" s="1"/>
  <c r="AE194" i="11"/>
  <c r="AB194" i="11"/>
  <c r="AD194" i="11" s="1" a="1"/>
  <c r="AD194" i="11" s="1"/>
  <c r="AE193" i="11"/>
  <c r="AB193" i="11"/>
  <c r="AD193" i="11" s="1" a="1"/>
  <c r="AD193" i="11" s="1"/>
  <c r="AE192" i="11"/>
  <c r="AB192" i="11"/>
  <c r="AD192" i="11" s="1" a="1"/>
  <c r="AD192" i="11" s="1"/>
  <c r="AB191" i="11"/>
  <c r="AE190" i="11"/>
  <c r="AB190" i="11"/>
  <c r="AE189" i="11"/>
  <c r="AB189" i="11"/>
  <c r="AE188" i="11"/>
  <c r="AB188" i="11"/>
  <c r="AE187" i="11"/>
  <c r="AB187" i="11"/>
  <c r="AE186" i="11"/>
  <c r="AB186" i="11"/>
  <c r="AE185" i="11"/>
  <c r="AB185" i="11"/>
  <c r="AE184" i="11"/>
  <c r="AB184" i="11"/>
  <c r="AE183" i="11"/>
  <c r="AB183" i="11"/>
  <c r="AB182" i="11"/>
  <c r="AB181" i="11"/>
  <c r="AB180" i="11"/>
  <c r="AB179" i="11"/>
  <c r="AB178" i="11"/>
  <c r="AB177" i="11"/>
  <c r="AE176" i="11"/>
  <c r="AB176" i="11"/>
  <c r="AD176" i="11" s="1" a="1"/>
  <c r="AD176" i="11" s="1"/>
  <c r="AE175" i="11"/>
  <c r="AB175" i="11"/>
  <c r="AD175" i="11" s="1" a="1"/>
  <c r="AD175" i="11" s="1"/>
  <c r="AE174" i="11"/>
  <c r="AB174" i="11"/>
  <c r="AD174" i="11" s="1" a="1"/>
  <c r="AD174" i="11" s="1"/>
  <c r="AE173" i="11"/>
  <c r="AB173" i="11"/>
  <c r="AD173" i="11" s="1" a="1"/>
  <c r="AD173" i="11" s="1"/>
  <c r="AB172" i="11"/>
  <c r="AE171" i="11"/>
  <c r="AB171" i="11"/>
  <c r="AD171" i="11" s="1" a="1"/>
  <c r="AD171" i="11" s="1"/>
  <c r="AE170" i="11"/>
  <c r="AB170" i="11"/>
  <c r="AD170" i="11" s="1" a="1"/>
  <c r="AD170" i="11" s="1"/>
  <c r="AE169" i="11"/>
  <c r="AB169" i="11"/>
  <c r="AD169" i="11" s="1" a="1"/>
  <c r="AD169" i="11" s="1"/>
  <c r="AE168" i="11"/>
  <c r="AB168" i="11"/>
  <c r="AD168" i="11" s="1" a="1"/>
  <c r="AD168" i="11" s="1"/>
  <c r="AE167" i="11"/>
  <c r="AB167" i="11"/>
  <c r="AD167" i="11" s="1" a="1"/>
  <c r="AD167" i="11" s="1"/>
  <c r="AB166" i="11"/>
  <c r="AE165" i="11"/>
  <c r="AB165" i="11"/>
  <c r="AD165" i="11" s="1" a="1"/>
  <c r="AD165" i="11" s="1"/>
  <c r="AE164" i="11"/>
  <c r="AB164" i="11"/>
  <c r="AD164" i="11" s="1" a="1"/>
  <c r="AD164" i="11" s="1"/>
  <c r="AB163" i="11"/>
  <c r="AB162" i="11"/>
  <c r="AE161" i="11"/>
  <c r="AB161" i="11"/>
  <c r="AD161" i="11" s="1" a="1"/>
  <c r="AD161" i="11" s="1"/>
  <c r="AE160" i="11"/>
  <c r="AB160" i="11"/>
  <c r="AD160" i="11" s="1" a="1"/>
  <c r="AD160" i="11" s="1"/>
  <c r="AE159" i="11"/>
  <c r="AB159" i="11"/>
  <c r="AD159" i="11" s="1" a="1"/>
  <c r="AD159" i="11" s="1"/>
  <c r="AB158" i="11"/>
  <c r="AE157" i="11"/>
  <c r="AB157" i="11"/>
  <c r="AD157" i="11" s="1" a="1"/>
  <c r="AD157" i="11" s="1"/>
  <c r="AE156" i="11"/>
  <c r="AB156" i="11"/>
  <c r="AD156" i="11" s="1" a="1"/>
  <c r="AD156" i="11" s="1"/>
  <c r="AE155" i="11"/>
  <c r="AB155" i="11"/>
  <c r="AD155" i="11" s="1" a="1"/>
  <c r="AD155" i="11" s="1"/>
  <c r="AE154" i="11"/>
  <c r="AB154" i="11"/>
  <c r="AD154" i="11" s="1" a="1"/>
  <c r="AD154" i="11" s="1"/>
  <c r="AE153" i="11"/>
  <c r="AB153" i="11"/>
  <c r="AD153" i="11" s="1" a="1"/>
  <c r="AD153" i="11" s="1"/>
  <c r="AE152" i="11"/>
  <c r="AB152" i="11"/>
  <c r="AD152" i="11" s="1" a="1"/>
  <c r="AD152" i="11" s="1"/>
  <c r="AE151" i="11"/>
  <c r="AB151" i="11"/>
  <c r="AD151" i="11" s="1" a="1"/>
  <c r="AD151" i="11" s="1"/>
  <c r="AE150" i="11"/>
  <c r="AB150" i="11"/>
  <c r="AD150" i="11" s="1" a="1"/>
  <c r="AD150" i="11" s="1"/>
  <c r="AE149" i="11"/>
  <c r="AB149" i="11"/>
  <c r="AD149" i="11" s="1" a="1"/>
  <c r="AD149" i="11" s="1"/>
  <c r="AE148" i="11"/>
  <c r="AB148" i="11"/>
  <c r="AD148" i="11" s="1" a="1"/>
  <c r="AD148" i="11" s="1"/>
  <c r="AE147" i="11"/>
  <c r="AB147" i="11"/>
  <c r="AD147" i="11" s="1" a="1"/>
  <c r="AD147" i="11" s="1"/>
  <c r="AE146" i="11"/>
  <c r="AB146" i="11"/>
  <c r="AD146" i="11" s="1" a="1"/>
  <c r="AD146" i="11" s="1"/>
  <c r="AE145" i="11"/>
  <c r="AB145" i="11"/>
  <c r="AD145" i="11" s="1" a="1"/>
  <c r="AD145" i="11" s="1"/>
  <c r="AE144" i="11"/>
  <c r="AB144" i="11"/>
  <c r="AD144" i="11" s="1" a="1"/>
  <c r="AD144" i="11" s="1"/>
  <c r="AE143" i="11"/>
  <c r="AB143" i="11"/>
  <c r="AD143" i="11" s="1" a="1"/>
  <c r="AD143" i="11" s="1"/>
  <c r="AE142" i="11"/>
  <c r="AB142" i="11"/>
  <c r="AD142" i="11" s="1" a="1"/>
  <c r="AD142" i="11" s="1"/>
  <c r="AE141" i="11"/>
  <c r="AB141" i="11"/>
  <c r="AD141" i="11" s="1" a="1"/>
  <c r="AD141" i="11" s="1"/>
  <c r="AB140" i="11"/>
  <c r="AB139" i="11"/>
  <c r="AE138" i="11"/>
  <c r="AB138" i="11"/>
  <c r="AD138" i="11" s="1" a="1"/>
  <c r="AD138" i="11" s="1"/>
  <c r="AE137" i="11"/>
  <c r="AB137" i="11"/>
  <c r="AD137" i="11" s="1" a="1"/>
  <c r="AD137" i="11" s="1"/>
  <c r="AE136" i="11"/>
  <c r="AB136" i="11"/>
  <c r="AD136" i="11" s="1" a="1"/>
  <c r="AD136" i="11" s="1"/>
  <c r="AE135" i="11"/>
  <c r="AB135" i="11"/>
  <c r="AD135" i="11" s="1" a="1"/>
  <c r="AD135" i="11" s="1"/>
  <c r="AE134" i="11"/>
  <c r="AB134" i="11"/>
  <c r="AD134" i="11" s="1" a="1"/>
  <c r="AD134" i="11" s="1"/>
  <c r="AE133" i="11"/>
  <c r="AB133" i="11"/>
  <c r="AD133" i="11" s="1" a="1"/>
  <c r="AD133" i="11" s="1"/>
  <c r="AE132" i="11"/>
  <c r="AB132" i="11"/>
  <c r="AD132" i="11" s="1" a="1"/>
  <c r="AD132" i="11" s="1"/>
  <c r="AE131" i="11"/>
  <c r="AB131" i="11"/>
  <c r="AD131" i="11" s="1" a="1"/>
  <c r="AD131" i="11" s="1"/>
  <c r="AE130" i="11"/>
  <c r="AB130" i="11"/>
  <c r="AE129" i="11"/>
  <c r="AB129" i="11"/>
  <c r="AE128" i="11"/>
  <c r="AB128" i="11"/>
  <c r="AE127" i="11"/>
  <c r="AB127" i="11"/>
  <c r="AE126" i="11"/>
  <c r="AB126" i="11"/>
  <c r="AD126" i="11" s="1" a="1"/>
  <c r="AD126" i="11" s="1"/>
  <c r="AE125" i="11"/>
  <c r="AB125" i="11"/>
  <c r="AD125" i="11" s="1" a="1"/>
  <c r="AD125" i="11" s="1"/>
  <c r="AB124" i="11"/>
  <c r="AE123" i="11"/>
  <c r="AB123" i="11"/>
  <c r="AD123" i="11" s="1" a="1"/>
  <c r="AD123" i="11" s="1"/>
  <c r="AE122" i="11"/>
  <c r="AB122" i="11"/>
  <c r="AD122" i="11" s="1" a="1"/>
  <c r="AD122" i="11" s="1"/>
  <c r="AE121" i="11"/>
  <c r="AB121" i="11"/>
  <c r="AD121" i="11" s="1" a="1"/>
  <c r="AD121" i="11" s="1"/>
  <c r="AE120" i="11"/>
  <c r="AB120" i="11"/>
  <c r="AD120" i="11" s="1" a="1"/>
  <c r="AD120" i="11" s="1"/>
  <c r="AE119" i="11"/>
  <c r="AB119" i="11"/>
  <c r="AD119" i="11" s="1" a="1"/>
  <c r="AD119" i="11" s="1"/>
  <c r="AE118" i="11"/>
  <c r="AB118" i="11"/>
  <c r="AE117" i="11"/>
  <c r="AB117" i="11"/>
  <c r="AE116" i="11"/>
  <c r="AB116" i="11"/>
  <c r="AE115" i="11"/>
  <c r="AB115" i="11"/>
  <c r="AB114" i="11"/>
  <c r="AE113" i="11"/>
  <c r="AB113" i="11"/>
  <c r="AD113" i="11" s="1" a="1"/>
  <c r="AD113" i="11" s="1"/>
  <c r="AE112" i="11"/>
  <c r="AB112" i="11"/>
  <c r="AD112" i="11" s="1" a="1"/>
  <c r="AD112" i="11" s="1"/>
  <c r="AE111" i="11"/>
  <c r="AB111" i="11"/>
  <c r="AD111" i="11" s="1" a="1"/>
  <c r="AD111" i="11" s="1"/>
  <c r="AE110" i="11"/>
  <c r="AB110" i="11"/>
  <c r="AD110" i="11" s="1" a="1"/>
  <c r="AD110" i="11" s="1"/>
  <c r="AE109" i="11"/>
  <c r="AB109" i="11"/>
  <c r="AD109" i="11" s="1" a="1"/>
  <c r="AD109" i="11" s="1"/>
  <c r="AB108" i="11"/>
  <c r="AB107" i="11"/>
  <c r="AE106" i="11"/>
  <c r="AB106" i="11"/>
  <c r="AD106" i="11" s="1" a="1"/>
  <c r="AD106" i="11" s="1"/>
  <c r="AE105" i="11"/>
  <c r="AB105" i="11"/>
  <c r="AD105" i="11" s="1" a="1"/>
  <c r="AD105" i="11" s="1"/>
  <c r="AE104" i="11"/>
  <c r="AB104" i="11"/>
  <c r="AD104" i="11" s="1" a="1"/>
  <c r="AD104" i="11" s="1"/>
  <c r="AE103" i="11"/>
  <c r="AB103" i="11"/>
  <c r="AD103" i="11" s="1" a="1"/>
  <c r="AD103" i="11" s="1"/>
  <c r="AE102" i="11"/>
  <c r="AB102" i="11"/>
  <c r="AD102" i="11" s="1" a="1"/>
  <c r="AD102" i="11" s="1"/>
  <c r="AB101" i="11"/>
  <c r="AD101" i="11" s="1" a="1"/>
  <c r="AD101" i="11" s="1"/>
  <c r="AE101" i="11" s="1"/>
  <c r="AB100" i="11"/>
  <c r="AE99" i="11"/>
  <c r="AB99" i="11"/>
  <c r="AD99" i="11" s="1" a="1"/>
  <c r="AD99" i="11" s="1"/>
  <c r="AE98" i="11"/>
  <c r="AB98" i="11"/>
  <c r="AD98" i="11" s="1" a="1"/>
  <c r="AD98" i="11" s="1"/>
  <c r="AE97" i="11"/>
  <c r="AB97" i="11"/>
  <c r="AD97" i="11" s="1" a="1"/>
  <c r="AD97" i="11" s="1"/>
  <c r="AE96" i="11"/>
  <c r="AB96" i="11"/>
  <c r="AD96" i="11" s="1" a="1"/>
  <c r="AD96" i="11" s="1"/>
  <c r="AB95" i="11"/>
  <c r="AE94" i="11"/>
  <c r="AB94" i="11"/>
  <c r="AD94" i="11" s="1" a="1"/>
  <c r="AD94" i="11" s="1"/>
  <c r="AE93" i="11"/>
  <c r="AB93" i="11"/>
  <c r="AD93" i="11" s="1" a="1"/>
  <c r="AD93" i="11" s="1"/>
  <c r="AE92" i="11"/>
  <c r="AB92" i="11"/>
  <c r="AD92" i="11" s="1" a="1"/>
  <c r="AD92" i="11" s="1"/>
  <c r="AE91" i="11"/>
  <c r="AB91" i="11"/>
  <c r="AD91" i="11" s="1" a="1"/>
  <c r="AD91" i="11" s="1"/>
  <c r="AE90" i="11"/>
  <c r="AB90" i="11"/>
  <c r="AD90" i="11" s="1" a="1"/>
  <c r="AD90" i="11" s="1"/>
  <c r="AE89" i="11"/>
  <c r="AB89" i="11"/>
  <c r="AD89" i="11" s="1" a="1"/>
  <c r="AD89" i="11" s="1"/>
  <c r="AB88" i="11"/>
  <c r="AE87" i="11"/>
  <c r="AB87" i="11"/>
  <c r="AD87" i="11" s="1" a="1"/>
  <c r="AD87" i="11" s="1"/>
  <c r="AE86" i="11"/>
  <c r="AB86" i="11"/>
  <c r="AD86" i="11" s="1" a="1"/>
  <c r="AD86" i="11" s="1"/>
  <c r="AE85" i="11"/>
  <c r="AB85" i="11"/>
  <c r="AD85" i="11" s="1" a="1"/>
  <c r="AD85" i="11" s="1"/>
  <c r="AE84" i="11"/>
  <c r="AB84" i="11"/>
  <c r="AD84" i="11" s="1" a="1"/>
  <c r="AD84" i="11" s="1"/>
  <c r="AB83" i="11"/>
  <c r="AE82" i="11"/>
  <c r="AB82" i="11"/>
  <c r="AD82" i="11" s="1" a="1"/>
  <c r="AD82" i="11" s="1"/>
  <c r="AE81" i="11"/>
  <c r="AB81" i="11"/>
  <c r="AD81" i="11" s="1" a="1"/>
  <c r="AD81" i="11" s="1"/>
  <c r="AE80" i="11"/>
  <c r="AB80" i="11"/>
  <c r="AD80" i="11" s="1" a="1"/>
  <c r="AD80" i="11" s="1"/>
  <c r="AE79" i="11"/>
  <c r="AB79" i="11"/>
  <c r="AD79" i="11" s="1" a="1"/>
  <c r="AD79" i="11" s="1"/>
  <c r="AE78" i="11"/>
  <c r="AB78" i="11"/>
  <c r="AD78" i="11" s="1" a="1"/>
  <c r="AD78" i="11" s="1"/>
  <c r="AE77" i="11"/>
  <c r="AB77" i="11"/>
  <c r="AD77" i="11" s="1" a="1"/>
  <c r="AD77" i="11" s="1"/>
  <c r="AB76" i="11"/>
  <c r="AB75" i="11"/>
  <c r="AE74" i="11"/>
  <c r="AB74" i="11"/>
  <c r="AD74" i="11" s="1" a="1"/>
  <c r="AD74" i="11" s="1"/>
  <c r="AE73" i="11"/>
  <c r="AB73" i="11"/>
  <c r="AD73" i="11" s="1" a="1"/>
  <c r="AD73" i="11" s="1"/>
  <c r="AE72" i="11"/>
  <c r="AB72" i="11"/>
  <c r="AD72" i="11" s="1" a="1"/>
  <c r="AD72" i="11" s="1"/>
  <c r="AE71" i="11"/>
  <c r="AB71" i="11"/>
  <c r="AD71" i="11" s="1" a="1"/>
  <c r="AD71" i="11" s="1"/>
  <c r="AE70" i="11"/>
  <c r="AB70" i="11"/>
  <c r="AD70" i="11" s="1" a="1"/>
  <c r="AD70" i="11" s="1"/>
  <c r="AE69" i="11"/>
  <c r="AB69" i="11"/>
  <c r="AD69" i="11" s="1" a="1"/>
  <c r="AD69" i="11" s="1"/>
  <c r="AE68" i="11"/>
  <c r="AB68" i="11"/>
  <c r="AD68" i="11" s="1" a="1"/>
  <c r="AD68" i="11" s="1"/>
  <c r="AE67" i="11"/>
  <c r="AB67" i="11"/>
  <c r="AD67" i="11" s="1" a="1"/>
  <c r="AD67" i="11" s="1"/>
  <c r="AE66" i="11"/>
  <c r="AB66" i="11"/>
  <c r="AD66" i="11" s="1" a="1"/>
  <c r="AD66" i="11" s="1"/>
  <c r="AB65" i="11"/>
  <c r="AB64" i="11"/>
  <c r="AE63" i="11"/>
  <c r="AB63" i="11"/>
  <c r="AD63" i="11" s="1" a="1"/>
  <c r="AD63" i="11" s="1"/>
  <c r="AE62" i="11"/>
  <c r="AB62" i="11"/>
  <c r="AD62" i="11" s="1" a="1"/>
  <c r="AD62" i="11" s="1"/>
  <c r="AE61" i="11"/>
  <c r="AB61" i="11"/>
  <c r="AD61" i="11" s="1" a="1"/>
  <c r="AD61" i="11" s="1"/>
  <c r="AE60" i="11"/>
  <c r="AB60" i="11"/>
  <c r="AD60" i="11" s="1" a="1"/>
  <c r="AD60" i="11" s="1"/>
  <c r="AE59" i="11"/>
  <c r="AB59" i="11"/>
  <c r="AD59" i="11" s="1" a="1"/>
  <c r="AD59" i="11" s="1"/>
  <c r="AE58" i="11"/>
  <c r="AB58" i="11"/>
  <c r="AD58" i="11" s="1" a="1"/>
  <c r="AD58" i="11" s="1"/>
  <c r="AB57" i="11"/>
  <c r="AB56" i="11"/>
  <c r="AE55" i="11"/>
  <c r="AB55" i="11"/>
  <c r="AD55" i="11" s="1" a="1"/>
  <c r="AD55" i="11" s="1"/>
  <c r="AB54" i="11"/>
  <c r="AB53" i="11"/>
  <c r="AB52" i="11"/>
  <c r="AB51" i="11"/>
  <c r="AE50" i="11"/>
  <c r="AB50" i="11"/>
  <c r="AB49" i="11"/>
  <c r="AB48" i="11"/>
  <c r="AE47" i="11"/>
  <c r="AB47" i="11"/>
  <c r="AE46" i="11"/>
  <c r="AB46" i="11"/>
  <c r="AE45" i="11"/>
  <c r="AB45" i="11"/>
  <c r="AE44" i="11"/>
  <c r="AB44" i="11"/>
  <c r="AB43" i="11"/>
  <c r="AB42" i="11"/>
  <c r="AB41" i="11"/>
  <c r="AE40" i="11"/>
  <c r="AB40" i="11"/>
  <c r="AB39" i="11"/>
  <c r="AB38" i="11"/>
  <c r="AE37" i="11"/>
  <c r="AB37" i="11"/>
  <c r="AB36" i="11"/>
  <c r="AB35" i="11"/>
  <c r="AE34" i="11"/>
  <c r="AB34" i="11"/>
  <c r="AE33" i="11"/>
  <c r="AB33" i="11"/>
  <c r="AE32" i="11"/>
  <c r="AB32" i="11"/>
  <c r="AB31" i="11"/>
  <c r="AB30" i="11"/>
  <c r="AB29" i="11"/>
  <c r="AE28" i="11"/>
  <c r="AB28" i="11"/>
  <c r="AE27" i="11"/>
  <c r="AE26" i="11"/>
  <c r="AE25" i="11"/>
  <c r="AE24" i="11"/>
  <c r="AE23" i="11"/>
  <c r="AE22" i="11"/>
  <c r="AE21" i="11"/>
  <c r="AE20" i="11"/>
  <c r="AE19" i="11"/>
  <c r="AB19" i="11"/>
  <c r="AD19" i="11" s="1" a="1"/>
  <c r="AD19" i="11" s="1"/>
  <c r="AE18" i="11"/>
  <c r="AB18" i="11"/>
  <c r="AD18" i="11" s="1" a="1"/>
  <c r="AD18" i="11" s="1"/>
  <c r="AB17" i="11"/>
  <c r="AE16" i="11"/>
  <c r="AB16" i="11"/>
  <c r="AD16" i="11" s="1" a="1"/>
  <c r="AD16" i="11" s="1"/>
  <c r="AE15" i="11"/>
  <c r="AB15" i="11"/>
  <c r="AD15" i="11" s="1" a="1"/>
  <c r="AD15" i="11" s="1"/>
  <c r="AB14" i="11"/>
  <c r="AE13" i="11"/>
  <c r="AB13" i="11"/>
  <c r="AD13" i="11" s="1" a="1"/>
  <c r="AD13" i="11" s="1"/>
  <c r="AE12" i="11"/>
  <c r="AB12" i="11"/>
  <c r="AD12" i="11" s="1" a="1"/>
  <c r="AD12" i="11" s="1"/>
  <c r="AE11" i="11"/>
  <c r="AB11" i="11"/>
  <c r="AD11" i="11" s="1" a="1"/>
  <c r="AD11" i="11" s="1"/>
  <c r="AB10" i="11"/>
  <c r="AB9" i="11"/>
  <c r="AB8" i="11"/>
  <c r="AE7" i="11"/>
  <c r="AB7" i="11"/>
  <c r="AE6" i="11"/>
  <c r="AB6" i="11"/>
  <c r="AE5" i="11"/>
  <c r="AB5" i="11"/>
  <c r="AB4" i="11"/>
  <c r="AE3" i="11"/>
  <c r="AB3" i="11"/>
  <c r="AD3" i="11" s="1" a="1"/>
  <c r="AD3" i="11" s="1"/>
  <c r="Y230" i="10"/>
  <c r="X230" i="10"/>
  <c r="X229" i="10"/>
  <c r="V229" i="10"/>
  <c r="Y229" i="10" s="1"/>
  <c r="X228" i="10"/>
  <c r="V228" i="10"/>
  <c r="Y228" i="10" s="1"/>
  <c r="X227" i="10"/>
  <c r="V227" i="10"/>
  <c r="Y227" i="10" s="1"/>
  <c r="Y226" i="10"/>
  <c r="X226" i="10"/>
  <c r="X225" i="10"/>
  <c r="V225" i="10"/>
  <c r="Y225" i="10" s="1"/>
  <c r="X224" i="10"/>
  <c r="V224" i="10"/>
  <c r="Y224" i="10" s="1"/>
  <c r="X223" i="10"/>
  <c r="V223" i="10"/>
  <c r="Y223" i="10" s="1"/>
  <c r="X222" i="10"/>
  <c r="V222" i="10"/>
  <c r="Y222" i="10" s="1"/>
  <c r="X221" i="10"/>
  <c r="V221" i="10"/>
  <c r="Y221" i="10" s="1"/>
  <c r="X220" i="10"/>
  <c r="V220" i="10"/>
  <c r="Y220" i="10" s="1"/>
  <c r="X219" i="10"/>
  <c r="V219" i="10"/>
  <c r="Y219" i="10" s="1"/>
  <c r="X218" i="10"/>
  <c r="V218" i="10"/>
  <c r="Y218" i="10" s="1"/>
  <c r="X217" i="10"/>
  <c r="V217" i="10"/>
  <c r="Y217" i="10" s="1"/>
  <c r="X216" i="10"/>
  <c r="V216" i="10"/>
  <c r="Y216" i="10" s="1"/>
  <c r="X215" i="10"/>
  <c r="V215" i="10"/>
  <c r="Y215" i="10" s="1"/>
  <c r="X214" i="10"/>
  <c r="V214" i="10"/>
  <c r="Y214" i="10" s="1"/>
  <c r="X213" i="10"/>
  <c r="V213" i="10"/>
  <c r="Y213" i="10" s="1"/>
  <c r="X212" i="10"/>
  <c r="V212" i="10"/>
  <c r="Y212" i="10" s="1"/>
  <c r="Y211" i="10"/>
  <c r="X211" i="10"/>
  <c r="Y210" i="10"/>
  <c r="X210" i="10"/>
  <c r="X209" i="10"/>
  <c r="V209" i="10"/>
  <c r="Y209" i="10" s="1"/>
  <c r="X208" i="10"/>
  <c r="V208" i="10"/>
  <c r="Y208" i="10" s="1"/>
  <c r="X207" i="10"/>
  <c r="V207" i="10"/>
  <c r="Y207" i="10" s="1"/>
  <c r="X206" i="10"/>
  <c r="V206" i="10"/>
  <c r="Y206" i="10" s="1"/>
  <c r="X205" i="10"/>
  <c r="V205" i="10"/>
  <c r="Y205" i="10" s="1"/>
  <c r="Y204" i="10"/>
  <c r="X204" i="10"/>
  <c r="X203" i="10"/>
  <c r="V203" i="10"/>
  <c r="Y203" i="10" s="1"/>
  <c r="X202" i="10"/>
  <c r="V202" i="10"/>
  <c r="Y202" i="10" s="1"/>
  <c r="Y201" i="10"/>
  <c r="X201" i="10"/>
  <c r="X200" i="10"/>
  <c r="V200" i="10"/>
  <c r="Y200" i="10" s="1"/>
  <c r="X199" i="10"/>
  <c r="V199" i="10"/>
  <c r="Y199" i="10" s="1"/>
  <c r="Y198" i="10"/>
  <c r="X198" i="10"/>
  <c r="X197" i="10"/>
  <c r="V197" i="10"/>
  <c r="Y197" i="10" s="1"/>
  <c r="X196" i="10"/>
  <c r="V196" i="10"/>
  <c r="Y196" i="10" s="1"/>
  <c r="Y195" i="10"/>
  <c r="X195" i="10"/>
  <c r="X194" i="10"/>
  <c r="V194" i="10"/>
  <c r="Y194" i="10" s="1"/>
  <c r="Y193" i="10"/>
  <c r="X193" i="10"/>
  <c r="Y192" i="10"/>
  <c r="X192" i="10"/>
  <c r="Y191" i="10"/>
  <c r="X191" i="10"/>
  <c r="Y190" i="10"/>
  <c r="X190" i="10"/>
  <c r="X189" i="10"/>
  <c r="V189" i="10"/>
  <c r="Y189" i="10" s="1"/>
  <c r="Y188" i="10"/>
  <c r="X188" i="10"/>
  <c r="Y187" i="10"/>
  <c r="X187" i="10"/>
  <c r="Y186" i="10"/>
  <c r="X186" i="10"/>
  <c r="X185" i="10"/>
  <c r="V185" i="10"/>
  <c r="Y185" i="10" s="1"/>
  <c r="X184" i="10"/>
  <c r="V184" i="10"/>
  <c r="Y184" i="10" s="1"/>
  <c r="X183" i="10"/>
  <c r="V183" i="10"/>
  <c r="Y183" i="10" s="1"/>
  <c r="Y182" i="10"/>
  <c r="X182" i="10"/>
  <c r="X181" i="10"/>
  <c r="V181" i="10"/>
  <c r="Y181" i="10" s="1"/>
  <c r="X180" i="10"/>
  <c r="V180" i="10"/>
  <c r="Y180" i="10" s="1"/>
  <c r="L180" i="10"/>
  <c r="X179" i="10"/>
  <c r="V179" i="10"/>
  <c r="Y179" i="10" s="1"/>
  <c r="X178" i="10"/>
  <c r="V178" i="10"/>
  <c r="Y178" i="10" s="1"/>
  <c r="X177" i="10"/>
  <c r="V177" i="10"/>
  <c r="Y177" i="10" s="1"/>
  <c r="X176" i="10"/>
  <c r="V176" i="10"/>
  <c r="Y176" i="10" s="1"/>
  <c r="X175" i="10"/>
  <c r="V175" i="10"/>
  <c r="Y175" i="10" s="1"/>
  <c r="X174" i="10"/>
  <c r="V174" i="10"/>
  <c r="Y174" i="10" s="1"/>
  <c r="Y173" i="10"/>
  <c r="X173" i="10"/>
  <c r="Y172" i="10"/>
  <c r="X172" i="10"/>
  <c r="X171" i="10"/>
  <c r="V171" i="10"/>
  <c r="Y171" i="10" s="1"/>
  <c r="Y170" i="10"/>
  <c r="X170" i="10"/>
  <c r="Y169" i="10"/>
  <c r="X169" i="10"/>
  <c r="Y168" i="10"/>
  <c r="X168" i="10"/>
  <c r="Y167" i="10"/>
  <c r="X167" i="10"/>
  <c r="Y166" i="10"/>
  <c r="X166" i="10"/>
  <c r="Y165" i="10"/>
  <c r="X165" i="10"/>
  <c r="Y164" i="10"/>
  <c r="X164" i="10"/>
  <c r="Y163" i="10"/>
  <c r="X163" i="10"/>
  <c r="X162" i="10"/>
  <c r="V162" i="10"/>
  <c r="Y162" i="10" s="1"/>
  <c r="Y161" i="10"/>
  <c r="X161" i="10"/>
  <c r="X160" i="10"/>
  <c r="V160" i="10"/>
  <c r="Y160" i="10" s="1"/>
  <c r="Y159" i="10"/>
  <c r="X159" i="10"/>
  <c r="Y158" i="10"/>
  <c r="X158" i="10"/>
  <c r="Y157" i="10"/>
  <c r="X157" i="10"/>
  <c r="Y156" i="10"/>
  <c r="X156" i="10"/>
  <c r="Y155" i="10"/>
  <c r="X155" i="10"/>
  <c r="Y154" i="10"/>
  <c r="X154" i="10"/>
  <c r="Y153" i="10"/>
  <c r="X153" i="10"/>
  <c r="Y152" i="10"/>
  <c r="X152" i="10"/>
  <c r="Y151" i="10"/>
  <c r="X151" i="10"/>
  <c r="Y150" i="10"/>
  <c r="X150" i="10"/>
  <c r="Y147" i="10"/>
  <c r="X147" i="10"/>
  <c r="Y146" i="10"/>
  <c r="X146" i="10"/>
  <c r="Y145" i="10"/>
  <c r="X145" i="10"/>
  <c r="Y144" i="10"/>
  <c r="X144" i="10"/>
  <c r="X143" i="10"/>
  <c r="V143" i="10"/>
  <c r="Y143" i="10" s="1"/>
  <c r="X142" i="10"/>
  <c r="V142" i="10"/>
  <c r="Y142" i="10" s="1"/>
  <c r="Y141" i="10"/>
  <c r="X141" i="10"/>
  <c r="Y140" i="10"/>
  <c r="X140" i="10"/>
  <c r="X139" i="10"/>
  <c r="V139" i="10"/>
  <c r="Y139" i="10" s="1"/>
  <c r="X138" i="10"/>
  <c r="V138" i="10"/>
  <c r="Y138" i="10" s="1"/>
  <c r="X137" i="10"/>
  <c r="V137" i="10"/>
  <c r="Y137" i="10" s="1"/>
  <c r="X136" i="10"/>
  <c r="V136" i="10"/>
  <c r="Y136" i="10" s="1"/>
  <c r="Y135" i="10"/>
  <c r="X135" i="10"/>
  <c r="X134" i="10"/>
  <c r="V134" i="10"/>
  <c r="Y134" i="10" s="1"/>
  <c r="X133" i="10"/>
  <c r="V133" i="10"/>
  <c r="Y133" i="10" s="1"/>
  <c r="X132" i="10"/>
  <c r="V132" i="10"/>
  <c r="Y132" i="10" s="1"/>
  <c r="X131" i="10"/>
  <c r="V131" i="10"/>
  <c r="Y131" i="10" s="1"/>
  <c r="Y130" i="10"/>
  <c r="X130" i="10"/>
  <c r="X129" i="10"/>
  <c r="V129" i="10"/>
  <c r="Y129" i="10" s="1"/>
  <c r="X128" i="10"/>
  <c r="V128" i="10"/>
  <c r="Y128" i="10" s="1"/>
  <c r="X127" i="10"/>
  <c r="V127" i="10"/>
  <c r="Y127" i="10" s="1"/>
  <c r="X126" i="10"/>
  <c r="V126" i="10"/>
  <c r="Y126" i="10" s="1"/>
  <c r="X125" i="10"/>
  <c r="V125" i="10"/>
  <c r="Y125" i="10" s="1"/>
  <c r="X124" i="10"/>
  <c r="V124" i="10"/>
  <c r="Y124" i="10" s="1"/>
  <c r="X123" i="10"/>
  <c r="V123" i="10"/>
  <c r="Y123" i="10" s="1"/>
  <c r="X122" i="10"/>
  <c r="V122" i="10"/>
  <c r="Y122" i="10" s="1"/>
  <c r="X121" i="10"/>
  <c r="V121" i="10"/>
  <c r="Y121" i="10" s="1"/>
  <c r="X117" i="10"/>
  <c r="V117" i="10"/>
  <c r="X116" i="10"/>
  <c r="V116" i="10"/>
  <c r="Y116" i="10" s="1"/>
  <c r="X115" i="10"/>
  <c r="V115" i="10"/>
  <c r="Y115" i="10" s="1"/>
  <c r="X114" i="10"/>
  <c r="V114" i="10"/>
  <c r="Y114" i="10" s="1"/>
  <c r="X113" i="10"/>
  <c r="V113" i="10"/>
  <c r="Y113" i="10" s="1"/>
  <c r="Y112" i="10"/>
  <c r="X112" i="10"/>
  <c r="Y111" i="10"/>
  <c r="X111" i="10"/>
  <c r="Y110" i="10"/>
  <c r="X110" i="10"/>
  <c r="Y109" i="10"/>
  <c r="X109" i="10"/>
  <c r="X108" i="10"/>
  <c r="V108" i="10"/>
  <c r="Y108" i="10" s="1"/>
  <c r="Y107" i="10"/>
  <c r="X107" i="10"/>
  <c r="V107" i="10"/>
  <c r="X106" i="10"/>
  <c r="V106" i="10"/>
  <c r="Y106" i="10" s="1"/>
  <c r="X105" i="10"/>
  <c r="V105" i="10"/>
  <c r="Y105" i="10" s="1"/>
  <c r="X104" i="10"/>
  <c r="V104" i="10"/>
  <c r="Y104" i="10" s="1"/>
  <c r="X103" i="10"/>
  <c r="V103" i="10"/>
  <c r="Y103" i="10" s="1"/>
  <c r="X102" i="10"/>
  <c r="V102" i="10"/>
  <c r="Y102" i="10" s="1"/>
  <c r="X101" i="10"/>
  <c r="V101" i="10"/>
  <c r="Y101" i="10" s="1"/>
  <c r="X100" i="10"/>
  <c r="V100" i="10"/>
  <c r="Y100" i="10" s="1"/>
  <c r="X99" i="10"/>
  <c r="V99" i="10"/>
  <c r="Y99" i="10" s="1"/>
  <c r="X98" i="10"/>
  <c r="V98" i="10"/>
  <c r="Y98" i="10" s="1"/>
  <c r="X97" i="10"/>
  <c r="V97" i="10"/>
  <c r="Y97" i="10" s="1"/>
  <c r="X96" i="10"/>
  <c r="V96" i="10"/>
  <c r="Y96" i="10" s="1"/>
  <c r="X95" i="10"/>
  <c r="V95" i="10"/>
  <c r="Y95" i="10" s="1"/>
  <c r="X94" i="10"/>
  <c r="V94" i="10"/>
  <c r="Y94" i="10" s="1"/>
  <c r="X93" i="10"/>
  <c r="V93" i="10"/>
  <c r="Y93" i="10" s="1"/>
  <c r="X92" i="10"/>
  <c r="V92" i="10"/>
  <c r="Y92" i="10" s="1"/>
  <c r="X91" i="10"/>
  <c r="V91" i="10"/>
  <c r="Y91" i="10" s="1"/>
  <c r="X90" i="10"/>
  <c r="V90" i="10"/>
  <c r="Y90" i="10" s="1"/>
  <c r="X89" i="10"/>
  <c r="V89" i="10"/>
  <c r="Y89" i="10" s="1"/>
  <c r="X88" i="10"/>
  <c r="V88" i="10"/>
  <c r="Y88" i="10" s="1"/>
  <c r="X87" i="10"/>
  <c r="V87" i="10"/>
  <c r="Y87" i="10" s="1"/>
  <c r="X86" i="10"/>
  <c r="V86" i="10"/>
  <c r="Y86" i="10" s="1"/>
  <c r="X85" i="10"/>
  <c r="V85" i="10"/>
  <c r="Y85" i="10" s="1"/>
  <c r="X84" i="10"/>
  <c r="V84" i="10"/>
  <c r="Y84" i="10" s="1"/>
  <c r="X83" i="10"/>
  <c r="V83" i="10"/>
  <c r="Y83" i="10" s="1"/>
  <c r="X82" i="10"/>
  <c r="V82" i="10"/>
  <c r="Y82" i="10" s="1"/>
  <c r="X81" i="10"/>
  <c r="V81" i="10"/>
  <c r="Y81" i="10" s="1"/>
  <c r="X80" i="10"/>
  <c r="V80" i="10"/>
  <c r="Y80" i="10" s="1"/>
  <c r="X79" i="10"/>
  <c r="V79" i="10"/>
  <c r="Y79" i="10" s="1"/>
  <c r="X78" i="10"/>
  <c r="V78" i="10"/>
  <c r="Y78" i="10" s="1"/>
  <c r="X77" i="10"/>
  <c r="V77" i="10"/>
  <c r="Y77" i="10" s="1"/>
  <c r="X76" i="10"/>
  <c r="V76" i="10"/>
  <c r="Y76" i="10" s="1"/>
  <c r="X75" i="10"/>
  <c r="V75" i="10"/>
  <c r="Y75" i="10" s="1"/>
  <c r="X74" i="10"/>
  <c r="V74" i="10"/>
  <c r="Y74" i="10" s="1"/>
  <c r="L74" i="10"/>
  <c r="Y73" i="10"/>
  <c r="X73" i="10"/>
  <c r="V73" i="10"/>
  <c r="X72" i="10"/>
  <c r="V72" i="10"/>
  <c r="Y72" i="10" s="1"/>
  <c r="X71" i="10"/>
  <c r="V71" i="10"/>
  <c r="Y71" i="10" s="1"/>
  <c r="X70" i="10"/>
  <c r="V70" i="10"/>
  <c r="Y70" i="10" s="1"/>
  <c r="X68" i="10"/>
  <c r="V68" i="10"/>
  <c r="Y68" i="10" s="1"/>
  <c r="Y67" i="10"/>
  <c r="X67" i="10"/>
  <c r="X66" i="10"/>
  <c r="V66" i="10"/>
  <c r="Y66" i="10" s="1"/>
  <c r="X65" i="10"/>
  <c r="V65" i="10"/>
  <c r="Y65" i="10" s="1"/>
  <c r="X64" i="10"/>
  <c r="V64" i="10"/>
  <c r="Y64" i="10" s="1"/>
  <c r="Y63" i="10"/>
  <c r="X63" i="10"/>
  <c r="X62" i="10"/>
  <c r="V62" i="10"/>
  <c r="Y62" i="10" s="1"/>
  <c r="X61" i="10"/>
  <c r="V61" i="10"/>
  <c r="Y61" i="10" s="1"/>
  <c r="X60" i="10"/>
  <c r="V60" i="10"/>
  <c r="Y60" i="10" s="1"/>
  <c r="Y59" i="10"/>
  <c r="X59" i="10"/>
  <c r="Y58" i="10"/>
  <c r="X58" i="10"/>
  <c r="Y57" i="10"/>
  <c r="X57" i="10"/>
  <c r="V57" i="10"/>
  <c r="X56" i="10"/>
  <c r="V56" i="10"/>
  <c r="Y56" i="10" s="1"/>
  <c r="X55" i="10"/>
  <c r="V55" i="10"/>
  <c r="Y55" i="10" s="1"/>
  <c r="X54" i="10"/>
  <c r="V54" i="10"/>
  <c r="Y54" i="10" s="1"/>
  <c r="X53" i="10"/>
  <c r="V53" i="10"/>
  <c r="Y53" i="10" s="1"/>
  <c r="X52" i="10"/>
  <c r="V52" i="10"/>
  <c r="Y52" i="10" s="1"/>
  <c r="X51" i="10"/>
  <c r="V51" i="10"/>
  <c r="Y51" i="10" s="1"/>
  <c r="X50" i="10"/>
  <c r="V50" i="10"/>
  <c r="Y50" i="10" s="1"/>
  <c r="X49" i="10"/>
  <c r="V49" i="10"/>
  <c r="Y49" i="10" s="1"/>
  <c r="X48" i="10"/>
  <c r="V48" i="10"/>
  <c r="Y48" i="10" s="1"/>
  <c r="X47" i="10"/>
  <c r="V47" i="10"/>
  <c r="Y47" i="10" s="1"/>
  <c r="X46" i="10"/>
  <c r="V46" i="10"/>
  <c r="Y46" i="10" s="1"/>
  <c r="Y45" i="10"/>
  <c r="X45" i="10"/>
  <c r="X44" i="10"/>
  <c r="V44" i="10"/>
  <c r="Y44" i="10" s="1"/>
  <c r="Y43" i="10"/>
  <c r="X43" i="10"/>
  <c r="X42" i="10"/>
  <c r="V42" i="10"/>
  <c r="Y42" i="10" s="1"/>
  <c r="Y41" i="10"/>
  <c r="X41" i="10"/>
  <c r="Y40" i="10"/>
  <c r="X40" i="10"/>
  <c r="Y39" i="10"/>
  <c r="X39" i="10"/>
  <c r="X38" i="10"/>
  <c r="V38" i="10"/>
  <c r="Y38" i="10" s="1"/>
  <c r="X37" i="10"/>
  <c r="V37" i="10"/>
  <c r="Y37" i="10" s="1"/>
  <c r="X36" i="10"/>
  <c r="V36" i="10"/>
  <c r="Y36" i="10" s="1"/>
  <c r="X35" i="10"/>
  <c r="V35" i="10"/>
  <c r="Y35" i="10" s="1"/>
  <c r="X34" i="10"/>
  <c r="V34" i="10"/>
  <c r="Y34" i="10" s="1"/>
  <c r="X33" i="10"/>
  <c r="V33" i="10"/>
  <c r="Y33" i="10" s="1"/>
  <c r="X32" i="10"/>
  <c r="V32" i="10"/>
  <c r="Y32" i="10" s="1"/>
  <c r="X31" i="10"/>
  <c r="V31" i="10"/>
  <c r="Y31" i="10" s="1"/>
  <c r="Y30" i="10"/>
  <c r="X30" i="10"/>
  <c r="V30" i="10"/>
  <c r="X29" i="10"/>
  <c r="V29" i="10"/>
  <c r="Y29" i="10" s="1"/>
  <c r="X28" i="10"/>
  <c r="V28" i="10"/>
  <c r="Y28" i="10" s="1"/>
  <c r="Y27" i="10"/>
  <c r="X27" i="10"/>
  <c r="Y26" i="10"/>
  <c r="X26" i="10"/>
  <c r="Y25" i="10"/>
  <c r="X25" i="10"/>
  <c r="Y24" i="10"/>
  <c r="X24" i="10"/>
  <c r="Y23" i="10"/>
  <c r="X23" i="10"/>
  <c r="Y22" i="10"/>
  <c r="X22" i="10"/>
  <c r="Y21" i="10"/>
  <c r="X21" i="10"/>
  <c r="Y20" i="10"/>
  <c r="X20" i="10"/>
  <c r="X19" i="10"/>
  <c r="V19" i="10"/>
  <c r="Y19" i="10" s="1"/>
  <c r="X18" i="10"/>
  <c r="V18" i="10"/>
  <c r="Y18" i="10" s="1"/>
  <c r="X17" i="10"/>
  <c r="V17" i="10"/>
  <c r="Y17" i="10" s="1"/>
  <c r="X16" i="10"/>
  <c r="V16" i="10"/>
  <c r="Y16" i="10" s="1"/>
  <c r="X15" i="10"/>
  <c r="V15" i="10"/>
  <c r="Y15" i="10" s="1"/>
  <c r="X14" i="10"/>
  <c r="V14" i="10"/>
  <c r="Y14" i="10" s="1"/>
  <c r="X13" i="10"/>
  <c r="V13" i="10"/>
  <c r="Y13" i="10" s="1"/>
  <c r="X12" i="10"/>
  <c r="V12" i="10"/>
  <c r="Y12" i="10" s="1"/>
  <c r="X11" i="10"/>
  <c r="V11" i="10"/>
  <c r="Y11" i="10" s="1"/>
  <c r="X10" i="10"/>
  <c r="V10" i="10"/>
  <c r="Y10" i="10" s="1"/>
  <c r="X9" i="10"/>
  <c r="V9" i="10"/>
  <c r="Y9" i="10" s="1"/>
  <c r="X8" i="10"/>
  <c r="V8" i="10"/>
  <c r="Y8" i="10" s="1"/>
  <c r="X7" i="10"/>
  <c r="V7" i="10"/>
  <c r="Y7" i="10" s="1"/>
  <c r="X6" i="10"/>
  <c r="V6" i="10"/>
  <c r="Y6" i="10" s="1"/>
  <c r="X5" i="10"/>
  <c r="V5" i="10"/>
  <c r="Y5" i="10" s="1"/>
  <c r="X4" i="10"/>
  <c r="V4" i="10"/>
  <c r="Y4" i="10" s="1"/>
  <c r="X3" i="10"/>
  <c r="V3" i="10"/>
  <c r="Y3" i="10" s="1"/>
  <c r="A19" i="7"/>
  <c r="A18" i="7"/>
  <c r="H11" i="7"/>
  <c r="A11" i="7"/>
  <c r="H10" i="7"/>
  <c r="A10" i="7"/>
  <c r="H9" i="7"/>
  <c r="E9" i="7"/>
  <c r="A9" i="7"/>
  <c r="H8" i="7"/>
  <c r="E8" i="7"/>
  <c r="A8" i="7"/>
  <c r="G7" i="7"/>
  <c r="A31" i="6"/>
  <c r="A20" i="6"/>
  <c r="A18" i="6"/>
  <c r="A17" i="6"/>
  <c r="H16" i="6"/>
  <c r="A16" i="6"/>
  <c r="H15" i="6"/>
  <c r="A15" i="6"/>
  <c r="H25" i="6"/>
  <c r="A25" i="6"/>
  <c r="H12" i="6"/>
  <c r="A12" i="6"/>
  <c r="H11" i="6"/>
  <c r="A11" i="6"/>
  <c r="H10" i="6"/>
  <c r="A10" i="6"/>
  <c r="H9" i="6"/>
  <c r="A9" i="6"/>
  <c r="H8" i="6"/>
  <c r="A8" i="6"/>
  <c r="A62" i="4"/>
  <c r="AM58" i="4"/>
  <c r="AL58" i="4"/>
  <c r="AJ58" i="4"/>
  <c r="AH58" i="4"/>
  <c r="A54" i="4"/>
  <c r="A53" i="4"/>
  <c r="A52" i="4"/>
  <c r="U49" i="4"/>
  <c r="T49" i="4"/>
  <c r="M49" i="4"/>
  <c r="A49" i="4"/>
  <c r="U47" i="4"/>
  <c r="T47" i="4"/>
  <c r="M47" i="4"/>
  <c r="A47" i="4"/>
  <c r="U46" i="4"/>
  <c r="T46" i="4"/>
  <c r="M46" i="4"/>
  <c r="A46" i="4"/>
  <c r="M43" i="4"/>
  <c r="A43" i="4"/>
  <c r="U44" i="4"/>
  <c r="T44" i="4"/>
  <c r="M44" i="4"/>
  <c r="A44" i="4"/>
  <c r="A37" i="4"/>
  <c r="A36" i="4"/>
  <c r="A32" i="4"/>
  <c r="A31" i="4"/>
  <c r="A30" i="4"/>
  <c r="A29" i="4"/>
  <c r="A28" i="4"/>
  <c r="A27" i="4"/>
  <c r="A18" i="4"/>
  <c r="A16" i="4"/>
  <c r="U42" i="4"/>
  <c r="T42" i="4"/>
  <c r="M42" i="4"/>
  <c r="A42" i="4"/>
  <c r="A15" i="4"/>
  <c r="A14" i="4"/>
  <c r="A13" i="4"/>
  <c r="A12" i="4"/>
  <c r="A11" i="4"/>
  <c r="A10" i="4"/>
  <c r="A9" i="4"/>
  <c r="AB96" i="3"/>
  <c r="E96" i="3"/>
  <c r="AJ81" i="3"/>
  <c r="E81" i="3"/>
  <c r="AJ80" i="3"/>
  <c r="E80" i="3"/>
  <c r="A79" i="3"/>
  <c r="AK78" i="3"/>
  <c r="AB78" i="3"/>
  <c r="A78" i="3"/>
  <c r="A77" i="3"/>
  <c r="A76" i="3"/>
  <c r="AK44" i="3"/>
  <c r="AJ44" i="3"/>
  <c r="AB44" i="3"/>
  <c r="E44" i="3"/>
  <c r="A44" i="3"/>
  <c r="AB43" i="3"/>
  <c r="A43" i="3"/>
  <c r="A42" i="3"/>
  <c r="AK40" i="3"/>
  <c r="AJ40" i="3"/>
  <c r="AB40" i="3"/>
  <c r="A40" i="3"/>
  <c r="AK39" i="3"/>
  <c r="AJ39" i="3"/>
  <c r="AB39" i="3"/>
  <c r="A39" i="3"/>
  <c r="AK38" i="3"/>
  <c r="AJ38" i="3"/>
  <c r="AB38" i="3"/>
  <c r="A38" i="3"/>
  <c r="A37" i="3"/>
  <c r="AK36" i="3"/>
  <c r="AK35" i="3"/>
  <c r="AJ35" i="3"/>
  <c r="AB35" i="3"/>
  <c r="E35" i="3"/>
  <c r="A35" i="3"/>
  <c r="AK34" i="3"/>
  <c r="AJ34" i="3"/>
  <c r="AB34" i="3"/>
  <c r="A34" i="3"/>
  <c r="A33" i="3"/>
  <c r="AJ75" i="3"/>
  <c r="AB75" i="3"/>
  <c r="E75" i="3"/>
  <c r="A75" i="3"/>
  <c r="AB32" i="3"/>
  <c r="A32" i="3"/>
  <c r="AK30" i="3"/>
  <c r="AJ30" i="3"/>
  <c r="AB30" i="3"/>
  <c r="E30" i="3"/>
  <c r="A30" i="3"/>
  <c r="AK27" i="3"/>
  <c r="AJ27" i="3"/>
  <c r="AB27" i="3"/>
  <c r="E27" i="3"/>
  <c r="AK26" i="3"/>
  <c r="AJ26" i="3"/>
  <c r="AB26" i="3"/>
  <c r="A26" i="3"/>
  <c r="AK25" i="3"/>
  <c r="AJ25" i="3"/>
  <c r="AB25" i="3"/>
  <c r="E25" i="3"/>
  <c r="A25" i="3"/>
  <c r="AK24" i="3"/>
  <c r="AJ24" i="3"/>
  <c r="AB24" i="3"/>
  <c r="A24" i="3"/>
  <c r="AK23" i="3"/>
  <c r="AJ23" i="3"/>
  <c r="AB23" i="3"/>
  <c r="E23" i="3"/>
  <c r="A23" i="3"/>
  <c r="A22" i="3"/>
  <c r="AK19" i="3"/>
  <c r="AJ19" i="3"/>
  <c r="AB19" i="3"/>
  <c r="E19" i="3"/>
  <c r="A19" i="3"/>
  <c r="AK18" i="3"/>
  <c r="AJ18" i="3"/>
  <c r="AB18" i="3"/>
  <c r="E18" i="3"/>
  <c r="A18" i="3"/>
  <c r="AK17" i="3"/>
  <c r="AJ17" i="3"/>
  <c r="AB17" i="3"/>
  <c r="A17" i="3"/>
  <c r="AK16" i="3"/>
  <c r="AJ16" i="3"/>
  <c r="AB16" i="3"/>
  <c r="A16" i="3"/>
  <c r="A15" i="3"/>
  <c r="AK14" i="3"/>
  <c r="AJ14" i="3"/>
  <c r="AB14" i="3"/>
  <c r="A14" i="3"/>
  <c r="AK13" i="3"/>
  <c r="AJ13" i="3"/>
  <c r="AB13" i="3"/>
  <c r="A13" i="3"/>
  <c r="AK10" i="3"/>
  <c r="AJ10" i="3"/>
  <c r="AB10" i="3"/>
  <c r="E10" i="3"/>
  <c r="A10" i="3"/>
  <c r="E9" i="3"/>
  <c r="A9" i="3"/>
  <c r="A12" i="2"/>
  <c r="A11" i="2"/>
  <c r="A10" i="2"/>
  <c r="A9" i="2"/>
  <c r="A14" i="2"/>
  <c r="A8" i="2"/>
  <c r="AE236" i="11"/>
  <c r="AD54" i="11" l="1" a="1"/>
  <c r="AD54" i="11" s="1"/>
  <c r="AE54" i="11" s="1"/>
  <c r="AD108" i="11" a="1"/>
  <c r="AD108" i="11" s="1"/>
  <c r="AE108" i="11" s="1"/>
  <c r="AD140" i="11" a="1"/>
  <c r="AD140" i="11" s="1"/>
  <c r="AE140" i="11" s="1"/>
  <c r="AD166" i="11" a="1"/>
  <c r="AD166" i="11" s="1"/>
  <c r="AE166" i="11" s="1"/>
  <c r="AD288" i="11" a="1"/>
  <c r="AD288" i="11" s="1"/>
  <c r="AE288" i="11" s="1"/>
  <c r="AD279" i="11" a="1"/>
  <c r="AD279" i="11" s="1"/>
  <c r="AE279" i="11" s="1"/>
  <c r="AD260" i="11" a="1"/>
  <c r="AD260" i="11" s="1"/>
  <c r="AE260" i="11" s="1"/>
  <c r="AD14" i="11" a="1"/>
  <c r="AD14" i="11" s="1"/>
  <c r="AE14" i="11" s="1"/>
  <c r="AD48" i="11" a="1"/>
  <c r="AD48" i="11" s="1"/>
  <c r="AE48" i="11" s="1"/>
  <c r="AD75" i="11" a="1"/>
  <c r="AD75" i="11" s="1"/>
  <c r="AE75" i="11" s="1"/>
  <c r="AD178" i="11" a="1"/>
  <c r="AD178" i="11" s="1"/>
  <c r="AE178" i="11" s="1"/>
  <c r="AD182" i="11" a="1"/>
  <c r="AD182" i="11" s="1"/>
  <c r="AE182" i="11" s="1"/>
  <c r="AD212" i="11" a="1"/>
  <c r="AD212" i="11" s="1"/>
  <c r="AE212" i="11" s="1"/>
  <c r="AD219" i="11" a="1"/>
  <c r="AD219" i="11" s="1"/>
  <c r="AE219" i="11" s="1"/>
  <c r="AD228" i="11" a="1"/>
  <c r="AD228" i="11" s="1"/>
  <c r="AE228" i="11" s="1"/>
  <c r="AD232" i="11" a="1"/>
  <c r="AD232" i="11" s="1"/>
  <c r="AE232" i="11" s="1"/>
  <c r="AD237" i="11" a="1"/>
  <c r="AD237" i="11" s="1"/>
  <c r="AE237" i="11" s="1"/>
  <c r="AD240" i="11" a="1"/>
  <c r="AD240" i="11" s="1"/>
  <c r="AE240" i="11" s="1"/>
  <c r="AD287" i="11" a="1"/>
  <c r="AD287" i="11" s="1"/>
  <c r="AE287" i="11" s="1"/>
  <c r="AD282" i="11" a="1"/>
  <c r="AD282" i="11" s="1"/>
  <c r="AE282" i="11" s="1"/>
  <c r="AD278" i="11" a="1"/>
  <c r="AD278" i="11" s="1"/>
  <c r="AE278" i="11" s="1"/>
  <c r="AD274" i="11" a="1"/>
  <c r="AD274" i="11" s="1"/>
  <c r="AE274" i="11" s="1"/>
  <c r="AD270" i="11" a="1"/>
  <c r="AD270" i="11" s="1"/>
  <c r="AE270" i="11" s="1"/>
  <c r="AD283" i="11" a="1"/>
  <c r="AD283" i="11" s="1"/>
  <c r="AE283" i="11" s="1"/>
  <c r="AD43" i="11" a="1"/>
  <c r="AD43" i="11" s="1"/>
  <c r="AE43" i="11" s="1"/>
  <c r="AD57" i="11" a="1"/>
  <c r="AD57" i="11" s="1"/>
  <c r="AE57" i="11" s="1"/>
  <c r="AD177" i="11" a="1"/>
  <c r="AD177" i="11" s="1"/>
  <c r="AE177" i="11" s="1"/>
  <c r="AD181" i="11" a="1"/>
  <c r="AD181" i="11" s="1"/>
  <c r="AE181" i="11" s="1"/>
  <c r="AD209" i="11" a="1"/>
  <c r="AD209" i="11" s="1"/>
  <c r="AE209" i="11" s="1"/>
  <c r="AD227" i="11" a="1"/>
  <c r="AD227" i="11" s="1"/>
  <c r="AE227" i="11" s="1"/>
  <c r="AD231" i="11" a="1"/>
  <c r="AD231" i="11" s="1"/>
  <c r="AE231" i="11" s="1"/>
  <c r="AD235" i="11" a="1"/>
  <c r="AD235" i="11" s="1"/>
  <c r="AE235" i="11" s="1"/>
  <c r="AD284" i="11" a="1"/>
  <c r="AD284" i="11" s="1"/>
  <c r="AE284" i="11" s="1"/>
  <c r="AD275" i="11" a="1"/>
  <c r="AD275" i="11" s="1"/>
  <c r="AE275" i="11" s="1"/>
  <c r="AD4" i="11" a="1"/>
  <c r="AD4" i="11" s="1"/>
  <c r="AE4" i="11" s="1"/>
  <c r="AD9" i="11" a="1"/>
  <c r="AD9" i="11" s="1"/>
  <c r="AE9" i="11" s="1"/>
  <c r="AD29" i="11" a="1"/>
  <c r="AD29" i="11" s="1"/>
  <c r="AE29" i="11" s="1"/>
  <c r="AD51" i="11" a="1"/>
  <c r="AD51" i="11" s="1"/>
  <c r="AE51" i="11" s="1"/>
  <c r="AD64" i="11" a="1"/>
  <c r="AD64" i="11" s="1"/>
  <c r="AE64" i="11" s="1"/>
  <c r="AD95" i="11" a="1"/>
  <c r="AD95" i="11" s="1"/>
  <c r="AE95" i="11" s="1"/>
  <c r="AD10" i="11" a="1"/>
  <c r="AD10" i="11" s="1"/>
  <c r="AE10" i="11" s="1"/>
  <c r="AD17" i="11" a="1"/>
  <c r="AD17" i="11" s="1"/>
  <c r="AE17" i="11" s="1"/>
  <c r="AD30" i="11" a="1"/>
  <c r="AD30" i="11" s="1"/>
  <c r="AE30" i="11" s="1"/>
  <c r="AD35" i="11" a="1"/>
  <c r="AD35" i="11" s="1"/>
  <c r="AE35" i="11" s="1"/>
  <c r="AD38" i="11" a="1"/>
  <c r="AD38" i="11" s="1"/>
  <c r="AE38" i="11" s="1"/>
  <c r="AD41" i="11" a="1"/>
  <c r="AD41" i="11" s="1"/>
  <c r="AE41" i="11" s="1"/>
  <c r="AD49" i="11" a="1"/>
  <c r="AD49" i="11" s="1"/>
  <c r="AE49" i="11" s="1"/>
  <c r="AD52" i="11" a="1"/>
  <c r="AD52" i="11" s="1"/>
  <c r="AE52" i="11" s="1"/>
  <c r="AD65" i="11" a="1"/>
  <c r="AD65" i="11" s="1"/>
  <c r="AE65" i="11" s="1"/>
  <c r="AD76" i="11" a="1"/>
  <c r="AD76" i="11" s="1"/>
  <c r="AE76" i="11" s="1"/>
  <c r="AD100" i="11" a="1"/>
  <c r="AD100" i="11" s="1"/>
  <c r="AE100" i="11" s="1"/>
  <c r="AD124" i="11" a="1"/>
  <c r="AD124" i="11" s="1"/>
  <c r="AE124" i="11" s="1"/>
  <c r="AD162" i="11" a="1"/>
  <c r="AD162" i="11" s="1"/>
  <c r="AE162" i="11" s="1"/>
  <c r="AD179" i="11" a="1"/>
  <c r="AD179" i="11" s="1"/>
  <c r="AE179" i="11" s="1"/>
  <c r="AD191" i="11" a="1"/>
  <c r="AD191" i="11" s="1"/>
  <c r="AE191" i="11" s="1"/>
  <c r="AD215" i="11" a="1"/>
  <c r="AD215" i="11" s="1"/>
  <c r="AE215" i="11" s="1"/>
  <c r="AD220" i="11" a="1"/>
  <c r="AD220" i="11" s="1"/>
  <c r="AE220" i="11" s="1"/>
  <c r="AD225" i="11" a="1"/>
  <c r="AD225" i="11" s="1"/>
  <c r="AE225" i="11" s="1"/>
  <c r="AD229" i="11" a="1"/>
  <c r="AD229" i="11" s="1"/>
  <c r="AE229" i="11" s="1"/>
  <c r="AD233" i="11" a="1"/>
  <c r="AD233" i="11" s="1"/>
  <c r="AE233" i="11" s="1"/>
  <c r="AD286" i="11" a="1"/>
  <c r="AD286" i="11" s="1"/>
  <c r="AE286" i="11" s="1"/>
  <c r="AD281" i="11" a="1"/>
  <c r="AD281" i="11" s="1"/>
  <c r="AE281" i="11" s="1"/>
  <c r="AD277" i="11" a="1"/>
  <c r="AD277" i="11" s="1"/>
  <c r="AE277" i="11" s="1"/>
  <c r="AD273" i="11" a="1"/>
  <c r="AD273" i="11" s="1"/>
  <c r="AE273" i="11" s="1"/>
  <c r="AD88" i="11" a="1"/>
  <c r="AD88" i="11" s="1"/>
  <c r="AE88" i="11" s="1"/>
  <c r="AD31" i="11" a="1"/>
  <c r="AD31" i="11" s="1"/>
  <c r="AE31" i="11" s="1"/>
  <c r="AD36" i="11" a="1"/>
  <c r="AD36" i="11" s="1"/>
  <c r="AE36" i="11" s="1"/>
  <c r="AD39" i="11" a="1"/>
  <c r="AD39" i="11" s="1"/>
  <c r="AE39" i="11" s="1"/>
  <c r="AD42" i="11" a="1"/>
  <c r="AD42" i="11" s="1"/>
  <c r="AE42" i="11" s="1"/>
  <c r="AD53" i="11" a="1"/>
  <c r="AD53" i="11" s="1"/>
  <c r="AE53" i="11" s="1"/>
  <c r="AD56" i="11" a="1"/>
  <c r="AD56" i="11" s="1"/>
  <c r="AE56" i="11" s="1"/>
  <c r="AD83" i="11" a="1"/>
  <c r="AD83" i="11" s="1"/>
  <c r="AE83" i="11" s="1"/>
  <c r="AD107" i="11" a="1"/>
  <c r="AD107" i="11" s="1"/>
  <c r="AE107" i="11" s="1"/>
  <c r="AD114" i="11" a="1"/>
  <c r="AD114" i="11" s="1"/>
  <c r="AE114" i="11" s="1"/>
  <c r="AD139" i="11" a="1"/>
  <c r="AD139" i="11" s="1"/>
  <c r="AE139" i="11" s="1"/>
  <c r="AD158" i="11" a="1"/>
  <c r="AD158" i="11" s="1"/>
  <c r="AE158" i="11" s="1"/>
  <c r="AD163" i="11" a="1"/>
  <c r="AD163" i="11" s="1"/>
  <c r="AE163" i="11" s="1"/>
  <c r="AD172" i="11" a="1"/>
  <c r="AD172" i="11" s="1"/>
  <c r="AE172" i="11" s="1"/>
  <c r="AD180" i="11" a="1"/>
  <c r="AD180" i="11" s="1"/>
  <c r="AE180" i="11" s="1"/>
  <c r="AD204" i="11" a="1"/>
  <c r="AD204" i="11" s="1"/>
  <c r="AE204" i="11" s="1"/>
  <c r="AD223" i="11" a="1"/>
  <c r="AD223" i="11" s="1"/>
  <c r="AE223" i="11" s="1"/>
  <c r="AD226" i="11" a="1"/>
  <c r="AD226" i="11" s="1"/>
  <c r="AE226" i="11" s="1"/>
  <c r="AD230" i="11" a="1"/>
  <c r="AD230" i="11" s="1"/>
  <c r="AE230" i="11" s="1"/>
  <c r="AD234" i="11" a="1"/>
  <c r="AD234" i="11" s="1"/>
  <c r="AE234" i="11" s="1"/>
  <c r="AD238" i="11" a="1"/>
  <c r="AD238" i="11" s="1"/>
  <c r="AE238" i="11" s="1"/>
  <c r="AD289" i="11" a="1"/>
  <c r="AD289" i="11" s="1"/>
  <c r="AE289" i="11" s="1"/>
  <c r="AD285" i="11" a="1"/>
  <c r="AD285" i="11" s="1"/>
  <c r="AE285" i="11" s="1"/>
  <c r="AD280" i="11" a="1"/>
  <c r="AD280" i="11" s="1"/>
  <c r="AE280" i="11" s="1"/>
  <c r="AE276" i="11"/>
  <c r="AD276" i="11" a="1"/>
  <c r="AD276" i="11" s="1"/>
  <c r="AD272" i="11" a="1"/>
  <c r="AD272" i="11" s="1"/>
  <c r="AE272"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U3" authorId="0" shapeId="0" xr:uid="{00000000-0006-0000-0100-000001000000}">
      <text>
        <r>
          <rPr>
            <sz val="11"/>
            <color rgb="FF000000"/>
            <rFont val="Calibri"/>
            <family val="2"/>
            <charset val="1"/>
          </rPr>
          <t xml:space="preserve">Colin Crowther:
</t>
        </r>
        <r>
          <rPr>
            <sz val="9"/>
            <color rgb="FF000000"/>
            <rFont val="Tahoma"/>
            <family val="2"/>
            <charset val="1"/>
          </rPr>
          <t>last supported rel 
5.5.1-2.4</t>
        </r>
      </text>
    </comment>
    <comment ref="X3" authorId="0" shapeId="0" xr:uid="{00000000-0006-0000-0100-000002000000}">
      <text>
        <r>
          <rPr>
            <sz val="11"/>
            <color rgb="FF000000"/>
            <rFont val="Calibri"/>
            <family val="2"/>
            <charset val="1"/>
          </rPr>
          <t xml:space="preserve">Last supported rel : 5.4.7-0.4
</t>
        </r>
        <r>
          <rPr>
            <sz val="9"/>
            <color rgb="FF000000"/>
            <rFont val="Tahoma"/>
            <family val="2"/>
            <charset val="1"/>
          </rPr>
          <t xml:space="preserve">
</t>
        </r>
      </text>
    </comment>
    <comment ref="Y3" authorId="0" shapeId="0" xr:uid="{00000000-0006-0000-0100-000003000000}">
      <text>
        <r>
          <rPr>
            <sz val="11"/>
            <color rgb="FF000000"/>
            <rFont val="Calibri"/>
            <family val="2"/>
            <charset val="1"/>
          </rPr>
          <t xml:space="preserve">Last supported rel : 5.5.0-2.9
</t>
        </r>
        <r>
          <rPr>
            <sz val="9"/>
            <color rgb="FF000000"/>
            <rFont val="Tahoma"/>
            <family val="2"/>
            <charset val="1"/>
          </rPr>
          <t xml:space="preserve">
</t>
        </r>
      </text>
    </comment>
    <comment ref="Z3" authorId="0" shapeId="0" xr:uid="{00000000-0006-0000-0100-000004000000}">
      <text>
        <r>
          <rPr>
            <sz val="11"/>
            <color rgb="FF000000"/>
            <rFont val="Calibri"/>
            <family val="2"/>
            <charset val="1"/>
          </rPr>
          <t xml:space="preserve">Last supported rel : 4.9.1-1.1
</t>
        </r>
      </text>
    </comment>
    <comment ref="AC3" authorId="0" shapeId="0" xr:uid="{00000000-0006-0000-0100-000005000000}">
      <text>
        <r>
          <rPr>
            <sz val="11"/>
            <color rgb="FF000000"/>
            <rFont val="Calibri"/>
            <family val="2"/>
            <charset val="1"/>
          </rPr>
          <t xml:space="preserve">Last support rel : 5.4.7-0.4
</t>
        </r>
        <r>
          <rPr>
            <sz val="9"/>
            <color rgb="FF000000"/>
            <rFont val="Tahoma"/>
            <family val="2"/>
            <charset val="1"/>
          </rPr>
          <t xml:space="preserve">
</t>
        </r>
      </text>
    </comment>
    <comment ref="F7" authorId="0" shapeId="0" xr:uid="{00000000-0006-0000-0100-000007000000}">
      <text>
        <r>
          <rPr>
            <b/>
            <sz val="9"/>
            <color rgb="FF000000"/>
            <rFont val="Tahoma"/>
            <family val="2"/>
            <charset val="1"/>
          </rPr>
          <t>IE340L Does not support 100M SFP</t>
        </r>
      </text>
    </comment>
    <comment ref="W7" authorId="0" shapeId="0" xr:uid="{00000000-0006-0000-0100-000008000000}">
      <text>
        <r>
          <rPr>
            <sz val="11"/>
            <color rgb="FF000000"/>
            <rFont val="Calibri"/>
            <family val="2"/>
            <charset val="1"/>
          </rPr>
          <t xml:space="preserve">Error in rules discovered. Ie510-28gsx sfp+ hardware is identical to x510 sfp+ hardware. Testing no longer needed for this test plan. Platform moved to x510.
Hb 2-7-2020
</t>
        </r>
      </text>
    </comment>
    <comment ref="R8" authorId="0" shapeId="0" xr:uid="{00000000-0006-0000-0100-000009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U8" authorId="0" shapeId="0" xr:uid="{00000000-0006-0000-0100-00000A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V8" authorId="0" shapeId="0" xr:uid="{00000000-0006-0000-0100-00000B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R9" authorId="0" shapeId="0" xr:uid="{00000000-0006-0000-0100-00000C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U9" authorId="0" shapeId="0" xr:uid="{00000000-0006-0000-0100-00000D000000}">
      <text>
        <r>
          <rPr>
            <sz val="11"/>
            <color rgb="FF000000"/>
            <rFont val="Calibri"/>
            <family val="2"/>
            <charset val="1"/>
          </rPr>
          <t xml:space="preserve">Colin Crowther:
</t>
        </r>
        <r>
          <rPr>
            <sz val="9"/>
            <color rgb="FF000000"/>
            <rFont val="Tahoma"/>
            <family val="2"/>
            <charset val="1"/>
          </rPr>
          <t xml:space="preserve">Platform temp operating range is larger than SFP - Effective range is therefore  that of the pluggable.
</t>
        </r>
      </text>
    </comment>
    <comment ref="V9" authorId="0" shapeId="0" xr:uid="{00000000-0006-0000-0100-00000E000000}">
      <text>
        <r>
          <rPr>
            <sz val="11"/>
            <color rgb="FF000000"/>
            <rFont val="Calibri"/>
            <family val="2"/>
            <charset val="1"/>
          </rPr>
          <t xml:space="preserve">Colin Crowther:
</t>
        </r>
        <r>
          <rPr>
            <sz val="9"/>
            <color rgb="FF000000"/>
            <rFont val="Tahoma"/>
            <family val="2"/>
            <charset val="1"/>
          </rPr>
          <t xml:space="preserve">Platform temp operating range is larger than SFP - Effective range is therefore  that of the pluggable.
</t>
        </r>
      </text>
    </comment>
    <comment ref="R10" authorId="0" shapeId="0" xr:uid="{00000000-0006-0000-0100-00000F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U10" authorId="0" shapeId="0" xr:uid="{00000000-0006-0000-0100-000010000000}">
      <text>
        <r>
          <rPr>
            <sz val="11"/>
            <color rgb="FF000000"/>
            <rFont val="Calibri"/>
            <family val="2"/>
            <charset val="1"/>
          </rPr>
          <t xml:space="preserve">Colin Crowther:
</t>
        </r>
        <r>
          <rPr>
            <sz val="9"/>
            <color rgb="FF000000"/>
            <rFont val="Tahoma"/>
            <family val="2"/>
            <charset val="1"/>
          </rPr>
          <t xml:space="preserve">Platform temp operating range is larger than SFP - Effective range is therefore  that of the pluggable.
</t>
        </r>
      </text>
    </comment>
    <comment ref="V10" authorId="0" shapeId="0" xr:uid="{00000000-0006-0000-0100-000011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R11" authorId="0" shapeId="0" xr:uid="{00000000-0006-0000-0100-000012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U11" authorId="0" shapeId="0" xr:uid="{00000000-0006-0000-0100-000013000000}">
      <text>
        <r>
          <rPr>
            <sz val="11"/>
            <color rgb="FF000000"/>
            <rFont val="Calibri"/>
            <family val="2"/>
            <charset val="1"/>
          </rPr>
          <t xml:space="preserve">Colin Crowther:
</t>
        </r>
        <r>
          <rPr>
            <sz val="9"/>
            <color rgb="FF000000"/>
            <rFont val="Tahoma"/>
            <family val="2"/>
            <charset val="1"/>
          </rPr>
          <t xml:space="preserve">Platform temp operating range is larger than SFP - Effective range is therefore  that of the pluggable.
</t>
        </r>
      </text>
    </comment>
    <comment ref="V11" authorId="0" shapeId="0" xr:uid="{00000000-0006-0000-0100-000014000000}">
      <text>
        <r>
          <rPr>
            <sz val="11"/>
            <color rgb="FF000000"/>
            <rFont val="Calibri"/>
            <family val="2"/>
            <charset val="1"/>
          </rPr>
          <t xml:space="preserve">Colin Crowther:
</t>
        </r>
        <r>
          <rPr>
            <sz val="9"/>
            <color rgb="FF000000"/>
            <rFont val="Tahoma"/>
            <family val="2"/>
            <charset val="1"/>
          </rPr>
          <t xml:space="preserve">Platform temp operating range is larger than SFP - Effective range is therefore  that of the pluggable.
</t>
        </r>
      </text>
    </comment>
    <comment ref="R12" authorId="0" shapeId="0" xr:uid="{00000000-0006-0000-0100-000015000000}">
      <text>
        <r>
          <rPr>
            <sz val="11"/>
            <color rgb="FF000000"/>
            <rFont val="Calibri"/>
            <family val="2"/>
            <charset val="1"/>
          </rPr>
          <t xml:space="preserve">Colin Crowther:
</t>
        </r>
        <r>
          <rPr>
            <sz val="9"/>
            <color rgb="FF000000"/>
            <rFont val="Tahoma"/>
            <family val="2"/>
            <charset val="1"/>
          </rPr>
          <t xml:space="preserve">Platform temp operating range is larger than SFP - Effective range is therefore  that of the pluggable.
</t>
        </r>
      </text>
    </comment>
    <comment ref="U12" authorId="0" shapeId="0" xr:uid="{00000000-0006-0000-0100-000016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V12" authorId="0" shapeId="0" xr:uid="{00000000-0006-0000-0100-000017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R14" authorId="0" shapeId="0" xr:uid="{00000000-0006-0000-0100-000018000000}">
      <text>
        <r>
          <rPr>
            <sz val="11"/>
            <color rgb="FF000000"/>
            <rFont val="Calibri"/>
            <family val="2"/>
            <charset val="1"/>
          </rPr>
          <t xml:space="preserve">Colin Crowther:
</t>
        </r>
        <r>
          <rPr>
            <sz val="9"/>
            <color rgb="FF000000"/>
            <rFont val="Tahoma"/>
            <family val="2"/>
            <charset val="1"/>
          </rPr>
          <t>Platform temp operating range is larger than SFP - Effective range is therefore  that of the pluggable.</t>
        </r>
      </text>
    </comment>
    <comment ref="U14" authorId="0" shapeId="0" xr:uid="{00000000-0006-0000-0100-000019000000}">
      <text>
        <r>
          <rPr>
            <sz val="11"/>
            <color rgb="FF000000"/>
            <rFont val="Calibri"/>
            <family val="2"/>
            <charset val="1"/>
          </rPr>
          <t xml:space="preserve">Colin Crowther:
</t>
        </r>
        <r>
          <rPr>
            <sz val="9"/>
            <color rgb="FF000000"/>
            <rFont val="Tahoma"/>
            <family val="2"/>
            <charset val="1"/>
          </rPr>
          <t xml:space="preserve">Platform temp operating range is larger than SFP - Effective range is therefore  that of the pluggable.
</t>
        </r>
      </text>
    </comment>
    <comment ref="V14" authorId="0" shapeId="0" xr:uid="{00000000-0006-0000-0100-00001A000000}">
      <text>
        <r>
          <rPr>
            <sz val="11"/>
            <color rgb="FF000000"/>
            <rFont val="Calibri"/>
            <family val="2"/>
            <charset val="1"/>
          </rPr>
          <t xml:space="preserve">Colin Crowther:
</t>
        </r>
        <r>
          <rPr>
            <sz val="9"/>
            <color rgb="FF000000"/>
            <rFont val="Tahoma"/>
            <family val="2"/>
            <charset val="1"/>
          </rPr>
          <t xml:space="preserve">Platform temp operating range is larger than SFP - Effective range is therefore  that of the pluggable.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Colin Crowther</author>
  </authors>
  <commentList>
    <comment ref="Y3" authorId="0" shapeId="0" xr:uid="{00000000-0006-0000-0200-000001000000}">
      <text>
        <r>
          <rPr>
            <sz val="11"/>
            <color rgb="FF000000"/>
            <rFont val="Calibri"/>
            <family val="2"/>
            <charset val="1"/>
          </rPr>
          <t xml:space="preserve">Colin Crowther:
</t>
        </r>
        <r>
          <rPr>
            <sz val="9"/>
            <color rgb="FF000000"/>
            <rFont val="Tahoma"/>
            <family val="2"/>
            <charset val="1"/>
          </rPr>
          <t>A pt2 x330-10GTX available for some testing but waiting for a 52 port device (more than one SFP port) to become the Qual unit.
12 Oct 2021
-- BTW : The name was changed from GS980EMX</t>
        </r>
      </text>
    </comment>
    <comment ref="AZ3" authorId="0" shapeId="0" xr:uid="{00000000-0006-0000-0200-000002000000}">
      <text>
        <r>
          <rPr>
            <sz val="11"/>
            <color rgb="FF000000"/>
            <rFont val="Calibri"/>
            <family val="2"/>
            <charset val="1"/>
          </rPr>
          <t xml:space="preserve">Last supported rel : 5.5.0-2.9
</t>
        </r>
      </text>
    </comment>
    <comment ref="BC3" authorId="0" shapeId="0" xr:uid="{00000000-0006-0000-0200-000003000000}">
      <text>
        <r>
          <rPr>
            <sz val="11"/>
            <color rgb="FF000000"/>
            <rFont val="Calibri"/>
            <family val="2"/>
            <charset val="1"/>
          </rPr>
          <t xml:space="preserve">Last supported rel : 5.4.8-0.9
</t>
        </r>
      </text>
    </comment>
    <comment ref="BD3" authorId="0" shapeId="0" xr:uid="{00000000-0006-0000-0200-000004000000}">
      <text>
        <r>
          <rPr>
            <sz val="11"/>
            <color rgb="FF000000"/>
            <rFont val="Calibri"/>
            <family val="2"/>
            <charset val="1"/>
          </rPr>
          <t xml:space="preserve">Last supported rel : 4.9.1-1.1
</t>
        </r>
      </text>
    </comment>
    <comment ref="BF3" authorId="0" shapeId="0" xr:uid="{00000000-0006-0000-0200-000005000000}">
      <text>
        <r>
          <rPr>
            <sz val="11"/>
            <color rgb="FF000000"/>
            <rFont val="Calibri"/>
            <family val="2"/>
            <charset val="1"/>
          </rPr>
          <t xml:space="preserve">Platform moved to x510.
Hb 2-7-2020
</t>
        </r>
      </text>
    </comment>
    <comment ref="BH3" authorId="0" shapeId="0" xr:uid="{00000000-0006-0000-0200-000006000000}">
      <text>
        <r>
          <rPr>
            <sz val="11"/>
            <color rgb="FF000000"/>
            <rFont val="Calibri"/>
            <family val="2"/>
            <charset val="1"/>
          </rPr>
          <t xml:space="preserve">Last supported rel : 5.4.7-0.4
</t>
        </r>
        <r>
          <rPr>
            <sz val="9"/>
            <color rgb="FF000000"/>
            <rFont val="Tahoma"/>
            <family val="2"/>
            <charset val="1"/>
          </rPr>
          <t xml:space="preserve">
</t>
        </r>
      </text>
    </comment>
    <comment ref="BJ3" authorId="0" shapeId="0" xr:uid="{00000000-0006-0000-0200-000007000000}">
      <text>
        <r>
          <rPr>
            <sz val="11"/>
            <color rgb="FF000000"/>
            <rFont val="Calibri"/>
            <family val="2"/>
            <charset val="1"/>
          </rPr>
          <t xml:space="preserve">Last support rel : 5.4.7-0.4
</t>
        </r>
        <r>
          <rPr>
            <sz val="9"/>
            <color rgb="FF000000"/>
            <rFont val="Tahoma"/>
            <family val="2"/>
            <charset val="1"/>
          </rPr>
          <t xml:space="preserve">
</t>
        </r>
      </text>
    </comment>
    <comment ref="AA5" authorId="0" shapeId="0" xr:uid="{00000000-0006-0000-0200-000008000000}">
      <text>
        <r>
          <rPr>
            <sz val="11"/>
            <color rgb="FF000000"/>
            <rFont val="Calibri"/>
            <family val="2"/>
            <charset val="1"/>
          </rPr>
          <t xml:space="preserve">Colin Crowther:
</t>
        </r>
        <r>
          <rPr>
            <sz val="9"/>
            <color rgb="FF000000"/>
            <rFont val="Tahoma"/>
            <family val="2"/>
            <charset val="1"/>
          </rPr>
          <t>Repalces accidently deleted TP131.</t>
        </r>
      </text>
    </comment>
    <comment ref="AR5" authorId="0" shapeId="0" xr:uid="{00000000-0006-0000-0200-000009000000}">
      <text>
        <r>
          <rPr>
            <sz val="9"/>
            <color rgb="FF000000"/>
            <rFont val="Tahoma"/>
            <family val="2"/>
            <charset val="1"/>
          </rPr>
          <t xml:space="preserve">1g Support 
from 549-1.0
</t>
        </r>
      </text>
    </comment>
    <comment ref="BH5" authorId="0" shapeId="0" xr:uid="{00000000-0006-0000-0200-00000A000000}">
      <text>
        <r>
          <rPr>
            <sz val="9"/>
            <color rgb="FF000000"/>
            <rFont val="Tahoma"/>
            <family val="2"/>
            <charset val="1"/>
          </rPr>
          <t>SFP ports only support autonegotiation. See CR-50286</t>
        </r>
      </text>
    </comment>
    <comment ref="N6" authorId="0" shapeId="0" xr:uid="{00000000-0006-0000-0200-00000B000000}">
      <text>
        <r>
          <rPr>
            <sz val="11"/>
            <color rgb="FF000000"/>
            <rFont val="Calibri"/>
            <family val="2"/>
            <charset val="1"/>
          </rPr>
          <t xml:space="preserve">Colin Crowther:
Only AT-SP10TW1 and AT-StackXS/1.0 are supported as stacking module
</t>
        </r>
      </text>
    </comment>
    <comment ref="Z6" authorId="0" shapeId="0" xr:uid="{00000000-0006-0000-0200-00000C000000}">
      <text>
        <r>
          <rPr>
            <sz val="11"/>
            <color rgb="FF000000"/>
            <rFont val="Calibri"/>
            <family val="2"/>
            <charset val="1"/>
          </rPr>
          <t xml:space="preserve">Colin Crowther:
</t>
        </r>
        <r>
          <rPr>
            <sz val="9"/>
            <color rgb="FF000000"/>
            <rFont val="Tahoma"/>
            <family val="2"/>
            <charset val="1"/>
          </rPr>
          <t xml:space="preserve">https://wiki.atlnz.lc/awpwiki/index.php/Stacking_Over_1G_Interfaces_TFS
supported SFP transceivers, for stacking, will be the AT-SPSX, AT-SPLX10, and AT-SPLX10a.
</t>
        </r>
      </text>
    </comment>
    <comment ref="AA6" authorId="0" shapeId="0" xr:uid="{00000000-0006-0000-0200-00000D000000}">
      <text>
        <r>
          <rPr>
            <sz val="11"/>
            <color rgb="FF000000"/>
            <rFont val="Calibri"/>
            <family val="2"/>
            <charset val="1"/>
          </rPr>
          <t xml:space="preserve">Colin Crowther:
</t>
        </r>
        <r>
          <rPr>
            <sz val="9"/>
            <color rgb="FF000000"/>
            <rFont val="Tahoma"/>
            <family val="2"/>
            <charset val="1"/>
          </rPr>
          <t xml:space="preserve">https://wiki.atlnz.lc/awpwiki/index.php/Stacking_Over_1G_Interfaces_TFS
supported SFP transceivers, for stacking, will be the AT-SPSX, AT-SPLX10, and AT-SPLX10a.
</t>
        </r>
      </text>
    </comment>
    <comment ref="AB6" authorId="0" shapeId="0" xr:uid="{00000000-0006-0000-0200-00000E000000}">
      <text>
        <r>
          <rPr>
            <sz val="11"/>
            <color rgb="FF000000"/>
            <rFont val="Calibri"/>
            <family val="2"/>
            <charset val="1"/>
          </rPr>
          <t xml:space="preserve">Colin Crowther:
</t>
        </r>
        <r>
          <rPr>
            <sz val="9"/>
            <color rgb="FF000000"/>
            <rFont val="Tahoma"/>
            <family val="2"/>
            <charset val="1"/>
          </rPr>
          <t>https://wiki.atlnz.lc/awpwiki/index.php/Stacking_Over_1G_Interfaces_TFS
supported SFP transceivers, for stacking, will be the AT-SPSX, AT-SPLX10, and AT-SPLX10a.</t>
        </r>
      </text>
    </comment>
    <comment ref="AJ6" authorId="0" shapeId="0" xr:uid="{00000000-0006-0000-0200-00000F000000}">
      <text>
        <r>
          <rPr>
            <sz val="11"/>
            <color rgb="FF000000"/>
            <rFont val="Calibri"/>
            <family val="2"/>
            <charset val="1"/>
          </rPr>
          <t xml:space="preserve">Colin Crowther:
</t>
        </r>
        <r>
          <rPr>
            <sz val="9"/>
            <color rgb="FF000000"/>
            <rFont val="Tahoma"/>
            <family val="2"/>
            <charset val="1"/>
          </rPr>
          <t>https://wiki.atlnz.lc/awpwiki/index.php/X950_Software_TPS TPS
States 1G not supported</t>
        </r>
      </text>
    </comment>
    <comment ref="AK6" authorId="0" shapeId="0" xr:uid="{00000000-0006-0000-0200-000010000000}">
      <text>
        <r>
          <rPr>
            <sz val="11"/>
            <color rgb="FF000000"/>
            <rFont val="Calibri"/>
            <family val="2"/>
            <charset val="1"/>
          </rPr>
          <t xml:space="preserve">Colin Crowther:
</t>
        </r>
        <r>
          <rPr>
            <sz val="9"/>
            <color rgb="FF000000"/>
            <rFont val="Tahoma"/>
            <family val="2"/>
            <charset val="1"/>
          </rPr>
          <t>https://wiki.atlnz.lc/awpwiki/index.php/X950_Software_TPS TPS
States 1G not supported</t>
        </r>
      </text>
    </comment>
    <comment ref="AL6" authorId="0" shapeId="0" xr:uid="{00000000-0006-0000-0200-000011000000}">
      <text>
        <r>
          <rPr>
            <sz val="11"/>
            <color rgb="FF000000"/>
            <rFont val="Calibri"/>
            <family val="2"/>
            <charset val="1"/>
          </rPr>
          <t xml:space="preserve">Colin Crowther:
</t>
        </r>
        <r>
          <rPr>
            <sz val="9"/>
            <color rgb="FF000000"/>
            <rFont val="Tahoma"/>
            <family val="2"/>
            <charset val="1"/>
          </rPr>
          <t>https://wiki.atlnz.lc/awpwiki/index.php/X950_Software_TPS TPS
States 1G not supported</t>
        </r>
      </text>
    </comment>
    <comment ref="AM6" authorId="0" shapeId="0" xr:uid="{00000000-0006-0000-0200-000012000000}">
      <text>
        <r>
          <rPr>
            <sz val="11"/>
            <color rgb="FF000000"/>
            <rFont val="Calibri"/>
            <family val="2"/>
            <charset val="1"/>
          </rPr>
          <t xml:space="preserve">Colin Crowther:
</t>
        </r>
        <r>
          <rPr>
            <sz val="9"/>
            <color rgb="FF000000"/>
            <rFont val="Tahoma"/>
            <family val="2"/>
            <charset val="1"/>
          </rPr>
          <t>https://wiki.atlnz.lc/awpwiki/index.php/SBx908Gen2_Software_TPS TPS
States 1G not supported</t>
        </r>
      </text>
    </comment>
    <comment ref="AN6" authorId="0" shapeId="0" xr:uid="{00000000-0006-0000-0200-000013000000}">
      <text>
        <r>
          <rPr>
            <sz val="11"/>
            <color rgb="FF000000"/>
            <rFont val="Calibri"/>
            <family val="2"/>
            <charset val="1"/>
          </rPr>
          <t xml:space="preserve">Colin Crowther:
</t>
        </r>
        <r>
          <rPr>
            <sz val="9"/>
            <color rgb="FF000000"/>
            <rFont val="Tahoma"/>
            <family val="2"/>
            <charset val="1"/>
          </rPr>
          <t>https://wiki.atlnz.lc/awpwiki/index.php/SBx908Gen2_Software_TPS TPS
States 1G not supported</t>
        </r>
      </text>
    </comment>
    <comment ref="AR8" authorId="0" shapeId="0" xr:uid="{00000000-0006-0000-0200-000014000000}">
      <text>
        <r>
          <rPr>
            <sz val="9"/>
            <color rgb="FF000000"/>
            <rFont val="Tahoma"/>
            <family val="2"/>
            <charset val="1"/>
          </rPr>
          <t xml:space="preserve">1g Support 
from 549-1.0
</t>
        </r>
      </text>
    </comment>
    <comment ref="AS8" authorId="0" shapeId="0" xr:uid="{00000000-0006-0000-0200-000015000000}">
      <text>
        <r>
          <rPr>
            <sz val="11"/>
            <color rgb="FF000000"/>
            <rFont val="Calibri"/>
            <family val="2"/>
            <charset val="1"/>
          </rPr>
          <t xml:space="preserve">Colin Crowther:
</t>
        </r>
        <r>
          <rPr>
            <sz val="9"/>
            <color rgb="FF000000"/>
            <rFont val="Tahoma"/>
            <family val="2"/>
            <charset val="1"/>
          </rPr>
          <t>This LIF is not supported by ATKK</t>
        </r>
      </text>
    </comment>
    <comment ref="BF8" authorId="0" shapeId="0" xr:uid="{00000000-0006-0000-0200-000016000000}">
      <text>
        <r>
          <rPr>
            <sz val="11"/>
            <color rgb="FF000000"/>
            <rFont val="Calibri"/>
            <family val="2"/>
            <charset val="1"/>
          </rPr>
          <t xml:space="preserve">Error in rules discovered. Ie510-28gsx sfp+ hardware is identical to x510 sfp+ hardware. Testing no longer needed for this test plan. Platform moved to x510.
Hb 2-7-2020
</t>
        </r>
      </text>
    </comment>
    <comment ref="BH8" authorId="0" shapeId="0" xr:uid="{00000000-0006-0000-0200-000017000000}">
      <text>
        <r>
          <rPr>
            <sz val="9"/>
            <color rgb="FF000000"/>
            <rFont val="Tahoma"/>
            <family val="2"/>
            <charset val="1"/>
          </rPr>
          <t>SFP ports only support autonegotiation. See CR-50286</t>
        </r>
      </text>
    </comment>
    <comment ref="AV23" authorId="0" shapeId="0" xr:uid="{00000000-0006-0000-0200-000018000000}">
      <text>
        <r>
          <rPr>
            <sz val="11"/>
            <color rgb="FF000000"/>
            <rFont val="Calibri"/>
            <family val="2"/>
            <charset val="1"/>
          </rPr>
          <t xml:space="preserve">Colin Crowther:
</t>
        </r>
        <r>
          <rPr>
            <sz val="9"/>
            <color rgb="FF000000"/>
            <rFont val="Tahoma"/>
            <family val="2"/>
            <charset val="1"/>
          </rPr>
          <t>plugable temp range -5 to 70 
platform temp range -40 to 75</t>
        </r>
      </text>
    </comment>
    <comment ref="AX23" authorId="0" shapeId="0" xr:uid="{00000000-0006-0000-0200-000019000000}">
      <text>
        <r>
          <rPr>
            <sz val="11"/>
            <color rgb="FF000000"/>
            <rFont val="Calibri"/>
            <family val="2"/>
            <charset val="1"/>
          </rPr>
          <t xml:space="preserve">Colin Crowther:
</t>
        </r>
        <r>
          <rPr>
            <sz val="9"/>
            <color rgb="FF000000"/>
            <rFont val="Tahoma"/>
            <family val="2"/>
            <charset val="1"/>
          </rPr>
          <t xml:space="preserve">ThermalOperatingRange too small
</t>
        </r>
      </text>
    </comment>
    <comment ref="AV25" authorId="0" shapeId="0" xr:uid="{00000000-0006-0000-0200-00001A000000}">
      <text>
        <r>
          <rPr>
            <sz val="11"/>
            <color rgb="FF000000"/>
            <rFont val="Calibri"/>
            <family val="2"/>
            <charset val="1"/>
          </rPr>
          <t xml:space="preserve">Colin Crowther:
</t>
        </r>
        <r>
          <rPr>
            <sz val="9"/>
            <color rgb="FF000000"/>
            <rFont val="Tahoma"/>
            <family val="2"/>
            <charset val="1"/>
          </rPr>
          <t>plugable temp range -5 to 70 
Less than platform temp range</t>
        </r>
      </text>
    </comment>
    <comment ref="B28" authorId="0" shapeId="0" xr:uid="{00000000-0006-0000-0200-00001B000000}">
      <text>
        <r>
          <rPr>
            <sz val="11"/>
            <color rgb="FF000000"/>
            <rFont val="Calibri"/>
            <family val="2"/>
            <charset val="1"/>
          </rPr>
          <t xml:space="preserve">Colin Crowther:
</t>
        </r>
        <r>
          <rPr>
            <sz val="9"/>
            <color rgb="FF000000"/>
            <rFont val="Tahoma"/>
            <family val="2"/>
            <charset val="1"/>
          </rPr>
          <t xml:space="preserve">
Qual testing was done on version X1 units - see below.</t>
        </r>
      </text>
    </comment>
    <comment ref="C28" authorId="0" shapeId="0" xr:uid="{00000000-0006-0000-0200-00001C000000}">
      <text>
        <r>
          <rPr>
            <sz val="11"/>
            <color rgb="FF000000"/>
            <rFont val="Calibri"/>
            <family val="2"/>
            <charset val="1"/>
          </rPr>
          <t xml:space="preserve">Colin Crowther:
</t>
        </r>
        <r>
          <rPr>
            <sz val="9"/>
            <color rgb="FF000000"/>
            <rFont val="Tahoma"/>
            <family val="2"/>
            <charset val="1"/>
          </rPr>
          <t xml:space="preserve">
Qual testing was done on version X1 units - see below.</t>
        </r>
      </text>
    </comment>
    <comment ref="B31" authorId="1" shapeId="0" xr:uid="{469FEFD5-892C-4B79-9D61-87D1DFB8E764}">
      <text>
        <r>
          <rPr>
            <b/>
            <sz val="9"/>
            <color indexed="81"/>
            <rFont val="Tahoma"/>
            <family val="2"/>
          </rPr>
          <t>Colin Crowther:</t>
        </r>
        <r>
          <rPr>
            <sz val="9"/>
            <color indexed="81"/>
            <rFont val="Tahoma"/>
            <family val="2"/>
          </rPr>
          <t xml:space="preserve">
This version replaces ver B from Delta</t>
        </r>
      </text>
    </comment>
    <comment ref="AV32" authorId="0" shapeId="0" xr:uid="{00000000-0006-0000-0200-00001D000000}">
      <text>
        <r>
          <rPr>
            <sz val="11"/>
            <color rgb="FF000000"/>
            <rFont val="Calibri"/>
            <family val="2"/>
            <charset val="1"/>
          </rPr>
          <t xml:space="preserve">Colin Crowther:
</t>
        </r>
        <r>
          <rPr>
            <sz val="9"/>
            <color rgb="FF000000"/>
            <rFont val="Tahoma"/>
            <family val="2"/>
            <charset val="1"/>
          </rPr>
          <t>CR-59517 Incorrect pluggable type shown for the AT-SPLX40/E SFP</t>
        </r>
      </text>
    </comment>
    <comment ref="B33" authorId="0" shapeId="0" xr:uid="{00000000-0006-0000-0200-00001F000000}">
      <text>
        <r>
          <rPr>
            <sz val="11"/>
            <color rgb="FF000000"/>
            <rFont val="Calibri"/>
            <family val="2"/>
            <charset val="1"/>
          </rPr>
          <t xml:space="preserve">Colin Crowther:
</t>
        </r>
        <r>
          <rPr>
            <sz val="9"/>
            <color rgb="FF000000"/>
            <rFont val="Tahoma"/>
            <family val="2"/>
            <charset val="1"/>
          </rPr>
          <t>This version replaces the Finisar ver F (see test results below in obsoleted section) that never made it to final approval.</t>
        </r>
      </text>
    </comment>
    <comment ref="C33" authorId="0" shapeId="0" xr:uid="{00000000-0006-0000-0200-000020000000}">
      <text>
        <r>
          <rPr>
            <sz val="11"/>
            <color rgb="FF000000"/>
            <rFont val="Calibri"/>
            <family val="2"/>
            <charset val="1"/>
          </rPr>
          <t xml:space="preserve">Colin Crowther:
</t>
        </r>
        <r>
          <rPr>
            <sz val="9"/>
            <color rgb="FF000000"/>
            <rFont val="Tahoma"/>
            <family val="2"/>
            <charset val="1"/>
          </rPr>
          <t>This version replaces the Finisar ver F (see test results below in obsoleted section) that never made it to final approval.</t>
        </r>
      </text>
    </comment>
    <comment ref="W40" authorId="1" shapeId="0" xr:uid="{F9C58EA3-4871-427E-8A9A-2063DBBA2E85}">
      <text/>
    </comment>
    <comment ref="AV40" authorId="0" shapeId="0" xr:uid="{00000000-0006-0000-0200-000021000000}">
      <text>
        <r>
          <rPr>
            <sz val="11"/>
            <color rgb="FF000000"/>
            <rFont val="Calibri"/>
            <family val="2"/>
            <charset val="1"/>
          </rPr>
          <t xml:space="preserve">Colin Crowther:
</t>
        </r>
        <r>
          <rPr>
            <sz val="9"/>
            <color rgb="FF000000"/>
            <rFont val="Tahoma"/>
            <family val="2"/>
            <charset val="1"/>
          </rPr>
          <t>plugable temp range -5 to 70 
Less than platform temp range</t>
        </r>
      </text>
    </comment>
    <comment ref="AZ40" authorId="0" shapeId="0" xr:uid="{00000000-0006-0000-0200-000022000000}">
      <text>
        <r>
          <rPr>
            <sz val="11"/>
            <color rgb="FF000000"/>
            <rFont val="Calibri"/>
            <family val="2"/>
            <charset val="1"/>
          </rPr>
          <t xml:space="preserve">Colin Crowther:
</t>
        </r>
        <r>
          <rPr>
            <sz val="9"/>
            <color rgb="FF000000"/>
            <rFont val="Tahoma"/>
            <family val="2"/>
            <charset val="1"/>
          </rPr>
          <t>Retest CR50194 to see if now working.</t>
        </r>
      </text>
    </comment>
    <comment ref="B41" authorId="0" shapeId="0" xr:uid="{A54B9C93-DDFB-4D85-8C8E-0D9DB55A5106}">
      <text>
        <r>
          <rPr>
            <sz val="11"/>
            <color rgb="FF000000"/>
            <rFont val="Calibri"/>
            <family val="2"/>
            <charset val="1"/>
          </rPr>
          <t xml:space="preserve">Colin Crowther:
Ver A (MP) units have replaced Y4 that were used for early testing.
</t>
        </r>
      </text>
    </comment>
    <comment ref="B42" authorId="0" shapeId="0" xr:uid="{00000000-0006-0000-0200-000023000000}">
      <text>
        <r>
          <rPr>
            <sz val="11"/>
            <color rgb="FF000000"/>
            <rFont val="Calibri"/>
            <family val="2"/>
            <charset val="1"/>
          </rPr>
          <t xml:space="preserve">Colin Crowther:
</t>
        </r>
        <r>
          <rPr>
            <sz val="9"/>
            <color rgb="FF000000"/>
            <rFont val="Tahoma"/>
            <family val="2"/>
            <charset val="1"/>
          </rPr>
          <t>This version superceeds Ver Y3 (that superceeded X7 - see test results below in 'obsolute' rows.</t>
        </r>
      </text>
    </comment>
    <comment ref="J44" authorId="1" shapeId="0" xr:uid="{67A634E2-B046-4F25-9937-56D5D1E18FBC}">
      <text>
        <r>
          <rPr>
            <b/>
            <sz val="9"/>
            <color indexed="81"/>
            <rFont val="Tahoma"/>
            <family val="2"/>
          </rPr>
          <t>Colin Crowther:</t>
        </r>
        <r>
          <rPr>
            <sz val="9"/>
            <color indexed="81"/>
            <rFont val="Tahoma"/>
            <family val="2"/>
          </rPr>
          <t xml:space="preserve">
Superceded by SPZX120/I</t>
        </r>
      </text>
    </comment>
    <comment ref="K44" authorId="1" shapeId="0" xr:uid="{2EA75531-AD33-4871-B15C-016BF7FB7C95}">
      <text>
        <r>
          <rPr>
            <b/>
            <sz val="9"/>
            <color indexed="81"/>
            <rFont val="Tahoma"/>
            <family val="2"/>
          </rPr>
          <t>Colin Crowther:</t>
        </r>
        <r>
          <rPr>
            <sz val="9"/>
            <color indexed="81"/>
            <rFont val="Tahoma"/>
            <family val="2"/>
          </rPr>
          <t xml:space="preserve">
Superceded by SPZX120/I</t>
        </r>
      </text>
    </comment>
    <comment ref="V44" authorId="1" shapeId="0" xr:uid="{963047AE-3740-42E2-B170-8FCF0FDE1A34}">
      <text>
        <r>
          <rPr>
            <b/>
            <sz val="9"/>
            <color indexed="81"/>
            <rFont val="Tahoma"/>
            <family val="2"/>
          </rPr>
          <t>Colin Crowther:</t>
        </r>
        <r>
          <rPr>
            <sz val="9"/>
            <color indexed="81"/>
            <rFont val="Tahoma"/>
            <family val="2"/>
          </rPr>
          <t xml:space="preserve">
Superceded by SPZX120/I</t>
        </r>
      </text>
    </comment>
    <comment ref="W44" authorId="1" shapeId="0" xr:uid="{B87C2B4D-8C63-4D7E-B14C-BBD97D66E365}">
      <text>
        <r>
          <rPr>
            <b/>
            <sz val="9"/>
            <color indexed="81"/>
            <rFont val="Tahoma"/>
            <family val="2"/>
          </rPr>
          <t>Colin Crowther:</t>
        </r>
        <r>
          <rPr>
            <sz val="9"/>
            <color indexed="81"/>
            <rFont val="Tahoma"/>
            <family val="2"/>
          </rPr>
          <t xml:space="preserve">
Superceded by SPZX120/I</t>
        </r>
      </text>
    </comment>
    <comment ref="AZ44" authorId="0" shapeId="0" xr:uid="{00000000-0006-0000-0200-000024000000}">
      <text>
        <r>
          <rPr>
            <sz val="11"/>
            <color rgb="FF000000"/>
            <rFont val="Calibri"/>
            <family val="2"/>
            <charset val="1"/>
          </rPr>
          <t xml:space="preserve">Colin Crowther:
</t>
        </r>
        <r>
          <rPr>
            <sz val="9"/>
            <color rgb="FF000000"/>
            <rFont val="Tahoma"/>
            <family val="2"/>
            <charset val="1"/>
          </rPr>
          <t>Can be retested - see CR50021</t>
        </r>
      </text>
    </comment>
    <comment ref="AV75" authorId="0" shapeId="0" xr:uid="{00000000-0006-0000-0200-00001E000000}">
      <text>
        <r>
          <rPr>
            <sz val="11"/>
            <color rgb="FF000000"/>
            <rFont val="Calibri"/>
            <family val="2"/>
            <charset val="1"/>
          </rPr>
          <t xml:space="preserve">Colin Crowther:
</t>
        </r>
        <r>
          <rPr>
            <sz val="9"/>
            <color rgb="FF000000"/>
            <rFont val="Tahoma"/>
            <family val="2"/>
            <charset val="1"/>
          </rPr>
          <t>plugable temp range -5 to 70 
Less than platform temp range</t>
        </r>
      </text>
    </comment>
    <comment ref="B76" authorId="0" shapeId="0" xr:uid="{00000000-0006-0000-0200-000025000000}">
      <text>
        <r>
          <rPr>
            <sz val="11"/>
            <color rgb="FF000000"/>
            <rFont val="Calibri"/>
            <family val="2"/>
            <charset val="1"/>
          </rPr>
          <t xml:space="preserve">Colin Crowther:
</t>
        </r>
        <r>
          <rPr>
            <sz val="9"/>
            <color rgb="FF000000"/>
            <rFont val="Tahoma"/>
            <family val="2"/>
            <charset val="1"/>
          </rPr>
          <t xml:space="preserve">
Late 2019 - Ver B was to replace Ver A that was to be discontinued by manufacture (lack of parts) but issues with Ver B made maunfacturer decide to continue production of Ver A ( Ver B cancelled)</t>
        </r>
      </text>
    </comment>
    <comment ref="C76" authorId="0" shapeId="0" xr:uid="{00000000-0006-0000-0200-000026000000}">
      <text>
        <r>
          <rPr>
            <sz val="11"/>
            <color rgb="FF000000"/>
            <rFont val="Calibri"/>
            <family val="2"/>
            <charset val="1"/>
          </rPr>
          <t xml:space="preserve">Colin Crowther:
</t>
        </r>
        <r>
          <rPr>
            <sz val="9"/>
            <color rgb="FF000000"/>
            <rFont val="Tahoma"/>
            <family val="2"/>
            <charset val="1"/>
          </rPr>
          <t xml:space="preserve">
Late 2019 - Ver B was to replace Ver A that was to be discontinued by manufacture (lack of parts) but issues with Ver B made maunfacturer decide to continue production of Ver A ( Ver B cancelled)</t>
        </r>
      </text>
    </comment>
    <comment ref="B77" authorId="0" shapeId="0" xr:uid="{00000000-0006-0000-0200-000027000000}">
      <text>
        <r>
          <rPr>
            <sz val="11"/>
            <color rgb="FF000000"/>
            <rFont val="Calibri"/>
            <family val="2"/>
            <charset val="1"/>
          </rPr>
          <t xml:space="preserve">Colin Crowther:
This version tested OK but was later superceded by version Y3 (not teseted) and then by Y4 (to be tested Feb 2022)
</t>
        </r>
        <r>
          <rPr>
            <sz val="9"/>
            <color rgb="FF000000"/>
            <rFont val="Tahoma"/>
            <family val="2"/>
            <charset val="1"/>
          </rPr>
          <t xml:space="preserve">
</t>
        </r>
      </text>
    </comment>
    <comment ref="C77" authorId="0" shapeId="0" xr:uid="{00000000-0006-0000-0200-000028000000}">
      <text>
        <r>
          <rPr>
            <sz val="11"/>
            <color rgb="FF000000"/>
            <rFont val="Calibri"/>
            <family val="2"/>
            <charset val="1"/>
          </rPr>
          <t xml:space="preserve">Colin Crowther:
This version tested OK but was later superceded by version Y3 (not teseted) and then by Y4 (to be tested Feb 2022)
</t>
        </r>
        <r>
          <rPr>
            <sz val="9"/>
            <color rgb="FF000000"/>
            <rFont val="Tahoma"/>
            <family val="2"/>
            <charset val="1"/>
          </rPr>
          <t xml:space="preserve">
</t>
        </r>
      </text>
    </comment>
    <comment ref="B78" authorId="0" shapeId="0" xr:uid="{00000000-0006-0000-0200-000029000000}">
      <text>
        <r>
          <rPr>
            <sz val="11"/>
            <color rgb="FF000000"/>
            <rFont val="Calibri"/>
            <family val="2"/>
            <charset val="1"/>
          </rPr>
          <t xml:space="preserve">Colin Crowther:
</t>
        </r>
        <r>
          <rPr>
            <sz val="9"/>
            <color rgb="FF000000"/>
            <rFont val="Tahoma"/>
            <family val="2"/>
            <charset val="1"/>
          </rPr>
          <t>Early Rev F Finisar sample version 
( datecode 180520). 
Qual tested but not FAS approved 
(Finisar changing name and factory to II-VI. 
Superceded by Rev F from  II-VI datecode 210903</t>
        </r>
      </text>
    </comment>
    <comment ref="C78" authorId="0" shapeId="0" xr:uid="{00000000-0006-0000-0200-00002A000000}">
      <text>
        <r>
          <rPr>
            <sz val="11"/>
            <color rgb="FF000000"/>
            <rFont val="Calibri"/>
            <family val="2"/>
            <charset val="1"/>
          </rPr>
          <t xml:space="preserve">Colin Crowther:
</t>
        </r>
        <r>
          <rPr>
            <sz val="9"/>
            <color rgb="FF000000"/>
            <rFont val="Tahoma"/>
            <family val="2"/>
            <charset val="1"/>
          </rPr>
          <t>Early Rev F Finisar sample version 
( datecode 180520). 
Qual tested but not FAS approved 
(Finisar changing name and factory to II-VI. 
Superceded by Rev F from  II-VI datecode 210903</t>
        </r>
      </text>
    </comment>
    <comment ref="B79" authorId="0" shapeId="0" xr:uid="{00000000-0006-0000-0200-00002B000000}">
      <text>
        <r>
          <rPr>
            <sz val="11"/>
            <color rgb="FF000000"/>
            <rFont val="Calibri"/>
            <family val="2"/>
            <charset val="1"/>
          </rPr>
          <t xml:space="preserve">Colin Crowther:
X1 units replaced by ver A production units.
</t>
        </r>
      </text>
    </comment>
    <comment ref="C79" authorId="0" shapeId="0" xr:uid="{00000000-0006-0000-0200-00002C000000}">
      <text>
        <r>
          <rPr>
            <sz val="11"/>
            <color rgb="FF000000"/>
            <rFont val="Calibri"/>
            <family val="2"/>
            <charset val="1"/>
          </rPr>
          <t xml:space="preserve">Colin Crowther:
X1 units replaced by ver A production units.
</t>
        </r>
      </text>
    </comment>
    <comment ref="B96" authorId="0" shapeId="0" xr:uid="{00000000-0006-0000-0200-00002D000000}">
      <text>
        <r>
          <rPr>
            <sz val="11"/>
            <color rgb="FF000000"/>
            <rFont val="Calibri"/>
            <family val="2"/>
            <charset val="1"/>
          </rPr>
          <t xml:space="preserve">Colin Crowther:
AVAGO
AM0907S6QXS 090212 ver 000
AM0907S6QY0 090212 ver 000
</t>
        </r>
        <r>
          <rPr>
            <sz val="9"/>
            <color rgb="FF000000"/>
            <rFont val="Tahoma"/>
            <family val="2"/>
            <charset val="1"/>
          </rPr>
          <t xml:space="preserve">
</t>
        </r>
      </text>
    </comment>
    <comment ref="C96" authorId="0" shapeId="0" xr:uid="{00000000-0006-0000-0200-00002E000000}">
      <text>
        <r>
          <rPr>
            <sz val="11"/>
            <color rgb="FF000000"/>
            <rFont val="Calibri"/>
            <family val="2"/>
            <charset val="1"/>
          </rPr>
          <t xml:space="preserve">Colin Crowther:
AVAGO
AM0907S6QXS 090212 ver 000
AM0907S6QY0 090212 ver 000
</t>
        </r>
        <r>
          <rPr>
            <sz val="9"/>
            <color rgb="FF000000"/>
            <rFont val="Tahoma"/>
            <family val="2"/>
            <charset val="1"/>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Colin Crowther</author>
  </authors>
  <commentList>
    <comment ref="K3" authorId="0" shapeId="0" xr:uid="{00000000-0006-0000-0300-000001000000}">
      <text>
        <r>
          <rPr>
            <sz val="11"/>
            <color rgb="FF000000"/>
            <rFont val="Calibri"/>
            <family val="2"/>
            <charset val="1"/>
          </rPr>
          <t xml:space="preserve">Colin Crowther:
</t>
        </r>
        <r>
          <rPr>
            <sz val="9"/>
            <color rgb="FF000000"/>
            <rFont val="Tahoma"/>
            <family val="2"/>
            <charset val="1"/>
          </rPr>
          <t>A pt2 x330-10GTX available for some testing but waiting for a 52 port device (more than one SFP port) to become the Qual unit.
12 Oct 2021
-- BTW : The name was changed from GS980EMX</t>
        </r>
      </text>
    </comment>
    <comment ref="AH3" authorId="0" shapeId="0" xr:uid="{00000000-0006-0000-0300-000002000000}">
      <text>
        <r>
          <rPr>
            <sz val="11"/>
            <color rgb="FF000000"/>
            <rFont val="Calibri"/>
            <family val="2"/>
            <charset val="1"/>
          </rPr>
          <t xml:space="preserve">Last supported rel : 5.5.0-2.9
</t>
        </r>
        <r>
          <rPr>
            <sz val="9"/>
            <color rgb="FF000000"/>
            <rFont val="Tahoma"/>
            <family val="2"/>
            <charset val="1"/>
          </rPr>
          <t xml:space="preserve">
</t>
        </r>
      </text>
    </comment>
    <comment ref="AI3" authorId="0" shapeId="0" xr:uid="{00000000-0006-0000-0300-000003000000}">
      <text>
        <r>
          <rPr>
            <b/>
            <sz val="9"/>
            <color rgb="FF000000"/>
            <rFont val="Tahoma"/>
            <family val="2"/>
            <charset val="1"/>
          </rPr>
          <t>Matthew H (29/03/2019)
Platform does not support 10G pluggables.
Last supported rel : 4.9.1-1.1</t>
        </r>
      </text>
    </comment>
    <comment ref="AK3" authorId="0" shapeId="0" xr:uid="{00000000-0006-0000-0300-000004000000}">
      <text>
        <r>
          <rPr>
            <sz val="11"/>
            <color rgb="FF000000"/>
            <rFont val="Calibri"/>
            <family val="2"/>
            <charset val="1"/>
          </rPr>
          <t xml:space="preserve">Last supported rel : 5.4.8-0.9
</t>
        </r>
      </text>
    </comment>
    <comment ref="AL3" authorId="0" shapeId="0" xr:uid="{00000000-0006-0000-0300-000005000000}">
      <text>
        <r>
          <rPr>
            <sz val="11"/>
            <color rgb="FF000000"/>
            <rFont val="Calibri"/>
            <family val="2"/>
            <charset val="1"/>
          </rPr>
          <t xml:space="preserve">Last support rel : 5.4.7-0.4
</t>
        </r>
        <r>
          <rPr>
            <sz val="9"/>
            <color rgb="FF000000"/>
            <rFont val="Tahoma"/>
            <family val="2"/>
            <charset val="1"/>
          </rPr>
          <t xml:space="preserve">
</t>
        </r>
      </text>
    </comment>
    <comment ref="E5" authorId="0" shapeId="0" xr:uid="{00000000-0006-0000-0300-000006000000}">
      <text>
        <r>
          <rPr>
            <sz val="11"/>
            <color rgb="FF000000"/>
            <rFont val="Calibri"/>
            <family val="2"/>
            <charset val="1"/>
          </rPr>
          <t xml:space="preserve">Colin Crowther:
Only AT-SP10TW1 and AT-StackXS/1.0 are supported as stacking module
</t>
        </r>
      </text>
    </comment>
    <comment ref="J5" authorId="1" shapeId="0" xr:uid="{00000000-0006-0000-0300-000007000000}">
      <text>
        <r>
          <rPr>
            <b/>
            <sz val="9"/>
            <color indexed="81"/>
            <rFont val="Tahoma"/>
            <family val="2"/>
          </rPr>
          <t>Colin Crowther:</t>
        </r>
        <r>
          <rPr>
            <sz val="9"/>
            <color indexed="81"/>
            <rFont val="Tahoma"/>
            <family val="2"/>
          </rPr>
          <t xml:space="preserve">
10G fiber and DAC only.
</t>
        </r>
      </text>
    </comment>
    <comment ref="L5" authorId="0" shapeId="0" xr:uid="{00000000-0006-0000-0300-000008000000}">
      <text>
        <r>
          <rPr>
            <sz val="11"/>
            <color rgb="FF000000"/>
            <rFont val="Calibri"/>
            <family val="2"/>
            <charset val="1"/>
          </rPr>
          <t xml:space="preserve">Colin Crowther:
</t>
        </r>
        <r>
          <rPr>
            <sz val="9"/>
            <color rgb="FF000000"/>
            <rFont val="Tahoma"/>
            <family val="2"/>
            <charset val="1"/>
          </rPr>
          <t xml:space="preserve">https://wiki.atlnz.lc/awpwiki/index.php/Stacking_Over_1G_Interfaces_TFS
</t>
        </r>
      </text>
    </comment>
    <comment ref="M5" authorId="0" shapeId="0" xr:uid="{00000000-0006-0000-0300-000009000000}">
      <text>
        <r>
          <rPr>
            <sz val="11"/>
            <color rgb="FF000000"/>
            <rFont val="Calibri"/>
            <family val="2"/>
            <charset val="1"/>
          </rPr>
          <t xml:space="preserve">Colin Crowther:
</t>
        </r>
        <r>
          <rPr>
            <sz val="9"/>
            <color rgb="FF000000"/>
            <rFont val="Tahoma"/>
            <family val="2"/>
            <charset val="1"/>
          </rPr>
          <t xml:space="preserve">https://wiki.atlnz.lc/awpwiki/index.php/Stacking_Over_1G_Interfaces_TFS
</t>
        </r>
      </text>
    </comment>
    <comment ref="N5" authorId="1" shapeId="0" xr:uid="{82563A14-026C-43B1-B01A-EF2F6E97F7C8}">
      <text>
        <r>
          <rPr>
            <b/>
            <sz val="9"/>
            <color indexed="81"/>
            <rFont val="Tahoma"/>
            <family val="2"/>
          </rPr>
          <t>Colin Crowther:</t>
        </r>
        <r>
          <rPr>
            <sz val="9"/>
            <color indexed="81"/>
            <rFont val="Tahoma"/>
            <family val="2"/>
          </rPr>
          <t xml:space="preserve">
10G fiber and DAC only.
</t>
        </r>
      </text>
    </comment>
    <comment ref="O5" authorId="0" shapeId="0" xr:uid="{00000000-0006-0000-0300-00000A000000}">
      <text>
        <r>
          <rPr>
            <sz val="11"/>
            <color rgb="FF000000"/>
            <rFont val="Calibri"/>
            <family val="2"/>
            <charset val="1"/>
          </rPr>
          <t xml:space="preserve">Colin Crowther:
</t>
        </r>
        <r>
          <rPr>
            <sz val="9"/>
            <color rgb="FF000000"/>
            <rFont val="Tahoma"/>
            <family val="2"/>
            <charset val="1"/>
          </rPr>
          <t>Supports 10G stacking with 10GBASE-T link using AT-SP10T.</t>
        </r>
      </text>
    </comment>
    <comment ref="P5" authorId="0" shapeId="0" xr:uid="{00000000-0006-0000-0300-00000B000000}">
      <text>
        <r>
          <rPr>
            <sz val="11"/>
            <color rgb="FF000000"/>
            <rFont val="Calibri"/>
            <family val="2"/>
            <charset val="1"/>
          </rPr>
          <t xml:space="preserve">Colin Crowther:
</t>
        </r>
        <r>
          <rPr>
            <sz val="9"/>
            <color rgb="FF000000"/>
            <rFont val="Tahoma"/>
            <family val="2"/>
            <charset val="1"/>
          </rPr>
          <t>Supports 10G stacking with 10GBASE-T link using AT-SP10T.</t>
        </r>
      </text>
    </comment>
    <comment ref="Q5" authorId="0" shapeId="0" xr:uid="{00000000-0006-0000-0300-00000C000000}">
      <text>
        <r>
          <rPr>
            <sz val="11"/>
            <color rgb="FF000000"/>
            <rFont val="Calibri"/>
            <family val="2"/>
            <charset val="1"/>
          </rPr>
          <t xml:space="preserve">Colin Crowther:
</t>
        </r>
        <r>
          <rPr>
            <sz val="9"/>
            <color rgb="FF000000"/>
            <rFont val="Tahoma"/>
            <family val="2"/>
            <charset val="1"/>
          </rPr>
          <t>Supports 10G stacking with 10GBASE-T link using AT-SP10T.</t>
        </r>
      </text>
    </comment>
    <comment ref="T5" authorId="0" shapeId="0" xr:uid="{00000000-0006-0000-0300-00000D000000}">
      <text>
        <r>
          <rPr>
            <sz val="11"/>
            <color rgb="FF000000"/>
            <rFont val="Calibri"/>
            <family val="2"/>
            <charset val="1"/>
          </rPr>
          <t xml:space="preserve">Colin Crowther:
</t>
        </r>
        <r>
          <rPr>
            <sz val="9"/>
            <color rgb="FF000000"/>
            <rFont val="Tahoma"/>
            <family val="2"/>
            <charset val="1"/>
          </rPr>
          <t>1G/2.5G/5G not supported</t>
        </r>
      </text>
    </comment>
    <comment ref="U5" authorId="0" shapeId="0" xr:uid="{00000000-0006-0000-0300-00000E000000}">
      <text>
        <r>
          <rPr>
            <sz val="11"/>
            <color rgb="FF000000"/>
            <rFont val="Calibri"/>
            <family val="2"/>
            <charset val="1"/>
          </rPr>
          <t xml:space="preserve">Colin Crowther:
</t>
        </r>
        <r>
          <rPr>
            <sz val="9"/>
            <color rgb="FF000000"/>
            <rFont val="Tahoma"/>
            <family val="2"/>
            <charset val="1"/>
          </rPr>
          <t>1G/2.5G/5G not supported</t>
        </r>
      </text>
    </comment>
    <comment ref="V5" authorId="0" shapeId="0" xr:uid="{00000000-0006-0000-0300-00000F000000}">
      <text>
        <r>
          <rPr>
            <sz val="11"/>
            <color rgb="FF000000"/>
            <rFont val="Calibri"/>
            <family val="2"/>
            <charset val="1"/>
          </rPr>
          <t xml:space="preserve">Colin Crowther:
</t>
        </r>
        <r>
          <rPr>
            <sz val="9"/>
            <color rgb="FF000000"/>
            <rFont val="Tahoma"/>
            <family val="2"/>
            <charset val="1"/>
          </rPr>
          <t>1G/2.5G/5G not supported</t>
        </r>
      </text>
    </comment>
    <comment ref="AG7" authorId="0" shapeId="0" xr:uid="{00000000-0006-0000-0300-000010000000}">
      <text>
        <r>
          <rPr>
            <b/>
            <sz val="9"/>
            <color rgb="FF000000"/>
            <rFont val="Tahoma"/>
            <family val="2"/>
            <charset val="1"/>
          </rPr>
          <t>Error in rules discovered. Ie510-28gsx sfp+ hardware is identical to x510 sfp+ hardware. Testing no longer needed for this test plan. Platform moved to x510.
Hb 2-7-2020</t>
        </r>
      </text>
    </comment>
    <comment ref="B17" authorId="1" shapeId="0" xr:uid="{13724409-A5E7-40E8-BDA5-79DF42AB3429}">
      <text>
        <r>
          <rPr>
            <b/>
            <sz val="9"/>
            <color indexed="81"/>
            <rFont val="Tahoma"/>
            <family val="2"/>
          </rPr>
          <t>Colin Crowther:</t>
        </r>
        <r>
          <rPr>
            <sz val="9"/>
            <color indexed="81"/>
            <rFont val="Tahoma"/>
            <family val="2"/>
          </rPr>
          <t xml:space="preserve">
This version is a sustaining one for Rev A (tested as X6)</t>
        </r>
      </text>
    </comment>
    <comment ref="B18" authorId="0" shapeId="0" xr:uid="{00000000-0006-0000-0300-000011000000}">
      <text>
        <r>
          <rPr>
            <sz val="11"/>
            <color rgb="FF000000"/>
            <rFont val="Calibri"/>
            <family val="2"/>
            <charset val="1"/>
          </rPr>
          <t xml:space="preserve">Colin Crowther:
</t>
        </r>
        <r>
          <rPr>
            <sz val="9"/>
            <color rgb="FF000000"/>
            <rFont val="Tahoma"/>
            <family val="2"/>
            <charset val="1"/>
          </rPr>
          <t xml:space="preserve">Testing was done on X1 but these have been replaced by X2 version.
X2 now have write protect on - not affecting test results. </t>
        </r>
      </text>
    </comment>
    <comment ref="C18" authorId="0" shapeId="0" xr:uid="{00000000-0006-0000-0300-000012000000}">
      <text>
        <r>
          <rPr>
            <sz val="11"/>
            <color rgb="FF000000"/>
            <rFont val="Calibri"/>
            <family val="2"/>
            <charset val="1"/>
          </rPr>
          <t xml:space="preserve">Colin Crowther:
</t>
        </r>
        <r>
          <rPr>
            <sz val="9"/>
            <color rgb="FF000000"/>
            <rFont val="Tahoma"/>
            <family val="2"/>
            <charset val="1"/>
          </rPr>
          <t xml:space="preserve">Testing was done on X1 but these have been replaced by X2 version.
X2 now have write protect on - not affecting test results. </t>
        </r>
      </text>
    </comment>
    <comment ref="S20" authorId="0" shapeId="0" xr:uid="{00000000-0006-0000-0300-000013000000}">
      <text>
        <r>
          <rPr>
            <sz val="11"/>
            <color rgb="FF000000"/>
            <rFont val="Calibri"/>
            <family val="2"/>
            <charset val="1"/>
          </rPr>
          <t xml:space="preserve">Jonathan Vogel:
</t>
        </r>
        <r>
          <rPr>
            <sz val="9"/>
            <color rgb="FF000000"/>
            <rFont val="Tahoma"/>
            <family val="2"/>
            <charset val="1"/>
          </rPr>
          <t>Dual Rate Supported</t>
        </r>
      </text>
    </comment>
    <comment ref="AH20" authorId="0" shapeId="0" xr:uid="{00000000-0006-0000-0300-000014000000}">
      <text>
        <r>
          <rPr>
            <sz val="11"/>
            <color rgb="FF000000"/>
            <rFont val="Calibri"/>
            <family val="2"/>
            <charset val="1"/>
          </rPr>
          <t xml:space="preserve">Jonathan Vogel:
</t>
        </r>
        <r>
          <rPr>
            <sz val="8"/>
            <color rgb="FF000000"/>
            <rFont val="Tahoma"/>
            <family val="2"/>
            <charset val="1"/>
          </rPr>
          <t>Dual Rate Supported</t>
        </r>
      </text>
    </comment>
    <comment ref="AH21" authorId="0" shapeId="0" xr:uid="{00000000-0006-0000-0300-000015000000}">
      <text>
        <r>
          <rPr>
            <sz val="11"/>
            <color rgb="FF000000"/>
            <rFont val="Calibri"/>
            <family val="2"/>
            <charset val="1"/>
          </rPr>
          <t xml:space="preserve">Jonathan Vogel:
</t>
        </r>
        <r>
          <rPr>
            <sz val="9"/>
            <color rgb="FF000000"/>
            <rFont val="Tahoma"/>
            <family val="2"/>
            <charset val="1"/>
          </rPr>
          <t>Dual Rate Supported</t>
        </r>
      </text>
    </comment>
    <comment ref="AD22" authorId="0" shapeId="0" xr:uid="{00000000-0006-0000-0300-000016000000}">
      <text>
        <r>
          <rPr>
            <sz val="11"/>
            <color rgb="FF000000"/>
            <rFont val="Calibri"/>
            <family val="2"/>
            <charset val="1"/>
          </rPr>
          <t xml:space="preserve">Colin Crowther:
</t>
        </r>
        <r>
          <rPr>
            <sz val="9"/>
            <color rgb="FF000000"/>
            <rFont val="Tahoma"/>
            <family val="2"/>
            <charset val="1"/>
          </rPr>
          <t>Although not supported ( superceded by Rev-G) 
the tests passed on the latest main build ( main-20190408-1)
 - support for CFC960 v2 not then in a GA build.</t>
        </r>
      </text>
    </comment>
    <comment ref="B31" authorId="0" shapeId="0" xr:uid="{00000000-0006-0000-0300-000017000000}">
      <text>
        <r>
          <rPr>
            <sz val="11"/>
            <color rgb="FF000000"/>
            <rFont val="Calibri"/>
            <family val="2"/>
            <charset val="1"/>
          </rPr>
          <t xml:space="preserve">Colin Crowther:
</t>
        </r>
        <r>
          <rPr>
            <sz val="9"/>
            <color rgb="FF000000"/>
            <rFont val="Tahoma"/>
            <family val="2"/>
            <charset val="1"/>
          </rPr>
          <t>Ver B1 is a sample of what will become ver C</t>
        </r>
      </text>
    </comment>
    <comment ref="C31" authorId="0" shapeId="0" xr:uid="{00000000-0006-0000-0300-000018000000}">
      <text>
        <r>
          <rPr>
            <sz val="11"/>
            <color rgb="FF000000"/>
            <rFont val="Calibri"/>
            <family val="2"/>
            <charset val="1"/>
          </rPr>
          <t xml:space="preserve">Colin Crowther:
</t>
        </r>
        <r>
          <rPr>
            <sz val="9"/>
            <color rgb="FF000000"/>
            <rFont val="Tahoma"/>
            <family val="2"/>
            <charset val="1"/>
          </rPr>
          <t>Ver B1 is a sample of what will become ver C</t>
        </r>
      </text>
    </comment>
    <comment ref="A32" authorId="0" shapeId="0" xr:uid="{00000000-0006-0000-0300-000019000000}">
      <text>
        <r>
          <rPr>
            <sz val="11"/>
            <color rgb="FF000000"/>
            <rFont val="Calibri"/>
            <family val="2"/>
            <charset val="1"/>
          </rPr>
          <t xml:space="preserve">Colin Crowther:
</t>
        </r>
        <r>
          <rPr>
            <sz val="9"/>
            <color rgb="FF000000"/>
            <rFont val="Tahoma"/>
            <family val="2"/>
            <charset val="1"/>
          </rPr>
          <t xml:space="preserve"> (1G 2.5G 5G 10G)
</t>
        </r>
      </text>
    </comment>
    <comment ref="A33" authorId="0" shapeId="0" xr:uid="{4DACE1E9-A887-49C9-8A49-F61847AE5FCF}">
      <text>
        <r>
          <rPr>
            <sz val="11"/>
            <color rgb="FF000000"/>
            <rFont val="Calibri"/>
            <family val="2"/>
            <charset val="1"/>
          </rPr>
          <t xml:space="preserve">Colin Crowther:
</t>
        </r>
        <r>
          <rPr>
            <sz val="9"/>
            <color rgb="FF000000"/>
            <rFont val="Tahoma"/>
            <family val="2"/>
            <charset val="1"/>
          </rPr>
          <t xml:space="preserve"> (1G 2.5G 5G 10G)
MP unit replaced X3 unit</t>
        </r>
      </text>
    </comment>
    <comment ref="A35" authorId="1" shapeId="0" xr:uid="{00000000-0006-0000-0300-00001B000000}">
      <text>
        <r>
          <rPr>
            <b/>
            <sz val="9"/>
            <color indexed="81"/>
            <rFont val="Tahoma"/>
            <family val="2"/>
          </rPr>
          <t>Colin Crowther:</t>
        </r>
        <r>
          <rPr>
            <sz val="9"/>
            <color indexed="81"/>
            <rFont val="Tahoma"/>
            <family val="2"/>
          </rPr>
          <t xml:space="preserve">
Early version (B) Device name was 2127931-2
Later version (H) was                  1-2127931-2
These are functionally the sames  as StackXS/1.0 ver D (2159124-2)
</t>
        </r>
      </text>
    </comment>
    <comment ref="A36" authorId="1" shapeId="0" xr:uid="{00000000-0006-0000-0300-00001C000000}">
      <text>
        <r>
          <rPr>
            <b/>
            <sz val="9"/>
            <color indexed="81"/>
            <rFont val="Tahoma"/>
            <family val="2"/>
          </rPr>
          <t>Colin Crowther:</t>
        </r>
        <r>
          <rPr>
            <sz val="9"/>
            <color indexed="81"/>
            <rFont val="Tahoma"/>
            <family val="2"/>
          </rPr>
          <t xml:space="preserve">
Early version (B) Device name was 2127931-4   datecode 11072500
Later version (H) was                  1-2127931-4   datecode 20060900
These are functionally the sames  as StackXS/3.0 ver D (2159124-4)
Now seeing version (J)               2821222-1      datecode 22060800 
</t>
        </r>
      </text>
    </comment>
    <comment ref="A37" authorId="1" shapeId="0" xr:uid="{00000000-0006-0000-0300-00001D000000}">
      <text>
        <r>
          <rPr>
            <b/>
            <sz val="9"/>
            <color indexed="81"/>
            <rFont val="Tahoma"/>
            <family val="2"/>
          </rPr>
          <t>Colin Crowther:</t>
        </r>
        <r>
          <rPr>
            <sz val="9"/>
            <color indexed="81"/>
            <rFont val="Tahoma"/>
            <family val="2"/>
          </rPr>
          <t xml:space="preserve">
Early version (B) Device name was 2127931-4   datecode 11072500
Later version (H) was                  1-2127931-4   datecode 20060900
These are functionally the sames  as StackXS/3.0 ver D (2159124-4)
Now seeing version (J)               2821222-1      datecode 22060800 </t>
        </r>
      </text>
    </comment>
    <comment ref="A39" authorId="1" shapeId="0" xr:uid="{0F4E5093-69BF-45E3-A797-F1CD1AFB36AA}">
      <text>
        <r>
          <rPr>
            <b/>
            <sz val="9"/>
            <color indexed="81"/>
            <rFont val="Tahoma"/>
            <family val="2"/>
          </rPr>
          <t>Colin Crowther:</t>
        </r>
        <r>
          <rPr>
            <sz val="9"/>
            <color indexed="81"/>
            <rFont val="Tahoma"/>
            <family val="2"/>
          </rPr>
          <t xml:space="preserve">
A sample of this cable only found/obtained for qualification unit   Nov 2024 
( Was bought intially for halt PO-01483 july 2022)</t>
        </r>
      </text>
    </comment>
    <comment ref="K40" authorId="0" shapeId="0" xr:uid="{00000000-0006-0000-0300-00001E000000}">
      <text>
        <r>
          <rPr>
            <sz val="11"/>
            <color rgb="FF000000"/>
            <rFont val="Calibri"/>
            <family val="2"/>
            <charset val="1"/>
          </rPr>
          <t xml:space="preserve">Colin Crowther:
</t>
        </r>
        <r>
          <rPr>
            <sz val="9"/>
            <color rgb="FF000000"/>
            <rFont val="Tahoma"/>
            <family val="2"/>
            <charset val="1"/>
          </rPr>
          <t>Not required for one off testing 
 for ATKK</t>
        </r>
      </text>
    </comment>
    <comment ref="AA40" authorId="0" shapeId="0" xr:uid="{00000000-0006-0000-0300-00001F000000}">
      <text>
        <r>
          <rPr>
            <sz val="11"/>
            <color rgb="FF000000"/>
            <rFont val="Calibri"/>
            <family val="2"/>
            <charset val="1"/>
          </rPr>
          <t xml:space="preserve">Colin Crowther:
</t>
        </r>
        <r>
          <rPr>
            <sz val="9"/>
            <color rgb="FF000000"/>
            <rFont val="Tahoma"/>
            <family val="2"/>
            <charset val="1"/>
          </rPr>
          <t>Not required for one off testing 
 for ATKK</t>
        </r>
      </text>
    </comment>
    <comment ref="AF40" authorId="0" shapeId="0" xr:uid="{00000000-0006-0000-0300-000020000000}">
      <text>
        <r>
          <rPr>
            <sz val="11"/>
            <color rgb="FF000000"/>
            <rFont val="Calibri"/>
            <family val="2"/>
            <charset val="1"/>
          </rPr>
          <t xml:space="preserve">Colin Crowther:
</t>
        </r>
        <r>
          <rPr>
            <sz val="9"/>
            <color rgb="FF000000"/>
            <rFont val="Tahoma"/>
            <family val="2"/>
            <charset val="1"/>
          </rPr>
          <t>Not required for one test for ATKK</t>
        </r>
      </text>
    </comment>
    <comment ref="AG40" authorId="0" shapeId="0" xr:uid="{00000000-0006-0000-0300-000021000000}">
      <text>
        <r>
          <rPr>
            <sz val="11"/>
            <color rgb="FF000000"/>
            <rFont val="Calibri"/>
            <family val="2"/>
            <charset val="1"/>
          </rPr>
          <t xml:space="preserve">Colin Crowther:
</t>
        </r>
        <r>
          <rPr>
            <sz val="9"/>
            <color rgb="FF000000"/>
            <rFont val="Tahoma"/>
            <family val="2"/>
            <charset val="1"/>
          </rPr>
          <t>Not required for one test for ATKK</t>
        </r>
      </text>
    </comment>
    <comment ref="AI40" authorId="0" shapeId="0" xr:uid="{00000000-0006-0000-0300-000022000000}">
      <text>
        <r>
          <rPr>
            <sz val="11"/>
            <color rgb="FF000000"/>
            <rFont val="Calibri"/>
            <family val="2"/>
            <charset val="1"/>
          </rPr>
          <t xml:space="preserve">Colin Crowther:
</t>
        </r>
        <r>
          <rPr>
            <sz val="9"/>
            <color rgb="FF000000"/>
            <rFont val="Tahoma"/>
            <family val="2"/>
            <charset val="1"/>
          </rPr>
          <t>Not required for one test for ATKK</t>
        </r>
      </text>
    </comment>
    <comment ref="AJ40" authorId="0" shapeId="0" xr:uid="{00000000-0006-0000-0300-000023000000}">
      <text>
        <r>
          <rPr>
            <sz val="11"/>
            <color rgb="FF000000"/>
            <rFont val="Calibri"/>
            <family val="2"/>
            <charset val="1"/>
          </rPr>
          <t xml:space="preserve">Colin Crowther:
</t>
        </r>
        <r>
          <rPr>
            <sz val="9"/>
            <color rgb="FF000000"/>
            <rFont val="Tahoma"/>
            <family val="2"/>
            <charset val="1"/>
          </rPr>
          <t>Not required for one test for ATKK</t>
        </r>
      </text>
    </comment>
    <comment ref="AK40" authorId="0" shapeId="0" xr:uid="{00000000-0006-0000-0300-000024000000}">
      <text>
        <r>
          <rPr>
            <sz val="11"/>
            <color rgb="FF000000"/>
            <rFont val="Calibri"/>
            <family val="2"/>
            <charset val="1"/>
          </rPr>
          <t xml:space="preserve">Colin Crowther:
</t>
        </r>
        <r>
          <rPr>
            <sz val="9"/>
            <color rgb="FF000000"/>
            <rFont val="Tahoma"/>
            <family val="2"/>
            <charset val="1"/>
          </rPr>
          <t>Not required for one test for ATKK</t>
        </r>
      </text>
    </comment>
    <comment ref="AL40" authorId="0" shapeId="0" xr:uid="{00000000-0006-0000-0300-000025000000}">
      <text>
        <r>
          <rPr>
            <sz val="11"/>
            <color rgb="FF000000"/>
            <rFont val="Calibri"/>
            <family val="2"/>
            <charset val="1"/>
          </rPr>
          <t xml:space="preserve">Colin Crowther:
</t>
        </r>
        <r>
          <rPr>
            <sz val="9"/>
            <color rgb="FF000000"/>
            <rFont val="Tahoma"/>
            <family val="2"/>
            <charset val="1"/>
          </rPr>
          <t>Not required for one test for ATKK</t>
        </r>
      </text>
    </comment>
    <comment ref="AM40" authorId="0" shapeId="0" xr:uid="{00000000-0006-0000-0300-000026000000}">
      <text>
        <r>
          <rPr>
            <sz val="11"/>
            <color rgb="FF000000"/>
            <rFont val="Calibri"/>
            <family val="2"/>
            <charset val="1"/>
          </rPr>
          <t xml:space="preserve">Colin Crowther:
</t>
        </r>
        <r>
          <rPr>
            <sz val="9"/>
            <color rgb="FF000000"/>
            <rFont val="Tahoma"/>
            <family val="2"/>
            <charset val="1"/>
          </rPr>
          <t>Not required for one test for ATKK</t>
        </r>
      </text>
    </comment>
    <comment ref="S42" authorId="0" shapeId="0" xr:uid="{00000000-0006-0000-0300-000027000000}">
      <text>
        <r>
          <rPr>
            <sz val="11"/>
            <color rgb="FF000000"/>
            <rFont val="Calibri"/>
            <family val="2"/>
            <charset val="1"/>
          </rPr>
          <t xml:space="preserve">Jonathan Vogel:
</t>
        </r>
        <r>
          <rPr>
            <sz val="9"/>
            <color rgb="FF000000"/>
            <rFont val="Tahoma"/>
            <family val="2"/>
            <charset val="1"/>
          </rPr>
          <t>Dual Rate Supported</t>
        </r>
      </text>
    </comment>
    <comment ref="AH42" authorId="0" shapeId="0" xr:uid="{00000000-0006-0000-0300-000028000000}">
      <text>
        <r>
          <rPr>
            <sz val="11"/>
            <color rgb="FF000000"/>
            <rFont val="Calibri"/>
            <family val="2"/>
            <charset val="1"/>
          </rPr>
          <t xml:space="preserve">Jonathan Vogel:
</t>
        </r>
        <r>
          <rPr>
            <sz val="8"/>
            <color rgb="FF000000"/>
            <rFont val="Tahoma"/>
            <family val="2"/>
            <charset val="1"/>
          </rPr>
          <t>Dual Rate Supported</t>
        </r>
      </text>
    </comment>
    <comment ref="T43" authorId="0" shapeId="0" xr:uid="{00000000-0006-0000-0300-000029000000}">
      <text>
        <r>
          <rPr>
            <sz val="11"/>
            <color rgb="FF000000"/>
            <rFont val="Calibri"/>
            <family val="2"/>
            <charset val="1"/>
          </rPr>
          <t xml:space="preserve">Colin Crowther:
</t>
        </r>
        <r>
          <rPr>
            <sz val="9"/>
            <color rgb="FF000000"/>
            <rFont val="Tahoma"/>
            <family val="2"/>
            <charset val="1"/>
          </rPr>
          <t>Not in PRD</t>
        </r>
      </text>
    </comment>
    <comment ref="U43" authorId="0" shapeId="0" xr:uid="{00000000-0006-0000-0300-00002A000000}">
      <text>
        <r>
          <rPr>
            <sz val="11"/>
            <color rgb="FF000000"/>
            <rFont val="Calibri"/>
            <family val="2"/>
            <charset val="1"/>
          </rPr>
          <t xml:space="preserve">Colin Crowther:
</t>
        </r>
        <r>
          <rPr>
            <sz val="9"/>
            <color rgb="FF000000"/>
            <rFont val="Tahoma"/>
            <family val="2"/>
            <charset val="1"/>
          </rPr>
          <t>Not in PRD</t>
        </r>
      </text>
    </comment>
    <comment ref="AH44" authorId="0" shapeId="0" xr:uid="{00000000-0006-0000-0300-00002B000000}">
      <text>
        <r>
          <rPr>
            <sz val="11"/>
            <color rgb="FF000000"/>
            <rFont val="Calibri"/>
            <family val="2"/>
            <charset val="1"/>
          </rPr>
          <t xml:space="preserve">Jonathan Vogel:
</t>
        </r>
        <r>
          <rPr>
            <sz val="8"/>
            <color rgb="FF000000"/>
            <rFont val="Tahoma"/>
            <family val="2"/>
            <charset val="1"/>
          </rPr>
          <t>Dual Rate Supported</t>
        </r>
      </text>
    </comment>
    <comment ref="S45" authorId="0" shapeId="0" xr:uid="{00000000-0006-0000-0300-00002C000000}">
      <text>
        <r>
          <rPr>
            <sz val="11"/>
            <color rgb="FF000000"/>
            <rFont val="Calibri"/>
            <family val="2"/>
            <charset val="1"/>
          </rPr>
          <t xml:space="preserve">Jonathan Vogel:
</t>
        </r>
        <r>
          <rPr>
            <sz val="9"/>
            <color rgb="FF000000"/>
            <rFont val="Tahoma"/>
            <family val="2"/>
            <charset val="1"/>
          </rPr>
          <t>Dual Rate Supported</t>
        </r>
      </text>
    </comment>
    <comment ref="AH45" authorId="0" shapeId="0" xr:uid="{00000000-0006-0000-0300-00002D000000}">
      <text>
        <r>
          <rPr>
            <sz val="11"/>
            <color rgb="FF000000"/>
            <rFont val="Calibri"/>
            <family val="2"/>
            <charset val="1"/>
          </rPr>
          <t xml:space="preserve">Jonathan Vogel:
</t>
        </r>
        <r>
          <rPr>
            <sz val="8"/>
            <color rgb="FF000000"/>
            <rFont val="Tahoma"/>
            <family val="2"/>
            <charset val="1"/>
          </rPr>
          <t>Dual Rate Supported</t>
        </r>
      </text>
    </comment>
    <comment ref="S47" authorId="0" shapeId="0" xr:uid="{00000000-0006-0000-0300-00002E000000}">
      <text>
        <r>
          <rPr>
            <sz val="11"/>
            <color rgb="FF000000"/>
            <rFont val="Calibri"/>
            <family val="2"/>
            <charset val="1"/>
          </rPr>
          <t xml:space="preserve">Jonathan Vogel:
</t>
        </r>
        <r>
          <rPr>
            <sz val="9"/>
            <color rgb="FF000000"/>
            <rFont val="Tahoma"/>
            <family val="2"/>
            <charset val="1"/>
          </rPr>
          <t>Dual Rate Supported</t>
        </r>
      </text>
    </comment>
    <comment ref="AH47" authorId="0" shapeId="0" xr:uid="{00000000-0006-0000-0300-00002F000000}">
      <text>
        <r>
          <rPr>
            <sz val="11"/>
            <color rgb="FF000000"/>
            <rFont val="Calibri"/>
            <family val="2"/>
            <charset val="1"/>
          </rPr>
          <t xml:space="preserve">Jonathan Vogel:
</t>
        </r>
        <r>
          <rPr>
            <sz val="9"/>
            <color rgb="FF000000"/>
            <rFont val="Tahoma"/>
            <family val="2"/>
            <charset val="1"/>
          </rPr>
          <t>Dual Rate Supported</t>
        </r>
      </text>
    </comment>
    <comment ref="U49" authorId="0" shapeId="0" xr:uid="{00000000-0006-0000-0300-000030000000}">
      <text>
        <r>
          <rPr>
            <sz val="11"/>
            <color rgb="FF000000"/>
            <rFont val="Calibri"/>
            <family val="2"/>
            <charset val="1"/>
          </rPr>
          <t xml:space="preserve">Colin Crowther:
</t>
        </r>
        <r>
          <rPr>
            <sz val="9"/>
            <color rgb="FF000000"/>
            <rFont val="Tahoma"/>
            <family val="2"/>
            <charset val="1"/>
          </rPr>
          <t>CR50150 works ok except reports itself as 'unknown'</t>
        </r>
      </text>
    </comment>
    <comment ref="AJ50" authorId="0" shapeId="0" xr:uid="{00000000-0006-0000-0300-000031000000}">
      <text>
        <r>
          <rPr>
            <sz val="11"/>
            <color rgb="FF000000"/>
            <rFont val="Calibri"/>
            <family val="2"/>
            <charset val="1"/>
          </rPr>
          <t xml:space="preserve">karenm:
</t>
        </r>
        <r>
          <rPr>
            <sz val="8"/>
            <color rgb="FF000000"/>
            <rFont val="Tahoma"/>
            <family val="2"/>
            <charset val="1"/>
          </rPr>
          <t xml:space="preserve">Bad EEPROM after hotswap XEM-2XS Issue
</t>
        </r>
      </text>
    </comment>
    <comment ref="AH57" authorId="0" shapeId="0" xr:uid="{00000000-0006-0000-0300-000032000000}">
      <text>
        <r>
          <rPr>
            <sz val="11"/>
            <color rgb="FF000000"/>
            <rFont val="Calibri"/>
            <family val="2"/>
            <charset val="1"/>
          </rPr>
          <t xml:space="preserve">Jonathan Vogel:
</t>
        </r>
        <r>
          <rPr>
            <sz val="8"/>
            <color rgb="FF000000"/>
            <rFont val="Tahoma"/>
            <family val="2"/>
            <charset val="1"/>
          </rPr>
          <t>Dual Rate Supported</t>
        </r>
      </text>
    </comment>
    <comment ref="AJ58" authorId="0" shapeId="0" xr:uid="{00000000-0006-0000-0300-000033000000}">
      <text>
        <r>
          <rPr>
            <sz val="11"/>
            <color rgb="FF000000"/>
            <rFont val="Calibri"/>
            <family val="2"/>
            <charset val="1"/>
          </rPr>
          <t>matthewh:
Uprev'ed due to EMC fingers having been changed.  No re-qualification required, inherrit results from Rev A.</t>
        </r>
      </text>
    </comment>
    <comment ref="AL58" authorId="0" shapeId="0" xr:uid="{00000000-0006-0000-0300-000034000000}">
      <text>
        <r>
          <rPr>
            <sz val="11"/>
            <color rgb="FF000000"/>
            <rFont val="Calibri"/>
            <family val="2"/>
            <charset val="1"/>
          </rPr>
          <t>matthewh:
Uprev'ed due to EMC fingers having been changed.  No re-qualification required, inherrit results from Rev A.</t>
        </r>
      </text>
    </comment>
    <comment ref="AM58" authorId="0" shapeId="0" xr:uid="{00000000-0006-0000-0300-000035000000}">
      <text>
        <r>
          <rPr>
            <sz val="11"/>
            <color rgb="FF000000"/>
            <rFont val="Calibri"/>
            <family val="2"/>
            <charset val="1"/>
          </rPr>
          <t>matthewh:
Uprev'ed due to EMC fingers having been changed.  No re-qualification required, inherrit results from Rev A.</t>
        </r>
      </text>
    </comment>
    <comment ref="S59" authorId="0" shapeId="0" xr:uid="{00000000-0006-0000-0300-000036000000}">
      <text>
        <r>
          <rPr>
            <sz val="11"/>
            <color rgb="FF000000"/>
            <rFont val="Calibri"/>
            <family val="2"/>
            <charset val="1"/>
          </rPr>
          <t xml:space="preserve">Jonathan Vogel:
</t>
        </r>
        <r>
          <rPr>
            <sz val="9"/>
            <color rgb="FF000000"/>
            <rFont val="Tahoma"/>
            <family val="2"/>
            <charset val="1"/>
          </rPr>
          <t>Dual Rate Supported</t>
        </r>
      </text>
    </comment>
    <comment ref="AH59" authorId="0" shapeId="0" xr:uid="{00000000-0006-0000-0300-000037000000}">
      <text>
        <r>
          <rPr>
            <sz val="11"/>
            <color rgb="FF000000"/>
            <rFont val="Calibri"/>
            <family val="2"/>
            <charset val="1"/>
          </rPr>
          <t xml:space="preserve">Jonathan Vogel:
</t>
        </r>
        <r>
          <rPr>
            <sz val="9"/>
            <color rgb="FF000000"/>
            <rFont val="Tahoma"/>
            <family val="2"/>
            <charset val="1"/>
          </rPr>
          <t>Dual Rate Supported</t>
        </r>
      </text>
    </comment>
    <comment ref="E62" authorId="0" shapeId="0" xr:uid="{00000000-0006-0000-0300-000038000000}">
      <text>
        <r>
          <rPr>
            <sz val="11"/>
            <color rgb="FF000000"/>
            <rFont val="Calibri"/>
            <family val="2"/>
            <charset val="1"/>
          </rPr>
          <t xml:space="preserve">Colin Crowther:
</t>
        </r>
        <r>
          <rPr>
            <sz val="9"/>
            <color rgb="FF000000"/>
            <rFont val="Tahoma"/>
            <family val="2"/>
            <charset val="1"/>
          </rPr>
          <t>Not required for one test for ATKK</t>
        </r>
      </text>
    </comment>
    <comment ref="I62" authorId="0" shapeId="0" xr:uid="{00000000-0006-0000-0300-000039000000}">
      <text>
        <r>
          <rPr>
            <sz val="11"/>
            <color rgb="FF000000"/>
            <rFont val="Calibri"/>
            <family val="2"/>
            <charset val="1"/>
          </rPr>
          <t xml:space="preserve">Colin Crowther:
</t>
        </r>
        <r>
          <rPr>
            <sz val="9"/>
            <color rgb="FF000000"/>
            <rFont val="Tahoma"/>
            <family val="2"/>
            <charset val="1"/>
          </rPr>
          <t>Not required for one test for ATKK</t>
        </r>
      </text>
    </comment>
    <comment ref="J62" authorId="0" shapeId="0" xr:uid="{00000000-0006-0000-0300-00003A000000}">
      <text>
        <r>
          <rPr>
            <sz val="11"/>
            <color rgb="FF000000"/>
            <rFont val="Calibri"/>
            <family val="2"/>
            <charset val="1"/>
          </rPr>
          <t xml:space="preserve">Colin Crowther:
</t>
        </r>
        <r>
          <rPr>
            <sz val="9"/>
            <color rgb="FF000000"/>
            <rFont val="Tahoma"/>
            <family val="2"/>
            <charset val="1"/>
          </rPr>
          <t>Not required for one test for ATKK</t>
        </r>
      </text>
    </comment>
    <comment ref="K62" authorId="0" shapeId="0" xr:uid="{00000000-0006-0000-0300-00003B000000}">
      <text>
        <r>
          <rPr>
            <sz val="11"/>
            <color rgb="FF000000"/>
            <rFont val="Calibri"/>
            <family val="2"/>
            <charset val="1"/>
          </rPr>
          <t xml:space="preserve">Colin Crowther:
</t>
        </r>
        <r>
          <rPr>
            <sz val="9"/>
            <color rgb="FF000000"/>
            <rFont val="Tahoma"/>
            <family val="2"/>
            <charset val="1"/>
          </rPr>
          <t>Not required for one test for ATKK</t>
        </r>
      </text>
    </comment>
    <comment ref="L62" authorId="0" shapeId="0" xr:uid="{00000000-0006-0000-0300-00003C000000}">
      <text>
        <r>
          <rPr>
            <sz val="11"/>
            <color rgb="FF000000"/>
            <rFont val="Calibri"/>
            <family val="2"/>
            <charset val="1"/>
          </rPr>
          <t xml:space="preserve">Colin Crowther:
</t>
        </r>
        <r>
          <rPr>
            <sz val="9"/>
            <color rgb="FF000000"/>
            <rFont val="Tahoma"/>
            <family val="2"/>
            <charset val="1"/>
          </rPr>
          <t>Not required for one test for ATKK</t>
        </r>
      </text>
    </comment>
    <comment ref="M62" authorId="0" shapeId="0" xr:uid="{00000000-0006-0000-0300-00003D000000}">
      <text>
        <r>
          <rPr>
            <sz val="11"/>
            <color rgb="FF000000"/>
            <rFont val="Calibri"/>
            <family val="2"/>
            <charset val="1"/>
          </rPr>
          <t xml:space="preserve">Colin Crowther:
</t>
        </r>
        <r>
          <rPr>
            <sz val="9"/>
            <color rgb="FF000000"/>
            <rFont val="Tahoma"/>
            <family val="2"/>
            <charset val="1"/>
          </rPr>
          <t>Not required for one test for ATKK</t>
        </r>
      </text>
    </comment>
    <comment ref="O62" authorId="0" shapeId="0" xr:uid="{00000000-0006-0000-0300-00003E000000}">
      <text>
        <r>
          <rPr>
            <sz val="11"/>
            <color rgb="FF000000"/>
            <rFont val="Calibri"/>
            <family val="2"/>
            <charset val="1"/>
          </rPr>
          <t xml:space="preserve">Colin Crowther:
</t>
        </r>
        <r>
          <rPr>
            <sz val="9"/>
            <color rgb="FF000000"/>
            <rFont val="Tahoma"/>
            <family val="2"/>
            <charset val="1"/>
          </rPr>
          <t>Not required for one test for ATKK</t>
        </r>
      </text>
    </comment>
    <comment ref="P62" authorId="0" shapeId="0" xr:uid="{00000000-0006-0000-0300-00003F000000}">
      <text>
        <r>
          <rPr>
            <sz val="11"/>
            <color rgb="FF000000"/>
            <rFont val="Calibri"/>
            <family val="2"/>
            <charset val="1"/>
          </rPr>
          <t xml:space="preserve">Colin Crowther:
</t>
        </r>
        <r>
          <rPr>
            <sz val="9"/>
            <color rgb="FF000000"/>
            <rFont val="Tahoma"/>
            <family val="2"/>
            <charset val="1"/>
          </rPr>
          <t>Not required for one test for ATKK</t>
        </r>
      </text>
    </comment>
    <comment ref="Q62" authorId="0" shapeId="0" xr:uid="{00000000-0006-0000-0300-000040000000}">
      <text>
        <r>
          <rPr>
            <sz val="11"/>
            <color rgb="FF000000"/>
            <rFont val="Calibri"/>
            <family val="2"/>
            <charset val="1"/>
          </rPr>
          <t xml:space="preserve">Colin Crowther:
</t>
        </r>
        <r>
          <rPr>
            <sz val="9"/>
            <color rgb="FF000000"/>
            <rFont val="Tahoma"/>
            <family val="2"/>
            <charset val="1"/>
          </rPr>
          <t>Not required for one test for ATKK</t>
        </r>
      </text>
    </comment>
    <comment ref="S62" authorId="0" shapeId="0" xr:uid="{00000000-0006-0000-0300-000041000000}">
      <text>
        <r>
          <rPr>
            <sz val="11"/>
            <color rgb="FF000000"/>
            <rFont val="Calibri"/>
            <family val="2"/>
            <charset val="1"/>
          </rPr>
          <t xml:space="preserve">Colin Crowther:
</t>
        </r>
        <r>
          <rPr>
            <sz val="9"/>
            <color rgb="FF000000"/>
            <rFont val="Tahoma"/>
            <family val="2"/>
            <charset val="1"/>
          </rPr>
          <t>Not required for one test for ATKK</t>
        </r>
      </text>
    </comment>
    <comment ref="Z62" authorId="0" shapeId="0" xr:uid="{00000000-0006-0000-0300-000042000000}">
      <text>
        <r>
          <rPr>
            <sz val="11"/>
            <color rgb="FF000000"/>
            <rFont val="Calibri"/>
            <family val="2"/>
            <charset val="1"/>
          </rPr>
          <t xml:space="preserve">Colin Crowther:
</t>
        </r>
        <r>
          <rPr>
            <sz val="9"/>
            <color rgb="FF000000"/>
            <rFont val="Tahoma"/>
            <family val="2"/>
            <charset val="1"/>
          </rPr>
          <t>Not required for one test for ATKK</t>
        </r>
      </text>
    </comment>
    <comment ref="AA62" authorId="0" shapeId="0" xr:uid="{00000000-0006-0000-0300-000043000000}">
      <text>
        <r>
          <rPr>
            <sz val="11"/>
            <color rgb="FF000000"/>
            <rFont val="Calibri"/>
            <family val="2"/>
            <charset val="1"/>
          </rPr>
          <t xml:space="preserve">Colin Crowther:
</t>
        </r>
        <r>
          <rPr>
            <sz val="9"/>
            <color rgb="FF000000"/>
            <rFont val="Tahoma"/>
            <family val="2"/>
            <charset val="1"/>
          </rPr>
          <t>Not required for one test for ATKK</t>
        </r>
      </text>
    </comment>
    <comment ref="AB62" authorId="0" shapeId="0" xr:uid="{00000000-0006-0000-0300-000044000000}">
      <text>
        <r>
          <rPr>
            <sz val="11"/>
            <color rgb="FF000000"/>
            <rFont val="Calibri"/>
            <family val="2"/>
            <charset val="1"/>
          </rPr>
          <t xml:space="preserve">Colin Crowther:
</t>
        </r>
        <r>
          <rPr>
            <sz val="9"/>
            <color rgb="FF000000"/>
            <rFont val="Tahoma"/>
            <family val="2"/>
            <charset val="1"/>
          </rPr>
          <t>Not required for one test for ATKK</t>
        </r>
      </text>
    </comment>
    <comment ref="AC62" authorId="0" shapeId="0" xr:uid="{00000000-0006-0000-0300-000045000000}">
      <text>
        <r>
          <rPr>
            <sz val="11"/>
            <color rgb="FF000000"/>
            <rFont val="Calibri"/>
            <family val="2"/>
            <charset val="1"/>
          </rPr>
          <t xml:space="preserve">Colin Crowther:
</t>
        </r>
        <r>
          <rPr>
            <sz val="9"/>
            <color rgb="FF000000"/>
            <rFont val="Tahoma"/>
            <family val="2"/>
            <charset val="1"/>
          </rPr>
          <t>Not required for one test for ATKK</t>
        </r>
      </text>
    </comment>
    <comment ref="AD62" authorId="0" shapeId="0" xr:uid="{00000000-0006-0000-0300-000046000000}">
      <text>
        <r>
          <rPr>
            <sz val="11"/>
            <color rgb="FF000000"/>
            <rFont val="Calibri"/>
            <family val="2"/>
            <charset val="1"/>
          </rPr>
          <t xml:space="preserve">Colin Crowther:
</t>
        </r>
        <r>
          <rPr>
            <sz val="9"/>
            <color rgb="FF000000"/>
            <rFont val="Tahoma"/>
            <family val="2"/>
            <charset val="1"/>
          </rPr>
          <t>Not required for one test for ATKK</t>
        </r>
      </text>
    </comment>
    <comment ref="AF62" authorId="0" shapeId="0" xr:uid="{00000000-0006-0000-0300-000047000000}">
      <text>
        <r>
          <rPr>
            <sz val="11"/>
            <color rgb="FF000000"/>
            <rFont val="Calibri"/>
            <family val="2"/>
            <charset val="1"/>
          </rPr>
          <t xml:space="preserve">Colin Crowther:
</t>
        </r>
        <r>
          <rPr>
            <sz val="9"/>
            <color rgb="FF000000"/>
            <rFont val="Tahoma"/>
            <family val="2"/>
            <charset val="1"/>
          </rPr>
          <t>Not required for one test for ATKK</t>
        </r>
      </text>
    </comment>
    <comment ref="AG62" authorId="0" shapeId="0" xr:uid="{00000000-0006-0000-0300-000048000000}">
      <text>
        <r>
          <rPr>
            <sz val="11"/>
            <color rgb="FF000000"/>
            <rFont val="Calibri"/>
            <family val="2"/>
            <charset val="1"/>
          </rPr>
          <t xml:space="preserve">Colin Crowther:
</t>
        </r>
        <r>
          <rPr>
            <sz val="9"/>
            <color rgb="FF000000"/>
            <rFont val="Tahoma"/>
            <family val="2"/>
            <charset val="1"/>
          </rPr>
          <t>Not required for one test for ATKK</t>
        </r>
      </text>
    </comment>
    <comment ref="AH62" authorId="0" shapeId="0" xr:uid="{00000000-0006-0000-0300-000049000000}">
      <text>
        <r>
          <rPr>
            <sz val="11"/>
            <color rgb="FF000000"/>
            <rFont val="Calibri"/>
            <family val="2"/>
            <charset val="1"/>
          </rPr>
          <t xml:space="preserve">Colin Crowther:
</t>
        </r>
        <r>
          <rPr>
            <sz val="9"/>
            <color rgb="FF000000"/>
            <rFont val="Tahoma"/>
            <family val="2"/>
            <charset val="1"/>
          </rPr>
          <t>Not required for one test for ATKK</t>
        </r>
      </text>
    </comment>
    <comment ref="AI62" authorId="0" shapeId="0" xr:uid="{00000000-0006-0000-0300-00004A000000}">
      <text>
        <r>
          <rPr>
            <sz val="11"/>
            <color rgb="FF000000"/>
            <rFont val="Calibri"/>
            <family val="2"/>
            <charset val="1"/>
          </rPr>
          <t xml:space="preserve">Colin Crowther:
</t>
        </r>
        <r>
          <rPr>
            <sz val="9"/>
            <color rgb="FF000000"/>
            <rFont val="Tahoma"/>
            <family val="2"/>
            <charset val="1"/>
          </rPr>
          <t>Not required for one test for ATKK</t>
        </r>
      </text>
    </comment>
    <comment ref="AJ62" authorId="0" shapeId="0" xr:uid="{00000000-0006-0000-0300-00004B000000}">
      <text>
        <r>
          <rPr>
            <sz val="11"/>
            <color rgb="FF000000"/>
            <rFont val="Calibri"/>
            <family val="2"/>
            <charset val="1"/>
          </rPr>
          <t xml:space="preserve">Colin Crowther:
</t>
        </r>
        <r>
          <rPr>
            <sz val="9"/>
            <color rgb="FF000000"/>
            <rFont val="Tahoma"/>
            <family val="2"/>
            <charset val="1"/>
          </rPr>
          <t>Not required for one test for ATKK</t>
        </r>
      </text>
    </comment>
    <comment ref="AK62" authorId="0" shapeId="0" xr:uid="{00000000-0006-0000-0300-00004C000000}">
      <text>
        <r>
          <rPr>
            <sz val="11"/>
            <color rgb="FF000000"/>
            <rFont val="Calibri"/>
            <family val="2"/>
            <charset val="1"/>
          </rPr>
          <t xml:space="preserve">Colin Crowther:
</t>
        </r>
        <r>
          <rPr>
            <sz val="9"/>
            <color rgb="FF000000"/>
            <rFont val="Tahoma"/>
            <family val="2"/>
            <charset val="1"/>
          </rPr>
          <t>Not required for one test for ATKK</t>
        </r>
      </text>
    </comment>
    <comment ref="AL62" authorId="0" shapeId="0" xr:uid="{00000000-0006-0000-0300-00004D000000}">
      <text>
        <r>
          <rPr>
            <sz val="11"/>
            <color rgb="FF000000"/>
            <rFont val="Calibri"/>
            <family val="2"/>
            <charset val="1"/>
          </rPr>
          <t xml:space="preserve">Colin Crowther:
</t>
        </r>
        <r>
          <rPr>
            <sz val="9"/>
            <color rgb="FF000000"/>
            <rFont val="Tahoma"/>
            <family val="2"/>
            <charset val="1"/>
          </rPr>
          <t>Not required for one test for ATKK</t>
        </r>
      </text>
    </comment>
    <comment ref="AM62" authorId="0" shapeId="0" xr:uid="{00000000-0006-0000-0300-00004E000000}">
      <text>
        <r>
          <rPr>
            <sz val="11"/>
            <color rgb="FF000000"/>
            <rFont val="Calibri"/>
            <family val="2"/>
            <charset val="1"/>
          </rPr>
          <t xml:space="preserve">Colin Crowther:
</t>
        </r>
        <r>
          <rPr>
            <sz val="9"/>
            <color rgb="FF000000"/>
            <rFont val="Tahoma"/>
            <family val="2"/>
            <charset val="1"/>
          </rPr>
          <t>Not required for one test for ATKK</t>
        </r>
      </text>
    </comment>
    <comment ref="S63" authorId="0" shapeId="0" xr:uid="{00000000-0006-0000-0300-00004F000000}">
      <text>
        <r>
          <rPr>
            <sz val="11"/>
            <color rgb="FF000000"/>
            <rFont val="Calibri"/>
            <family val="2"/>
            <charset val="1"/>
          </rPr>
          <t xml:space="preserve">Jonathan Vogel:
</t>
        </r>
        <r>
          <rPr>
            <sz val="9"/>
            <color rgb="FF000000"/>
            <rFont val="Tahoma"/>
            <family val="2"/>
            <charset val="1"/>
          </rPr>
          <t>Dual Rate Supported</t>
        </r>
      </text>
    </comment>
    <comment ref="AH63" authorId="0" shapeId="0" xr:uid="{00000000-0006-0000-0300-000050000000}">
      <text>
        <r>
          <rPr>
            <sz val="11"/>
            <color rgb="FF000000"/>
            <rFont val="Calibri"/>
            <family val="2"/>
            <charset val="1"/>
          </rPr>
          <t xml:space="preserve">Jonathan Vogel:
</t>
        </r>
        <r>
          <rPr>
            <sz val="8"/>
            <color rgb="FF000000"/>
            <rFont val="Tahoma"/>
            <family val="2"/>
            <charset val="1"/>
          </rPr>
          <t>Dual Rate Supported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tc={D1BE036B-A841-41D6-8F81-62FA3D50D6EA}</author>
    <author>tc={14EF827F-B37E-4027-B66F-88728EBFFB11}</author>
    <author>Colin Crowther</author>
  </authors>
  <commentList>
    <comment ref="N3" authorId="0" shapeId="0" xr:uid="{00000000-0006-0000-0600-000001000000}">
      <text>
        <r>
          <rPr>
            <sz val="11"/>
            <color rgb="FF000000"/>
            <rFont val="Calibri"/>
            <family val="2"/>
            <charset val="1"/>
          </rPr>
          <t xml:space="preserve">Last supported rel : 5.4.8-0.9
</t>
        </r>
      </text>
    </comment>
    <comment ref="C12"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Moved from RevA to RevB due to housing change, not additional testing required.</t>
      </text>
    </comment>
    <comment ref="C13"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Moved from RevB to RevC due to housing change.  No new testing required.</t>
      </text>
    </comment>
    <comment ref="L20" authorId="0" shapeId="0" xr:uid="{00000000-0006-0000-0600-000004000000}">
      <text>
        <r>
          <rPr>
            <sz val="11"/>
            <color rgb="FF000000"/>
            <rFont val="Calibri"/>
            <family val="2"/>
            <charset val="1"/>
          </rPr>
          <t xml:space="preserve">Colin Crowther:
</t>
        </r>
        <r>
          <rPr>
            <sz val="9"/>
            <color rgb="FF000000"/>
            <rFont val="Tahoma"/>
            <family val="2"/>
            <charset val="1"/>
          </rPr>
          <t xml:space="preserve">Earliest supporting build for this platform:
549-0.1
Refer CR-63159 for 5.4.8 builds.
</t>
        </r>
      </text>
    </comment>
    <comment ref="B22" authorId="3" shapeId="0" xr:uid="{E651BE79-1FE5-47A8-BF23-4542EBD602CF}">
      <text>
        <r>
          <rPr>
            <b/>
            <sz val="9"/>
            <color indexed="81"/>
            <rFont val="Tahoma"/>
            <family val="2"/>
          </rPr>
          <t>Colin Crowther:</t>
        </r>
        <r>
          <rPr>
            <sz val="9"/>
            <color indexed="81"/>
            <rFont val="Tahoma"/>
            <family val="2"/>
          </rPr>
          <t xml:space="preserve">
Intial testing with ver D but changed to ver D1 (may 2024)
</t>
        </r>
      </text>
    </comment>
    <comment ref="A23" authorId="0" shapeId="0" xr:uid="{00000000-0006-0000-0600-000005000000}">
      <text>
        <r>
          <rPr>
            <sz val="11"/>
            <color rgb="FF000000"/>
            <rFont val="Calibri"/>
            <family val="2"/>
            <charset val="1"/>
          </rPr>
          <t xml:space="preserve">Colin Crowther:
Was superceeded by Y4
</t>
        </r>
      </text>
    </comment>
    <comment ref="H23" authorId="3" shapeId="0" xr:uid="{9F634D22-B287-4C06-81A6-7CD5CEBCAF07}">
      <text>
        <r>
          <rPr>
            <b/>
            <sz val="9"/>
            <color indexed="81"/>
            <rFont val="Tahoma"/>
            <family val="2"/>
          </rPr>
          <t>Colin Crowther:</t>
        </r>
        <r>
          <rPr>
            <sz val="9"/>
            <color indexed="81"/>
            <rFont val="Tahoma"/>
            <family val="2"/>
          </rPr>
          <t xml:space="preserve">
pass with ver 
Y4
See Y4 results above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B12" authorId="0" shapeId="0" xr:uid="{00000000-0006-0000-0700-000001000000}">
      <text>
        <r>
          <rPr>
            <sz val="11"/>
            <color rgb="FF000000"/>
            <rFont val="Calibri"/>
            <family val="2"/>
            <charset val="1"/>
          </rPr>
          <t xml:space="preserve">Colin Crowther:
</t>
        </r>
        <r>
          <rPr>
            <sz val="9"/>
            <color rgb="FF000000"/>
            <rFont val="Tahoma"/>
            <family val="2"/>
            <charset val="1"/>
          </rPr>
          <t xml:space="preserve">Tested with (J85) X2.
 Curent samples are ver B and are FAS units of (J85 x2 and x3) - see below in obsolete section
</t>
        </r>
      </text>
    </comment>
    <comment ref="B18" authorId="0" shapeId="0" xr:uid="{00000000-0006-0000-0700-000002000000}">
      <text>
        <r>
          <rPr>
            <sz val="11"/>
            <color rgb="FF000000"/>
            <rFont val="Calibri"/>
            <family val="2"/>
            <charset val="1"/>
          </rPr>
          <t xml:space="preserve">Colin Crowther:
</t>
        </r>
        <r>
          <rPr>
            <sz val="9"/>
            <color rgb="FF000000"/>
            <rFont val="Tahoma"/>
            <family val="2"/>
            <charset val="1"/>
          </rPr>
          <t xml:space="preserve">Tested with X2.
The X2 units reurned to
Formerica - added write protection-relabeled as X3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C132" authorId="0" shapeId="0" xr:uid="{00000000-0006-0000-0A00-000001000000}">
      <text>
        <r>
          <rPr>
            <sz val="11"/>
            <color rgb="FF000000"/>
            <rFont val="Calibri"/>
            <family val="2"/>
            <charset val="1"/>
          </rPr>
          <t xml:space="preserve">Colin Crowther:
</t>
        </r>
        <r>
          <rPr>
            <sz val="9"/>
            <color rgb="FF000000"/>
            <rFont val="Tahoma"/>
            <family val="2"/>
            <charset val="1"/>
          </rPr>
          <t>Same device as IX5-28GPX</t>
        </r>
      </text>
    </comment>
    <comment ref="C133" authorId="0" shapeId="0" xr:uid="{00000000-0006-0000-0A00-000002000000}">
      <text>
        <r>
          <rPr>
            <sz val="11"/>
            <color rgb="FF000000"/>
            <rFont val="Calibri"/>
            <family val="2"/>
            <charset val="1"/>
          </rPr>
          <t xml:space="preserve">Colin Crowther:
</t>
        </r>
        <r>
          <rPr>
            <sz val="9"/>
            <color rgb="FF000000"/>
            <rFont val="Tahoma"/>
            <family val="2"/>
            <charset val="1"/>
          </rPr>
          <t>Same device as x510DP-28GTX</t>
        </r>
      </text>
    </comment>
    <comment ref="F134" authorId="0" shapeId="0" xr:uid="{00000000-0006-0000-0A00-000003000000}">
      <text>
        <r>
          <rPr>
            <b/>
            <sz val="9"/>
            <color rgb="FF000000"/>
            <rFont val="Tahoma"/>
            <family val="2"/>
            <charset val="1"/>
          </rPr>
          <t xml:space="preserve">Extended Temperature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Colin Crowther</author>
    <author/>
    <author>Alex Barns</author>
  </authors>
  <commentList>
    <comment ref="AF1" authorId="0" shapeId="0" xr:uid="{FAF9CBBF-B3CA-48B3-A5CA-0E74A380BE43}">
      <text>
        <r>
          <rPr>
            <b/>
            <sz val="9"/>
            <color indexed="81"/>
            <rFont val="Tahoma"/>
            <family val="2"/>
          </rPr>
          <t>Colin Crowther:
These cells are linked to columns q to z.
If contents is n cell shows ns for not-supported
If contents is y - cell shows as a dot with yellow background.
User is to manaully edit 'yes' or 'no' in cells that have a dot.</t>
        </r>
      </text>
    </comment>
    <comment ref="Q2" authorId="1" shapeId="0" xr:uid="{00000000-0006-0000-0B00-000001000000}">
      <text>
        <r>
          <rPr>
            <sz val="11"/>
            <color rgb="FF000000"/>
            <rFont val="Calibri"/>
            <family val="2"/>
            <charset val="1"/>
          </rPr>
          <t xml:space="preserve">On some platforms the sptx can be set to 10M
</t>
        </r>
        <r>
          <rPr>
            <sz val="9"/>
            <color rgb="FF000000"/>
            <rFont val="Tahoma"/>
            <family val="2"/>
            <charset val="1"/>
          </rPr>
          <t xml:space="preserve">
</t>
        </r>
      </text>
    </comment>
    <comment ref="AF2" authorId="1" shapeId="0" xr:uid="{00000000-0006-0000-0B00-000002000000}">
      <text>
        <r>
          <rPr>
            <sz val="11"/>
            <color rgb="FF000000"/>
            <rFont val="Calibri"/>
            <family val="2"/>
            <charset val="1"/>
          </rPr>
          <t xml:space="preserve">On some platforms the sptx can be set to 10M
</t>
        </r>
        <r>
          <rPr>
            <sz val="9"/>
            <color rgb="FF000000"/>
            <rFont val="Tahoma"/>
            <family val="2"/>
            <charset val="1"/>
          </rPr>
          <t xml:space="preserve">
</t>
        </r>
      </text>
    </comment>
    <comment ref="J131" authorId="1" shapeId="0" xr:uid="{00000000-0006-0000-0B00-000003000000}">
      <text>
        <r>
          <rPr>
            <b/>
            <sz val="11"/>
            <color rgb="FF000000"/>
            <rFont val="Tahoma"/>
            <family val="2"/>
            <charset val="1"/>
          </rPr>
          <t xml:space="preserve">Extended Temperature
Indicated by the extra 4.
IE510 is same as x510 
but has both showing in the spreadsheet. </t>
        </r>
      </text>
    </comment>
    <comment ref="D144" authorId="1" shapeId="0" xr:uid="{00000000-0006-0000-0B00-000004000000}">
      <text>
        <r>
          <rPr>
            <sz val="11"/>
            <color rgb="FF000000"/>
            <rFont val="Calibri"/>
            <family val="2"/>
            <charset val="1"/>
          </rPr>
          <t xml:space="preserve">Colin Crowther:
</t>
        </r>
        <r>
          <rPr>
            <sz val="9"/>
            <color rgb="FF000000"/>
            <rFont val="Tahoma"/>
            <family val="2"/>
            <charset val="1"/>
          </rPr>
          <t>Same device as IX5-28GPX</t>
        </r>
      </text>
    </comment>
    <comment ref="D145" authorId="1" shapeId="0" xr:uid="{00000000-0006-0000-0B00-000005000000}">
      <text>
        <r>
          <rPr>
            <sz val="11"/>
            <color rgb="FF000000"/>
            <rFont val="Calibri"/>
            <family val="2"/>
            <charset val="1"/>
          </rPr>
          <t xml:space="preserve">Colin Crowther:
</t>
        </r>
        <r>
          <rPr>
            <sz val="9"/>
            <color rgb="FF000000"/>
            <rFont val="Tahoma"/>
            <family val="2"/>
            <charset val="1"/>
          </rPr>
          <t>Same device as IE510DP-28GTX</t>
        </r>
      </text>
    </comment>
    <comment ref="T238" authorId="2" shapeId="0" xr:uid="{2EC9F252-E723-412D-8915-21E63668B278}">
      <text>
        <r>
          <rPr>
            <b/>
            <sz val="9"/>
            <color indexed="81"/>
            <rFont val="Tahoma"/>
            <family val="2"/>
          </rPr>
          <t>Alex Barns:</t>
        </r>
        <r>
          <rPr>
            <sz val="9"/>
            <color indexed="81"/>
            <rFont val="Tahoma"/>
            <family val="2"/>
          </rPr>
          <t xml:space="preserve">
2.5G/5G currently not supported on x240 SFP+. May change in future.</t>
        </r>
      </text>
    </comment>
    <comment ref="U238" authorId="2" shapeId="0" xr:uid="{91B5262C-8CE3-43C7-85DD-038F99359E04}">
      <text>
        <r>
          <rPr>
            <b/>
            <sz val="9"/>
            <color indexed="81"/>
            <rFont val="Tahoma"/>
            <family val="2"/>
          </rPr>
          <t>Alex Barns:</t>
        </r>
        <r>
          <rPr>
            <sz val="9"/>
            <color indexed="81"/>
            <rFont val="Tahoma"/>
            <family val="2"/>
          </rPr>
          <t xml:space="preserve">
2.5G/5G currently not supported on x240 SFP+. May change in future.</t>
        </r>
      </text>
    </comment>
    <comment ref="T239" authorId="2" shapeId="0" xr:uid="{304EE1C1-5AC5-461D-9D72-9331ABD89940}">
      <text>
        <r>
          <rPr>
            <b/>
            <sz val="9"/>
            <color indexed="81"/>
            <rFont val="Tahoma"/>
            <family val="2"/>
          </rPr>
          <t>Alex Barns:</t>
        </r>
        <r>
          <rPr>
            <sz val="9"/>
            <color indexed="81"/>
            <rFont val="Tahoma"/>
            <family val="2"/>
          </rPr>
          <t xml:space="preserve">
2.5G/5G currently not supported on x240 SFP+. May change in future.</t>
        </r>
      </text>
    </comment>
    <comment ref="U239" authorId="2" shapeId="0" xr:uid="{8D017CCB-6771-481F-88A9-0DC7719A8D35}">
      <text>
        <r>
          <rPr>
            <b/>
            <sz val="9"/>
            <color indexed="81"/>
            <rFont val="Tahoma"/>
            <family val="2"/>
          </rPr>
          <t>Alex Barns:</t>
        </r>
        <r>
          <rPr>
            <sz val="9"/>
            <color indexed="81"/>
            <rFont val="Tahoma"/>
            <family val="2"/>
          </rPr>
          <t xml:space="preserve">
2.5G/5G currently not supported on x240 SFP+. May change in future.</t>
        </r>
      </text>
    </comment>
    <comment ref="T240" authorId="2" shapeId="0" xr:uid="{CA20D243-D203-4C25-B78B-63BC83181201}">
      <text>
        <r>
          <rPr>
            <b/>
            <sz val="9"/>
            <color indexed="81"/>
            <rFont val="Tahoma"/>
            <family val="2"/>
          </rPr>
          <t>Alex Barns:</t>
        </r>
        <r>
          <rPr>
            <sz val="9"/>
            <color indexed="81"/>
            <rFont val="Tahoma"/>
            <family val="2"/>
          </rPr>
          <t xml:space="preserve">
2.5G/5G currently not supported on x240 SFP+. May change in future.</t>
        </r>
      </text>
    </comment>
    <comment ref="U240" authorId="2" shapeId="0" xr:uid="{362F408B-BD62-4F07-81CD-2AAE0334E426}">
      <text>
        <r>
          <rPr>
            <b/>
            <sz val="9"/>
            <color indexed="81"/>
            <rFont val="Tahoma"/>
            <family val="2"/>
          </rPr>
          <t>Alex Barns:</t>
        </r>
        <r>
          <rPr>
            <sz val="9"/>
            <color indexed="81"/>
            <rFont val="Tahoma"/>
            <family val="2"/>
          </rPr>
          <t xml:space="preserve">
2.5G/5G currently not supported on x240 SFP+. May change in future.</t>
        </r>
      </text>
    </comment>
    <comment ref="T241" authorId="2" shapeId="0" xr:uid="{95465C25-0492-46B4-8092-8559842E8C5F}">
      <text>
        <r>
          <rPr>
            <b/>
            <sz val="9"/>
            <color indexed="81"/>
            <rFont val="Tahoma"/>
            <family val="2"/>
          </rPr>
          <t>Alex Barns:</t>
        </r>
        <r>
          <rPr>
            <sz val="9"/>
            <color indexed="81"/>
            <rFont val="Tahoma"/>
            <family val="2"/>
          </rPr>
          <t xml:space="preserve">
2.5G/5G currently not supported on x240 SFP+. May change in future.</t>
        </r>
      </text>
    </comment>
    <comment ref="U241" authorId="2" shapeId="0" xr:uid="{258D9D3F-41B1-41A5-9F81-7F60984C7612}">
      <text>
        <r>
          <rPr>
            <b/>
            <sz val="9"/>
            <color indexed="81"/>
            <rFont val="Tahoma"/>
            <family val="2"/>
          </rPr>
          <t>Alex Barns:</t>
        </r>
        <r>
          <rPr>
            <sz val="9"/>
            <color indexed="81"/>
            <rFont val="Tahoma"/>
            <family val="2"/>
          </rPr>
          <t xml:space="preserve">
2.5G/5G currently not supported on x240 SFP+. May change in future.</t>
        </r>
      </text>
    </comment>
    <comment ref="T242" authorId="2" shapeId="0" xr:uid="{42575B53-4810-4AF8-9556-7EC5A086C348}">
      <text>
        <r>
          <rPr>
            <b/>
            <sz val="9"/>
            <color indexed="81"/>
            <rFont val="Tahoma"/>
            <family val="2"/>
          </rPr>
          <t>Alex Barns:</t>
        </r>
        <r>
          <rPr>
            <sz val="9"/>
            <color indexed="81"/>
            <rFont val="Tahoma"/>
            <family val="2"/>
          </rPr>
          <t xml:space="preserve">
2.5G/5G currently not supported on x240 SFP+. May change in future.</t>
        </r>
      </text>
    </comment>
    <comment ref="U242" authorId="2" shapeId="0" xr:uid="{7E12CF79-16A2-4612-923C-8418D3FA5150}">
      <text>
        <r>
          <rPr>
            <b/>
            <sz val="9"/>
            <color indexed="81"/>
            <rFont val="Tahoma"/>
            <family val="2"/>
          </rPr>
          <t>Alex Barns:</t>
        </r>
        <r>
          <rPr>
            <sz val="9"/>
            <color indexed="81"/>
            <rFont val="Tahoma"/>
            <family val="2"/>
          </rPr>
          <t xml:space="preserve">
2.5G/5G currently not supported on x240 SFP+. May change in future.</t>
        </r>
      </text>
    </comment>
    <comment ref="T243" authorId="2" shapeId="0" xr:uid="{19DDCF46-31C0-42EA-9FC2-D5FBD3EFF2C8}">
      <text>
        <r>
          <rPr>
            <b/>
            <sz val="9"/>
            <color indexed="81"/>
            <rFont val="Tahoma"/>
            <family val="2"/>
          </rPr>
          <t>Alex Barns:</t>
        </r>
        <r>
          <rPr>
            <sz val="9"/>
            <color indexed="81"/>
            <rFont val="Tahoma"/>
            <family val="2"/>
          </rPr>
          <t xml:space="preserve">
2.5G/5G currently not supported on x240 SFP+. May change in future.</t>
        </r>
      </text>
    </comment>
    <comment ref="U243" authorId="2" shapeId="0" xr:uid="{AAD77BD8-4268-441C-98D9-523ED27174E3}">
      <text>
        <r>
          <rPr>
            <b/>
            <sz val="9"/>
            <color indexed="81"/>
            <rFont val="Tahoma"/>
            <family val="2"/>
          </rPr>
          <t>Alex Barns:</t>
        </r>
        <r>
          <rPr>
            <sz val="9"/>
            <color indexed="81"/>
            <rFont val="Tahoma"/>
            <family val="2"/>
          </rPr>
          <t xml:space="preserve">
2.5G/5G currently not supported on x240 SFP+. May change in future.</t>
        </r>
      </text>
    </comment>
    <comment ref="T244" authorId="2" shapeId="0" xr:uid="{0E32064E-1483-458A-923E-C1D839E38F15}">
      <text>
        <r>
          <rPr>
            <b/>
            <sz val="9"/>
            <color indexed="81"/>
            <rFont val="Tahoma"/>
            <family val="2"/>
          </rPr>
          <t>Alex Barns:</t>
        </r>
        <r>
          <rPr>
            <sz val="9"/>
            <color indexed="81"/>
            <rFont val="Tahoma"/>
            <family val="2"/>
          </rPr>
          <t xml:space="preserve">
2.5G/5G currently not supported on x240 SFP+. May change in future.</t>
        </r>
      </text>
    </comment>
    <comment ref="U244" authorId="2" shapeId="0" xr:uid="{9535DE8F-1AFF-4A20-A668-8753CB2B20BE}">
      <text>
        <r>
          <rPr>
            <b/>
            <sz val="9"/>
            <color indexed="81"/>
            <rFont val="Tahoma"/>
            <family val="2"/>
          </rPr>
          <t>Alex Barns:</t>
        </r>
        <r>
          <rPr>
            <sz val="9"/>
            <color indexed="81"/>
            <rFont val="Tahoma"/>
            <family val="2"/>
          </rPr>
          <t xml:space="preserve">
2.5G/5G currently not supported on x240 SFP+. May change in future.</t>
        </r>
      </text>
    </comment>
    <comment ref="T245" authorId="2" shapeId="0" xr:uid="{DF05DE1D-A37D-443D-A924-DBBC37CEDAFB}">
      <text>
        <r>
          <rPr>
            <b/>
            <sz val="9"/>
            <color indexed="81"/>
            <rFont val="Tahoma"/>
            <family val="2"/>
          </rPr>
          <t>Alex Barns:</t>
        </r>
        <r>
          <rPr>
            <sz val="9"/>
            <color indexed="81"/>
            <rFont val="Tahoma"/>
            <family val="2"/>
          </rPr>
          <t xml:space="preserve">
2.5G/5G currently not supported on x240 SFP+. May change in future.</t>
        </r>
      </text>
    </comment>
    <comment ref="U245" authorId="2" shapeId="0" xr:uid="{2A4004F5-3CFF-452F-A7E6-957FDC80B7DD}">
      <text>
        <r>
          <rPr>
            <b/>
            <sz val="9"/>
            <color indexed="81"/>
            <rFont val="Tahoma"/>
            <family val="2"/>
          </rPr>
          <t>Alex Barns:</t>
        </r>
        <r>
          <rPr>
            <sz val="9"/>
            <color indexed="81"/>
            <rFont val="Tahoma"/>
            <family val="2"/>
          </rPr>
          <t xml:space="preserve">
2.5G/5G currently not supported on x240 SFP+. May change in future.</t>
        </r>
      </text>
    </comment>
    <comment ref="T246" authorId="2" shapeId="0" xr:uid="{8ED3CA8D-D287-4364-BC3F-1183D3ACEBA8}">
      <text>
        <r>
          <rPr>
            <b/>
            <sz val="9"/>
            <color indexed="81"/>
            <rFont val="Tahoma"/>
            <family val="2"/>
          </rPr>
          <t>Alex Barns:</t>
        </r>
        <r>
          <rPr>
            <sz val="9"/>
            <color indexed="81"/>
            <rFont val="Tahoma"/>
            <family val="2"/>
          </rPr>
          <t xml:space="preserve">
2.5G/5G currently not supported on x240 SFP+. May change in future.</t>
        </r>
      </text>
    </comment>
    <comment ref="U246" authorId="2" shapeId="0" xr:uid="{349AA15F-7A87-4F94-A90C-F0ECEFC8B63A}">
      <text>
        <r>
          <rPr>
            <b/>
            <sz val="9"/>
            <color indexed="81"/>
            <rFont val="Tahoma"/>
            <family val="2"/>
          </rPr>
          <t>Alex Barns:</t>
        </r>
        <r>
          <rPr>
            <sz val="9"/>
            <color indexed="81"/>
            <rFont val="Tahoma"/>
            <family val="2"/>
          </rPr>
          <t xml:space="preserve">
2.5G/5G currently not supported on x240 SFP+. May change in future.</t>
        </r>
      </text>
    </comment>
    <comment ref="T247" authorId="2" shapeId="0" xr:uid="{4A76057C-8206-4DA1-8DE8-EC5A580EC416}">
      <text>
        <r>
          <rPr>
            <b/>
            <sz val="9"/>
            <color indexed="81"/>
            <rFont val="Tahoma"/>
            <family val="2"/>
          </rPr>
          <t>Alex Barns:</t>
        </r>
        <r>
          <rPr>
            <sz val="9"/>
            <color indexed="81"/>
            <rFont val="Tahoma"/>
            <family val="2"/>
          </rPr>
          <t xml:space="preserve">
2.5G/5G currently not supported on x240 SFP+. May change in future.</t>
        </r>
      </text>
    </comment>
    <comment ref="U247" authorId="2" shapeId="0" xr:uid="{35F86E7E-DE5E-4C3C-B4C9-E2ED070841BD}">
      <text>
        <r>
          <rPr>
            <b/>
            <sz val="9"/>
            <color indexed="81"/>
            <rFont val="Tahoma"/>
            <family val="2"/>
          </rPr>
          <t>Alex Barns:</t>
        </r>
        <r>
          <rPr>
            <sz val="9"/>
            <color indexed="81"/>
            <rFont val="Tahoma"/>
            <family val="2"/>
          </rPr>
          <t xml:space="preserve">
2.5G/5G currently not supported on x240 SFP+. May change in future.</t>
        </r>
      </text>
    </comment>
    <comment ref="T248" authorId="2" shapeId="0" xr:uid="{3692282E-419B-44DF-8079-777DF275FA4A}">
      <text>
        <r>
          <rPr>
            <b/>
            <sz val="9"/>
            <color indexed="81"/>
            <rFont val="Tahoma"/>
            <family val="2"/>
          </rPr>
          <t>Alex Barns:</t>
        </r>
        <r>
          <rPr>
            <sz val="9"/>
            <color indexed="81"/>
            <rFont val="Tahoma"/>
            <family val="2"/>
          </rPr>
          <t xml:space="preserve">
2.5G/5G currently not supported on x240 SFP+. May change in future.</t>
        </r>
      </text>
    </comment>
    <comment ref="U248" authorId="2" shapeId="0" xr:uid="{911E4EF2-4ADB-41F1-9582-9172801441C3}">
      <text>
        <r>
          <rPr>
            <b/>
            <sz val="9"/>
            <color indexed="81"/>
            <rFont val="Tahoma"/>
            <family val="2"/>
          </rPr>
          <t>Alex Barns:</t>
        </r>
        <r>
          <rPr>
            <sz val="9"/>
            <color indexed="81"/>
            <rFont val="Tahoma"/>
            <family val="2"/>
          </rPr>
          <t xml:space="preserve">
2.5G/5G currently not supported on x240 SFP+. May change in future.</t>
        </r>
      </text>
    </comment>
    <comment ref="T249" authorId="2" shapeId="0" xr:uid="{76C95662-9075-4714-B95F-B18DBA09F68F}">
      <text>
        <r>
          <rPr>
            <b/>
            <sz val="9"/>
            <color indexed="81"/>
            <rFont val="Tahoma"/>
            <family val="2"/>
          </rPr>
          <t>Alex Barns:</t>
        </r>
        <r>
          <rPr>
            <sz val="9"/>
            <color indexed="81"/>
            <rFont val="Tahoma"/>
            <family val="2"/>
          </rPr>
          <t xml:space="preserve">
2.5G/5G currently not supported on x240 SFP+. May change in future.</t>
        </r>
      </text>
    </comment>
    <comment ref="U249" authorId="2" shapeId="0" xr:uid="{B2DCEDFC-78C6-49E5-B6E2-F6DC7D1DDF32}">
      <text>
        <r>
          <rPr>
            <b/>
            <sz val="9"/>
            <color indexed="81"/>
            <rFont val="Tahoma"/>
            <family val="2"/>
          </rPr>
          <t>Alex Barns:</t>
        </r>
        <r>
          <rPr>
            <sz val="9"/>
            <color indexed="81"/>
            <rFont val="Tahoma"/>
            <family val="2"/>
          </rPr>
          <t xml:space="preserve">
2.5G/5G currently not supported on x240 SFP+. May change in future.</t>
        </r>
      </text>
    </comment>
    <comment ref="T250" authorId="2" shapeId="0" xr:uid="{7FEE0A87-E49E-4D87-A96C-44323713AECA}">
      <text>
        <r>
          <rPr>
            <b/>
            <sz val="9"/>
            <color indexed="81"/>
            <rFont val="Tahoma"/>
            <family val="2"/>
          </rPr>
          <t>Alex Barns:</t>
        </r>
        <r>
          <rPr>
            <sz val="9"/>
            <color indexed="81"/>
            <rFont val="Tahoma"/>
            <family val="2"/>
          </rPr>
          <t xml:space="preserve">
2.5G/5G currently not supported on x240 SFP+. May change in future.</t>
        </r>
      </text>
    </comment>
    <comment ref="U250" authorId="2" shapeId="0" xr:uid="{0053BE57-0BD8-4864-8E9E-BB43A184EE1E}">
      <text>
        <r>
          <rPr>
            <b/>
            <sz val="9"/>
            <color indexed="81"/>
            <rFont val="Tahoma"/>
            <family val="2"/>
          </rPr>
          <t>Alex Barns:</t>
        </r>
        <r>
          <rPr>
            <sz val="9"/>
            <color indexed="81"/>
            <rFont val="Tahoma"/>
            <family val="2"/>
          </rPr>
          <t xml:space="preserve">
2.5G/5G currently not supported on x240 SFP+. May change in future.</t>
        </r>
      </text>
    </comment>
    <comment ref="T251" authorId="2" shapeId="0" xr:uid="{DC49A6A7-732E-4E44-8282-F7693ACEACD9}">
      <text>
        <r>
          <rPr>
            <b/>
            <sz val="9"/>
            <color indexed="81"/>
            <rFont val="Tahoma"/>
            <family val="2"/>
          </rPr>
          <t>Alex Barns:</t>
        </r>
        <r>
          <rPr>
            <sz val="9"/>
            <color indexed="81"/>
            <rFont val="Tahoma"/>
            <family val="2"/>
          </rPr>
          <t xml:space="preserve">
2.5G/5G currently not supported on x240 SFP+. May change in future.</t>
        </r>
      </text>
    </comment>
    <comment ref="U251" authorId="2" shapeId="0" xr:uid="{63E1BE3C-87C4-48A9-97A8-62654FA8F408}">
      <text>
        <r>
          <rPr>
            <b/>
            <sz val="9"/>
            <color indexed="81"/>
            <rFont val="Tahoma"/>
            <family val="2"/>
          </rPr>
          <t>Alex Barns:</t>
        </r>
        <r>
          <rPr>
            <sz val="9"/>
            <color indexed="81"/>
            <rFont val="Tahoma"/>
            <family val="2"/>
          </rPr>
          <t xml:space="preserve">
2.5G/5G currently not supported on x240 SFP+. May change in future.</t>
        </r>
      </text>
    </comment>
    <comment ref="T252" authorId="2" shapeId="0" xr:uid="{63D8DBE1-4BFA-4764-965D-DCA23C4DAE9A}">
      <text>
        <r>
          <rPr>
            <b/>
            <sz val="9"/>
            <color indexed="81"/>
            <rFont val="Tahoma"/>
            <family val="2"/>
          </rPr>
          <t>Alex Barns:</t>
        </r>
        <r>
          <rPr>
            <sz val="9"/>
            <color indexed="81"/>
            <rFont val="Tahoma"/>
            <family val="2"/>
          </rPr>
          <t xml:space="preserve">
2.5G/5G currently not supported on x240 SFP+. May change in future.</t>
        </r>
      </text>
    </comment>
    <comment ref="U252" authorId="2" shapeId="0" xr:uid="{85AD43F1-2226-477F-88A3-87CB62D0B067}">
      <text>
        <r>
          <rPr>
            <b/>
            <sz val="9"/>
            <color indexed="81"/>
            <rFont val="Tahoma"/>
            <family val="2"/>
          </rPr>
          <t>Alex Barns:</t>
        </r>
        <r>
          <rPr>
            <sz val="9"/>
            <color indexed="81"/>
            <rFont val="Tahoma"/>
            <family val="2"/>
          </rPr>
          <t xml:space="preserve">
2.5G/5G currently not supported on x240 SFP+. May change in future.</t>
        </r>
      </text>
    </comment>
    <comment ref="T253" authorId="2" shapeId="0" xr:uid="{D3F855D6-0EC6-4125-8D5A-46652A396932}">
      <text>
        <r>
          <rPr>
            <b/>
            <sz val="9"/>
            <color indexed="81"/>
            <rFont val="Tahoma"/>
            <family val="2"/>
          </rPr>
          <t>Alex Barns:</t>
        </r>
        <r>
          <rPr>
            <sz val="9"/>
            <color indexed="81"/>
            <rFont val="Tahoma"/>
            <family val="2"/>
          </rPr>
          <t xml:space="preserve">
2.5G/5G currently not supported on x240 SFP+. May change in future.</t>
        </r>
      </text>
    </comment>
    <comment ref="U253" authorId="2" shapeId="0" xr:uid="{49EB5B77-B14D-4FEF-B999-913D0F24BFF3}">
      <text>
        <r>
          <rPr>
            <b/>
            <sz val="9"/>
            <color indexed="81"/>
            <rFont val="Tahoma"/>
            <family val="2"/>
          </rPr>
          <t>Alex Barns:</t>
        </r>
        <r>
          <rPr>
            <sz val="9"/>
            <color indexed="81"/>
            <rFont val="Tahoma"/>
            <family val="2"/>
          </rPr>
          <t xml:space="preserve">
2.5G/5G currently not supported on x240 SFP+. May change in future.</t>
        </r>
      </text>
    </comment>
    <comment ref="T258" authorId="2" shapeId="0" xr:uid="{C90858FD-2EDA-45B5-B1A7-BCD99B540235}">
      <text>
        <r>
          <rPr>
            <b/>
            <sz val="9"/>
            <color indexed="81"/>
            <rFont val="Tahoma"/>
            <family val="2"/>
          </rPr>
          <t>Alex Barns:</t>
        </r>
        <r>
          <rPr>
            <sz val="9"/>
            <color indexed="81"/>
            <rFont val="Tahoma"/>
            <family val="2"/>
          </rPr>
          <t xml:space="preserve">
2.5G/5G currently not supported on x240 SFP+. May change in future.</t>
        </r>
      </text>
    </comment>
    <comment ref="U258" authorId="2" shapeId="0" xr:uid="{68FA9AEE-C3F1-461F-B4E8-1D71475C4A57}">
      <text>
        <r>
          <rPr>
            <b/>
            <sz val="9"/>
            <color indexed="81"/>
            <rFont val="Tahoma"/>
            <family val="2"/>
          </rPr>
          <t>Alex Barns:</t>
        </r>
        <r>
          <rPr>
            <sz val="9"/>
            <color indexed="81"/>
            <rFont val="Tahoma"/>
            <family val="2"/>
          </rPr>
          <t xml:space="preserve">
2.5G/5G currently not supported on x240 SFP+. May change in future.</t>
        </r>
      </text>
    </comment>
    <comment ref="T260" authorId="2" shapeId="0" xr:uid="{885A85E8-1CAE-44A2-96B2-F1115C7345CD}">
      <text>
        <r>
          <rPr>
            <b/>
            <sz val="9"/>
            <color indexed="81"/>
            <rFont val="Tahoma"/>
            <family val="2"/>
          </rPr>
          <t>Alex Barns:</t>
        </r>
        <r>
          <rPr>
            <sz val="9"/>
            <color indexed="81"/>
            <rFont val="Tahoma"/>
            <family val="2"/>
          </rPr>
          <t xml:space="preserve">
2.5G/5G currently not supported on x240 SFP+. May change in future.</t>
        </r>
      </text>
    </comment>
    <comment ref="U260" authorId="2" shapeId="0" xr:uid="{A3769D25-6AC9-4D4B-8456-92D4949DBAF5}">
      <text>
        <r>
          <rPr>
            <b/>
            <sz val="9"/>
            <color indexed="81"/>
            <rFont val="Tahoma"/>
            <family val="2"/>
          </rPr>
          <t>Alex Barns:</t>
        </r>
        <r>
          <rPr>
            <sz val="9"/>
            <color indexed="81"/>
            <rFont val="Tahoma"/>
            <family val="2"/>
          </rPr>
          <t xml:space="preserve">
2.5G/5G currently not supported on x240 SFP+. May change in future.</t>
        </r>
      </text>
    </comment>
    <comment ref="T261" authorId="2" shapeId="0" xr:uid="{B6EA6190-A6E2-4306-B126-DE33E89B00F5}">
      <text>
        <r>
          <rPr>
            <b/>
            <sz val="9"/>
            <color indexed="81"/>
            <rFont val="Tahoma"/>
            <family val="2"/>
          </rPr>
          <t>Alex Barns:</t>
        </r>
        <r>
          <rPr>
            <sz val="9"/>
            <color indexed="81"/>
            <rFont val="Tahoma"/>
            <family val="2"/>
          </rPr>
          <t xml:space="preserve">
2.5G/5G currently not supported on x240 SFP+. May change in future.</t>
        </r>
      </text>
    </comment>
    <comment ref="U261" authorId="2" shapeId="0" xr:uid="{BEB4182B-694F-4043-90C5-49D112F41DC2}">
      <text>
        <r>
          <rPr>
            <b/>
            <sz val="9"/>
            <color indexed="81"/>
            <rFont val="Tahoma"/>
            <family val="2"/>
          </rPr>
          <t>Alex Barns:</t>
        </r>
        <r>
          <rPr>
            <sz val="9"/>
            <color indexed="81"/>
            <rFont val="Tahoma"/>
            <family val="2"/>
          </rPr>
          <t xml:space="preserve">
2.5G/5G currently not supported on x240 SFP+. May change in future.</t>
        </r>
      </text>
    </comment>
    <comment ref="T262" authorId="2" shapeId="0" xr:uid="{E29D397E-E03F-4D4E-8262-7E0D1CDB269E}">
      <text>
        <r>
          <rPr>
            <b/>
            <sz val="9"/>
            <color indexed="81"/>
            <rFont val="Tahoma"/>
            <family val="2"/>
          </rPr>
          <t>Alex Barns:</t>
        </r>
        <r>
          <rPr>
            <sz val="9"/>
            <color indexed="81"/>
            <rFont val="Tahoma"/>
            <family val="2"/>
          </rPr>
          <t xml:space="preserve">
2.5G/5G currently not supported on x240 SFP+. May change in future.</t>
        </r>
      </text>
    </comment>
    <comment ref="U262" authorId="2" shapeId="0" xr:uid="{B6D2D2D8-D68B-49CA-BEC7-0A1C08003150}">
      <text>
        <r>
          <rPr>
            <b/>
            <sz val="9"/>
            <color indexed="81"/>
            <rFont val="Tahoma"/>
            <family val="2"/>
          </rPr>
          <t>Alex Barns:</t>
        </r>
        <r>
          <rPr>
            <sz val="9"/>
            <color indexed="81"/>
            <rFont val="Tahoma"/>
            <family val="2"/>
          </rPr>
          <t xml:space="preserve">
2.5G/5G currently not supported on x240 SFP+. May change in future.</t>
        </r>
      </text>
    </comment>
    <comment ref="T263" authorId="2" shapeId="0" xr:uid="{DFF52B21-3F54-4ABB-8D3C-D63FC78C470B}">
      <text>
        <r>
          <rPr>
            <b/>
            <sz val="9"/>
            <color indexed="81"/>
            <rFont val="Tahoma"/>
            <family val="2"/>
          </rPr>
          <t>Alex Barns:</t>
        </r>
        <r>
          <rPr>
            <sz val="9"/>
            <color indexed="81"/>
            <rFont val="Tahoma"/>
            <family val="2"/>
          </rPr>
          <t xml:space="preserve">
2.5G/5G currently not supported on x240 SFP+. May change in future.</t>
        </r>
      </text>
    </comment>
    <comment ref="U263" authorId="2" shapeId="0" xr:uid="{337DC2DD-AF18-419B-9975-CECB746C9048}">
      <text>
        <r>
          <rPr>
            <b/>
            <sz val="9"/>
            <color indexed="81"/>
            <rFont val="Tahoma"/>
            <family val="2"/>
          </rPr>
          <t>Alex Barns:</t>
        </r>
        <r>
          <rPr>
            <sz val="9"/>
            <color indexed="81"/>
            <rFont val="Tahoma"/>
            <family val="2"/>
          </rPr>
          <t xml:space="preserve">
2.5G/5G currently not supported on x240 SFP+. May change in future.</t>
        </r>
      </text>
    </comment>
    <comment ref="T264" authorId="2" shapeId="0" xr:uid="{7BE4A9CE-BA18-4D45-A7EC-6378161EE3EB}">
      <text>
        <r>
          <rPr>
            <b/>
            <sz val="9"/>
            <color indexed="81"/>
            <rFont val="Tahoma"/>
            <family val="2"/>
          </rPr>
          <t>Alex Barns:</t>
        </r>
        <r>
          <rPr>
            <sz val="9"/>
            <color indexed="81"/>
            <rFont val="Tahoma"/>
            <family val="2"/>
          </rPr>
          <t xml:space="preserve">
2.5G/5G currently not supported on x240 SFP+. May change in future.</t>
        </r>
      </text>
    </comment>
    <comment ref="U264" authorId="2" shapeId="0" xr:uid="{B4F6DD02-314C-4C56-AEBA-A7726CA48A99}">
      <text>
        <r>
          <rPr>
            <b/>
            <sz val="9"/>
            <color indexed="81"/>
            <rFont val="Tahoma"/>
            <family val="2"/>
          </rPr>
          <t>Alex Barns:</t>
        </r>
        <r>
          <rPr>
            <sz val="9"/>
            <color indexed="81"/>
            <rFont val="Tahoma"/>
            <family val="2"/>
          </rPr>
          <t xml:space="preserve">
2.5G/5G currently not supported on x240 SFP+. May change in future.</t>
        </r>
      </text>
    </comment>
    <comment ref="T265" authorId="2" shapeId="0" xr:uid="{16F2A8CD-16EC-4177-95A8-D98AB0F6BAFF}">
      <text>
        <r>
          <rPr>
            <b/>
            <sz val="9"/>
            <color indexed="81"/>
            <rFont val="Tahoma"/>
            <family val="2"/>
          </rPr>
          <t>Alex Barns:</t>
        </r>
        <r>
          <rPr>
            <sz val="9"/>
            <color indexed="81"/>
            <rFont val="Tahoma"/>
            <family val="2"/>
          </rPr>
          <t xml:space="preserve">
2.5G/5G currently not supported on x240 SFP+. May change in future.</t>
        </r>
      </text>
    </comment>
    <comment ref="U265" authorId="2" shapeId="0" xr:uid="{C9E55429-2846-4422-8CA1-525D661B7C80}">
      <text>
        <r>
          <rPr>
            <b/>
            <sz val="9"/>
            <color indexed="81"/>
            <rFont val="Tahoma"/>
            <family val="2"/>
          </rPr>
          <t>Alex Barns:</t>
        </r>
        <r>
          <rPr>
            <sz val="9"/>
            <color indexed="81"/>
            <rFont val="Tahoma"/>
            <family val="2"/>
          </rPr>
          <t xml:space="preserve">
2.5G/5G currently not supported on x240 SFP+. May change in future.</t>
        </r>
      </text>
    </comment>
    <comment ref="T266" authorId="2" shapeId="0" xr:uid="{0E66CE9C-6819-48FF-9E53-0E3BF95BA7D7}">
      <text>
        <r>
          <rPr>
            <b/>
            <sz val="9"/>
            <color indexed="81"/>
            <rFont val="Tahoma"/>
            <family val="2"/>
          </rPr>
          <t>Alex Barns:</t>
        </r>
        <r>
          <rPr>
            <sz val="9"/>
            <color indexed="81"/>
            <rFont val="Tahoma"/>
            <family val="2"/>
          </rPr>
          <t xml:space="preserve">
2.5G/5G currently not supported on x240 SFP+. May change in future.</t>
        </r>
      </text>
    </comment>
    <comment ref="U266" authorId="2" shapeId="0" xr:uid="{457F51CD-0B82-40B2-99B9-35D1303932CB}">
      <text>
        <r>
          <rPr>
            <b/>
            <sz val="9"/>
            <color indexed="81"/>
            <rFont val="Tahoma"/>
            <family val="2"/>
          </rPr>
          <t>Alex Barns:</t>
        </r>
        <r>
          <rPr>
            <sz val="9"/>
            <color indexed="81"/>
            <rFont val="Tahoma"/>
            <family val="2"/>
          </rPr>
          <t xml:space="preserve">
2.5G/5G currently not supported on x240 SFP+. May change in future.</t>
        </r>
      </text>
    </comment>
    <comment ref="T267" authorId="2" shapeId="0" xr:uid="{82876536-BBF3-4CB4-83B4-5A449B634104}">
      <text>
        <r>
          <rPr>
            <b/>
            <sz val="9"/>
            <color indexed="81"/>
            <rFont val="Tahoma"/>
            <family val="2"/>
          </rPr>
          <t>Alex Barns:</t>
        </r>
        <r>
          <rPr>
            <sz val="9"/>
            <color indexed="81"/>
            <rFont val="Tahoma"/>
            <family val="2"/>
          </rPr>
          <t xml:space="preserve">
2.5G/5G currently not supported on x240 SFP+. May change in future.</t>
        </r>
      </text>
    </comment>
    <comment ref="U267" authorId="2" shapeId="0" xr:uid="{203C45D3-DB12-410E-AE4D-A8D98BE6F323}">
      <text>
        <r>
          <rPr>
            <b/>
            <sz val="9"/>
            <color indexed="81"/>
            <rFont val="Tahoma"/>
            <family val="2"/>
          </rPr>
          <t>Alex Barns:</t>
        </r>
        <r>
          <rPr>
            <sz val="9"/>
            <color indexed="81"/>
            <rFont val="Tahoma"/>
            <family val="2"/>
          </rPr>
          <t xml:space="preserve">
2.5G/5G currently not supported on x240 SFP+. May change in future.</t>
        </r>
      </text>
    </comment>
    <comment ref="T268" authorId="2" shapeId="0" xr:uid="{BC31CABA-0C37-42E3-A1B8-FD943018B135}">
      <text>
        <r>
          <rPr>
            <b/>
            <sz val="9"/>
            <color indexed="81"/>
            <rFont val="Tahoma"/>
            <family val="2"/>
          </rPr>
          <t>Alex Barns:</t>
        </r>
        <r>
          <rPr>
            <sz val="9"/>
            <color indexed="81"/>
            <rFont val="Tahoma"/>
            <family val="2"/>
          </rPr>
          <t xml:space="preserve">
2.5G/5G currently not supported on x240 SFP+. May change in future.</t>
        </r>
      </text>
    </comment>
    <comment ref="U268" authorId="2" shapeId="0" xr:uid="{9BF42AC9-7325-46C1-8351-47DAB2EEDAD0}">
      <text>
        <r>
          <rPr>
            <b/>
            <sz val="9"/>
            <color indexed="81"/>
            <rFont val="Tahoma"/>
            <family val="2"/>
          </rPr>
          <t>Alex Barns:</t>
        </r>
        <r>
          <rPr>
            <sz val="9"/>
            <color indexed="81"/>
            <rFont val="Tahoma"/>
            <family val="2"/>
          </rPr>
          <t xml:space="preserve">
2.5G/5G currently not supported on x240 SFP+. May change in future.</t>
        </r>
      </text>
    </comment>
    <comment ref="T269" authorId="2" shapeId="0" xr:uid="{5649BFFB-E423-4615-BB65-2C608C45CE35}">
      <text>
        <r>
          <rPr>
            <b/>
            <sz val="9"/>
            <color indexed="81"/>
            <rFont val="Tahoma"/>
            <family val="2"/>
          </rPr>
          <t>Alex Barns:</t>
        </r>
        <r>
          <rPr>
            <sz val="9"/>
            <color indexed="81"/>
            <rFont val="Tahoma"/>
            <family val="2"/>
          </rPr>
          <t xml:space="preserve">
2.5G/5G currently not supported on x240 SFP+. May change in future.</t>
        </r>
      </text>
    </comment>
    <comment ref="U269" authorId="2" shapeId="0" xr:uid="{7B31CEA5-8C12-4D9E-81D3-402137E8C1C5}">
      <text>
        <r>
          <rPr>
            <b/>
            <sz val="9"/>
            <color indexed="81"/>
            <rFont val="Tahoma"/>
            <family val="2"/>
          </rPr>
          <t>Alex Barns:</t>
        </r>
        <r>
          <rPr>
            <sz val="9"/>
            <color indexed="81"/>
            <rFont val="Tahoma"/>
            <family val="2"/>
          </rPr>
          <t xml:space="preserve">
2.5G/5G currently not supported on x240 SFP+. May change in future.</t>
        </r>
      </text>
    </comment>
    <comment ref="T270" authorId="2" shapeId="0" xr:uid="{E8027CEB-25F3-470C-8DCF-9DBBF13C4111}">
      <text>
        <r>
          <rPr>
            <b/>
            <sz val="9"/>
            <color indexed="81"/>
            <rFont val="Tahoma"/>
            <family val="2"/>
          </rPr>
          <t>Alex Barns:</t>
        </r>
        <r>
          <rPr>
            <sz val="9"/>
            <color indexed="81"/>
            <rFont val="Tahoma"/>
            <family val="2"/>
          </rPr>
          <t xml:space="preserve">
2.5G/5G currently not supported on x240 SFP+. May change in future.</t>
        </r>
      </text>
    </comment>
    <comment ref="U270" authorId="2" shapeId="0" xr:uid="{FBC9B319-CD90-445D-BC4B-6484DECF0503}">
      <text>
        <r>
          <rPr>
            <b/>
            <sz val="9"/>
            <color indexed="81"/>
            <rFont val="Tahoma"/>
            <family val="2"/>
          </rPr>
          <t>Alex Barns:</t>
        </r>
        <r>
          <rPr>
            <sz val="9"/>
            <color indexed="81"/>
            <rFont val="Tahoma"/>
            <family val="2"/>
          </rPr>
          <t xml:space="preserve">
2.5G/5G currently not supported on x240 SFP+. May change in future.</t>
        </r>
      </text>
    </comment>
    <comment ref="T271" authorId="2" shapeId="0" xr:uid="{58EF9B56-5DC8-469C-8699-C5120A9EA3EB}">
      <text>
        <r>
          <rPr>
            <b/>
            <sz val="9"/>
            <color indexed="81"/>
            <rFont val="Tahoma"/>
            <family val="2"/>
          </rPr>
          <t>Alex Barns:</t>
        </r>
        <r>
          <rPr>
            <sz val="9"/>
            <color indexed="81"/>
            <rFont val="Tahoma"/>
            <family val="2"/>
          </rPr>
          <t xml:space="preserve">
2.5G/5G currently not supported on x240 SFP+. May change in future.</t>
        </r>
      </text>
    </comment>
    <comment ref="U271" authorId="2" shapeId="0" xr:uid="{3BE3FDBD-97E7-4FD1-96B5-246023A2E1D1}">
      <text>
        <r>
          <rPr>
            <b/>
            <sz val="9"/>
            <color indexed="81"/>
            <rFont val="Tahoma"/>
            <family val="2"/>
          </rPr>
          <t>Alex Barns:</t>
        </r>
        <r>
          <rPr>
            <sz val="9"/>
            <color indexed="81"/>
            <rFont val="Tahoma"/>
            <family val="2"/>
          </rPr>
          <t xml:space="preserve">
2.5G/5G currently not supported on x240 SFP+. May change in future.</t>
        </r>
      </text>
    </comment>
    <comment ref="T272" authorId="2" shapeId="0" xr:uid="{90BFB921-53E6-439F-BFFB-2973182521FF}">
      <text>
        <r>
          <rPr>
            <b/>
            <sz val="9"/>
            <color indexed="81"/>
            <rFont val="Tahoma"/>
            <family val="2"/>
          </rPr>
          <t>Alex Barns:</t>
        </r>
        <r>
          <rPr>
            <sz val="9"/>
            <color indexed="81"/>
            <rFont val="Tahoma"/>
            <family val="2"/>
          </rPr>
          <t xml:space="preserve">
2.5G/5G currently not supported on x240 SFP+. May change in future.</t>
        </r>
      </text>
    </comment>
    <comment ref="U272" authorId="2" shapeId="0" xr:uid="{09A03073-547E-4EB6-87CD-499629D9EF4F}">
      <text>
        <r>
          <rPr>
            <b/>
            <sz val="9"/>
            <color indexed="81"/>
            <rFont val="Tahoma"/>
            <family val="2"/>
          </rPr>
          <t>Alex Barns:</t>
        </r>
        <r>
          <rPr>
            <sz val="9"/>
            <color indexed="81"/>
            <rFont val="Tahoma"/>
            <family val="2"/>
          </rPr>
          <t xml:space="preserve">
2.5G/5G currently not supported on x240 SFP+. May change in future.</t>
        </r>
      </text>
    </comment>
    <comment ref="T273" authorId="2" shapeId="0" xr:uid="{ADFF1EF7-AAD3-4809-909D-DE95E2FEEE00}">
      <text>
        <r>
          <rPr>
            <b/>
            <sz val="9"/>
            <color indexed="81"/>
            <rFont val="Tahoma"/>
            <family val="2"/>
          </rPr>
          <t>Alex Barns:</t>
        </r>
        <r>
          <rPr>
            <sz val="9"/>
            <color indexed="81"/>
            <rFont val="Tahoma"/>
            <family val="2"/>
          </rPr>
          <t xml:space="preserve">
2.5G/5G currently not supported on x240 SFP+. May change in future.</t>
        </r>
      </text>
    </comment>
    <comment ref="U273" authorId="2" shapeId="0" xr:uid="{7460B31F-1953-4B56-AE69-A7AB564D7E0E}">
      <text>
        <r>
          <rPr>
            <b/>
            <sz val="9"/>
            <color indexed="81"/>
            <rFont val="Tahoma"/>
            <family val="2"/>
          </rPr>
          <t>Alex Barns:</t>
        </r>
        <r>
          <rPr>
            <sz val="9"/>
            <color indexed="81"/>
            <rFont val="Tahoma"/>
            <family val="2"/>
          </rPr>
          <t xml:space="preserve">
2.5G/5G currently not supported on x240 SFP+. May change in future.</t>
        </r>
      </text>
    </comment>
    <comment ref="T274" authorId="2" shapeId="0" xr:uid="{CA7F872E-A47E-45C9-B77C-45653CDBA984}">
      <text>
        <r>
          <rPr>
            <b/>
            <sz val="9"/>
            <color indexed="81"/>
            <rFont val="Tahoma"/>
            <family val="2"/>
          </rPr>
          <t>Alex Barns:</t>
        </r>
        <r>
          <rPr>
            <sz val="9"/>
            <color indexed="81"/>
            <rFont val="Tahoma"/>
            <family val="2"/>
          </rPr>
          <t xml:space="preserve">
2.5G/5G currently not supported on x240 SFP+. May change in future.</t>
        </r>
      </text>
    </comment>
    <comment ref="U274" authorId="2" shapeId="0" xr:uid="{595C0649-388A-4C57-93C4-C6D86C64D4D1}">
      <text>
        <r>
          <rPr>
            <b/>
            <sz val="9"/>
            <color indexed="81"/>
            <rFont val="Tahoma"/>
            <family val="2"/>
          </rPr>
          <t>Alex Barns:</t>
        </r>
        <r>
          <rPr>
            <sz val="9"/>
            <color indexed="81"/>
            <rFont val="Tahoma"/>
            <family val="2"/>
          </rPr>
          <t xml:space="preserve">
2.5G/5G currently not supported on x240 SFP+. May change in future.</t>
        </r>
      </text>
    </comment>
    <comment ref="T275" authorId="2" shapeId="0" xr:uid="{426CDC93-2DED-4ECF-8040-71E44F2C02B3}">
      <text>
        <r>
          <rPr>
            <b/>
            <sz val="9"/>
            <color indexed="81"/>
            <rFont val="Tahoma"/>
            <family val="2"/>
          </rPr>
          <t>Alex Barns:</t>
        </r>
        <r>
          <rPr>
            <sz val="9"/>
            <color indexed="81"/>
            <rFont val="Tahoma"/>
            <family val="2"/>
          </rPr>
          <t xml:space="preserve">
2.5G/5G currently not supported on x240 SFP+. May change in future.</t>
        </r>
      </text>
    </comment>
    <comment ref="U275" authorId="2" shapeId="0" xr:uid="{2D62CBF3-ED2A-44C3-A5F1-E3751FB29EE6}">
      <text>
        <r>
          <rPr>
            <b/>
            <sz val="9"/>
            <color indexed="81"/>
            <rFont val="Tahoma"/>
            <family val="2"/>
          </rPr>
          <t>Alex Barns:</t>
        </r>
        <r>
          <rPr>
            <sz val="9"/>
            <color indexed="81"/>
            <rFont val="Tahoma"/>
            <family val="2"/>
          </rPr>
          <t xml:space="preserve">
2.5G/5G currently not supported on x240 SFP+. May change in future.</t>
        </r>
      </text>
    </comment>
    <comment ref="T276" authorId="2" shapeId="0" xr:uid="{044E3503-7873-4580-8390-91AAA19021DE}">
      <text>
        <r>
          <rPr>
            <b/>
            <sz val="9"/>
            <color indexed="81"/>
            <rFont val="Tahoma"/>
            <family val="2"/>
          </rPr>
          <t>Alex Barns:</t>
        </r>
        <r>
          <rPr>
            <sz val="9"/>
            <color indexed="81"/>
            <rFont val="Tahoma"/>
            <family val="2"/>
          </rPr>
          <t xml:space="preserve">
2.5G/5G currently not supported on x240 SFP+. May change in future.</t>
        </r>
      </text>
    </comment>
    <comment ref="U276" authorId="2" shapeId="0" xr:uid="{D9C72D0A-9A0C-4326-A321-2C81CE18D562}">
      <text>
        <r>
          <rPr>
            <b/>
            <sz val="9"/>
            <color indexed="81"/>
            <rFont val="Tahoma"/>
            <family val="2"/>
          </rPr>
          <t>Alex Barns:</t>
        </r>
        <r>
          <rPr>
            <sz val="9"/>
            <color indexed="81"/>
            <rFont val="Tahoma"/>
            <family val="2"/>
          </rPr>
          <t xml:space="preserve">
2.5G/5G currently not supported on x240 SFP+. May change in future.</t>
        </r>
      </text>
    </comment>
    <comment ref="T277" authorId="2" shapeId="0" xr:uid="{4AB879C6-A4A2-44D2-B177-0C66F8EB0AA4}">
      <text>
        <r>
          <rPr>
            <b/>
            <sz val="9"/>
            <color indexed="81"/>
            <rFont val="Tahoma"/>
            <family val="2"/>
          </rPr>
          <t>Alex Barns:</t>
        </r>
        <r>
          <rPr>
            <sz val="9"/>
            <color indexed="81"/>
            <rFont val="Tahoma"/>
            <family val="2"/>
          </rPr>
          <t xml:space="preserve">
2.5G/5G currently not supported on x240 SFP+. May change in future.</t>
        </r>
      </text>
    </comment>
    <comment ref="U277" authorId="2" shapeId="0" xr:uid="{9558142E-AE68-4B12-B874-20BBC6D1837E}">
      <text>
        <r>
          <rPr>
            <b/>
            <sz val="9"/>
            <color indexed="81"/>
            <rFont val="Tahoma"/>
            <family val="2"/>
          </rPr>
          <t>Alex Barns:</t>
        </r>
        <r>
          <rPr>
            <sz val="9"/>
            <color indexed="81"/>
            <rFont val="Tahoma"/>
            <family val="2"/>
          </rPr>
          <t xml:space="preserve">
2.5G/5G currently not supported on x240 SFP+. May change in future.</t>
        </r>
      </text>
    </comment>
    <comment ref="T278" authorId="2" shapeId="0" xr:uid="{94C9EFE2-E44E-4FB5-98F5-2D0A84E7E57D}">
      <text>
        <r>
          <rPr>
            <b/>
            <sz val="9"/>
            <color indexed="81"/>
            <rFont val="Tahoma"/>
            <family val="2"/>
          </rPr>
          <t>Alex Barns:</t>
        </r>
        <r>
          <rPr>
            <sz val="9"/>
            <color indexed="81"/>
            <rFont val="Tahoma"/>
            <family val="2"/>
          </rPr>
          <t xml:space="preserve">
2.5G/5G currently not supported on x240 SFP+. May change in future.</t>
        </r>
      </text>
    </comment>
    <comment ref="U278" authorId="2" shapeId="0" xr:uid="{1FED932F-D3F3-4A2A-BA65-9799E89953FC}">
      <text>
        <r>
          <rPr>
            <b/>
            <sz val="9"/>
            <color indexed="81"/>
            <rFont val="Tahoma"/>
            <family val="2"/>
          </rPr>
          <t>Alex Barns:</t>
        </r>
        <r>
          <rPr>
            <sz val="9"/>
            <color indexed="81"/>
            <rFont val="Tahoma"/>
            <family val="2"/>
          </rPr>
          <t xml:space="preserve">
2.5G/5G currently not supported on x240 SFP+. May change in future.</t>
        </r>
      </text>
    </comment>
    <comment ref="T279" authorId="2" shapeId="0" xr:uid="{B6599131-BB8F-4168-980C-E695FF53E243}">
      <text>
        <r>
          <rPr>
            <b/>
            <sz val="9"/>
            <color indexed="81"/>
            <rFont val="Tahoma"/>
            <family val="2"/>
          </rPr>
          <t>Alex Barns:</t>
        </r>
        <r>
          <rPr>
            <sz val="9"/>
            <color indexed="81"/>
            <rFont val="Tahoma"/>
            <family val="2"/>
          </rPr>
          <t xml:space="preserve">
2.5G/5G currently not supported on x240 SFP+. May change in future.</t>
        </r>
      </text>
    </comment>
    <comment ref="U279" authorId="2" shapeId="0" xr:uid="{206F0BD8-20F0-446E-A77E-E89A22AAC3A7}">
      <text>
        <r>
          <rPr>
            <b/>
            <sz val="9"/>
            <color indexed="81"/>
            <rFont val="Tahoma"/>
            <family val="2"/>
          </rPr>
          <t>Alex Barns:</t>
        </r>
        <r>
          <rPr>
            <sz val="9"/>
            <color indexed="81"/>
            <rFont val="Tahoma"/>
            <family val="2"/>
          </rPr>
          <t xml:space="preserve">
2.5G/5G currently not supported on x240 SFP+. May change in future.</t>
        </r>
      </text>
    </comment>
    <comment ref="T280" authorId="2" shapeId="0" xr:uid="{AB55706A-3387-4A50-965C-BD70433D6FA9}">
      <text>
        <r>
          <rPr>
            <b/>
            <sz val="9"/>
            <color indexed="81"/>
            <rFont val="Tahoma"/>
            <family val="2"/>
          </rPr>
          <t>Alex Barns:</t>
        </r>
        <r>
          <rPr>
            <sz val="9"/>
            <color indexed="81"/>
            <rFont val="Tahoma"/>
            <family val="2"/>
          </rPr>
          <t xml:space="preserve">
2.5G/5G currently not supported on x240 SFP+. May change in future.</t>
        </r>
      </text>
    </comment>
    <comment ref="U280" authorId="2" shapeId="0" xr:uid="{44FCC431-CA03-41F1-9CB9-63DA34354281}">
      <text>
        <r>
          <rPr>
            <b/>
            <sz val="9"/>
            <color indexed="81"/>
            <rFont val="Tahoma"/>
            <family val="2"/>
          </rPr>
          <t>Alex Barns:</t>
        </r>
        <r>
          <rPr>
            <sz val="9"/>
            <color indexed="81"/>
            <rFont val="Tahoma"/>
            <family val="2"/>
          </rPr>
          <t xml:space="preserve">
2.5G/5G currently not supported on x240 SFP+. May change in future.</t>
        </r>
      </text>
    </comment>
    <comment ref="T281" authorId="2" shapeId="0" xr:uid="{A57CA066-7DB5-4615-8C6E-2185B54D8F88}">
      <text>
        <r>
          <rPr>
            <b/>
            <sz val="9"/>
            <color indexed="81"/>
            <rFont val="Tahoma"/>
            <family val="2"/>
          </rPr>
          <t>Alex Barns:</t>
        </r>
        <r>
          <rPr>
            <sz val="9"/>
            <color indexed="81"/>
            <rFont val="Tahoma"/>
            <family val="2"/>
          </rPr>
          <t xml:space="preserve">
2.5G/5G currently not supported on x240 SFP+. May change in future.</t>
        </r>
      </text>
    </comment>
    <comment ref="U281" authorId="2" shapeId="0" xr:uid="{B8152715-CE7E-4C29-92FC-D0BFA6D9AE01}">
      <text>
        <r>
          <rPr>
            <b/>
            <sz val="9"/>
            <color indexed="81"/>
            <rFont val="Tahoma"/>
            <family val="2"/>
          </rPr>
          <t>Alex Barns:</t>
        </r>
        <r>
          <rPr>
            <sz val="9"/>
            <color indexed="81"/>
            <rFont val="Tahoma"/>
            <family val="2"/>
          </rPr>
          <t xml:space="preserve">
2.5G/5G currently not supported on x240 SFP+. May change in future.</t>
        </r>
      </text>
    </comment>
    <comment ref="T282" authorId="2" shapeId="0" xr:uid="{97B4AD81-3D1F-4FD5-8659-B8FCB86A36B8}">
      <text>
        <r>
          <rPr>
            <b/>
            <sz val="9"/>
            <color indexed="81"/>
            <rFont val="Tahoma"/>
            <family val="2"/>
          </rPr>
          <t>Alex Barns:</t>
        </r>
        <r>
          <rPr>
            <sz val="9"/>
            <color indexed="81"/>
            <rFont val="Tahoma"/>
            <family val="2"/>
          </rPr>
          <t xml:space="preserve">
2.5G/5G currently not supported on x240 SFP+. May change in future.</t>
        </r>
      </text>
    </comment>
    <comment ref="U282" authorId="2" shapeId="0" xr:uid="{BB74CFA8-A76A-427A-85F3-73CB87A7DD7B}">
      <text>
        <r>
          <rPr>
            <b/>
            <sz val="9"/>
            <color indexed="81"/>
            <rFont val="Tahoma"/>
            <family val="2"/>
          </rPr>
          <t>Alex Barns:</t>
        </r>
        <r>
          <rPr>
            <sz val="9"/>
            <color indexed="81"/>
            <rFont val="Tahoma"/>
            <family val="2"/>
          </rPr>
          <t xml:space="preserve">
2.5G/5G currently not supported on x240 SFP+. May change in future.</t>
        </r>
      </text>
    </comment>
    <comment ref="T283" authorId="2" shapeId="0" xr:uid="{C487CFC9-43A7-4BBF-A22C-381D97136059}">
      <text>
        <r>
          <rPr>
            <b/>
            <sz val="9"/>
            <color indexed="81"/>
            <rFont val="Tahoma"/>
            <family val="2"/>
          </rPr>
          <t>Alex Barns:</t>
        </r>
        <r>
          <rPr>
            <sz val="9"/>
            <color indexed="81"/>
            <rFont val="Tahoma"/>
            <family val="2"/>
          </rPr>
          <t xml:space="preserve">
2.5G/5G currently not supported on x240 SFP+. May change in future.</t>
        </r>
      </text>
    </comment>
    <comment ref="U283" authorId="2" shapeId="0" xr:uid="{C43D101D-5272-4DB7-98A1-A1A4BCA7139B}">
      <text>
        <r>
          <rPr>
            <b/>
            <sz val="9"/>
            <color indexed="81"/>
            <rFont val="Tahoma"/>
            <family val="2"/>
          </rPr>
          <t>Alex Barns:</t>
        </r>
        <r>
          <rPr>
            <sz val="9"/>
            <color indexed="81"/>
            <rFont val="Tahoma"/>
            <family val="2"/>
          </rPr>
          <t xml:space="preserve">
2.5G/5G currently not supported on x240 SFP+. May change in future.</t>
        </r>
      </text>
    </comment>
    <comment ref="T284" authorId="2" shapeId="0" xr:uid="{D02AF3B2-D90D-4767-8F22-1C0BC465FA99}">
      <text>
        <r>
          <rPr>
            <b/>
            <sz val="9"/>
            <color indexed="81"/>
            <rFont val="Tahoma"/>
            <family val="2"/>
          </rPr>
          <t>Alex Barns:</t>
        </r>
        <r>
          <rPr>
            <sz val="9"/>
            <color indexed="81"/>
            <rFont val="Tahoma"/>
            <family val="2"/>
          </rPr>
          <t xml:space="preserve">
2.5G/5G currently not supported on x240 SFP+. May change in future.</t>
        </r>
      </text>
    </comment>
    <comment ref="U284" authorId="2" shapeId="0" xr:uid="{AFDFEAEC-F004-4AFE-8771-2FD7E546AAEB}">
      <text>
        <r>
          <rPr>
            <b/>
            <sz val="9"/>
            <color indexed="81"/>
            <rFont val="Tahoma"/>
            <family val="2"/>
          </rPr>
          <t>Alex Barns:</t>
        </r>
        <r>
          <rPr>
            <sz val="9"/>
            <color indexed="81"/>
            <rFont val="Tahoma"/>
            <family val="2"/>
          </rPr>
          <t xml:space="preserve">
2.5G/5G currently not supported on x240 SFP+. May change in future.</t>
        </r>
      </text>
    </comment>
    <comment ref="T285" authorId="2" shapeId="0" xr:uid="{3C41E98F-0A9E-41CF-A572-E865B7FEB2D4}">
      <text>
        <r>
          <rPr>
            <b/>
            <sz val="9"/>
            <color indexed="81"/>
            <rFont val="Tahoma"/>
            <family val="2"/>
          </rPr>
          <t>Alex Barns:</t>
        </r>
        <r>
          <rPr>
            <sz val="9"/>
            <color indexed="81"/>
            <rFont val="Tahoma"/>
            <family val="2"/>
          </rPr>
          <t xml:space="preserve">
2.5G/5G currently not supported on x240 SFP+. May change in future.</t>
        </r>
      </text>
    </comment>
    <comment ref="U285" authorId="2" shapeId="0" xr:uid="{E0598FC8-B408-4DA3-A407-350C11BBBB0C}">
      <text>
        <r>
          <rPr>
            <b/>
            <sz val="9"/>
            <color indexed="81"/>
            <rFont val="Tahoma"/>
            <family val="2"/>
          </rPr>
          <t>Alex Barns:</t>
        </r>
        <r>
          <rPr>
            <sz val="9"/>
            <color indexed="81"/>
            <rFont val="Tahoma"/>
            <family val="2"/>
          </rPr>
          <t xml:space="preserve">
2.5G/5G currently not supported on x240 SFP+. May change in future.</t>
        </r>
      </text>
    </comment>
    <comment ref="T286" authorId="2" shapeId="0" xr:uid="{A69012B3-810D-460A-8D4B-94DD5A72D749}">
      <text>
        <r>
          <rPr>
            <b/>
            <sz val="9"/>
            <color indexed="81"/>
            <rFont val="Tahoma"/>
            <family val="2"/>
          </rPr>
          <t>Alex Barns:</t>
        </r>
        <r>
          <rPr>
            <sz val="9"/>
            <color indexed="81"/>
            <rFont val="Tahoma"/>
            <family val="2"/>
          </rPr>
          <t xml:space="preserve">
2.5G/5G currently not supported on x240 SFP+. May change in future.</t>
        </r>
      </text>
    </comment>
    <comment ref="U286" authorId="2" shapeId="0" xr:uid="{7462D7CC-F79B-46D0-8F83-10A2412FBE69}">
      <text>
        <r>
          <rPr>
            <b/>
            <sz val="9"/>
            <color indexed="81"/>
            <rFont val="Tahoma"/>
            <family val="2"/>
          </rPr>
          <t>Alex Barns:</t>
        </r>
        <r>
          <rPr>
            <sz val="9"/>
            <color indexed="81"/>
            <rFont val="Tahoma"/>
            <family val="2"/>
          </rPr>
          <t xml:space="preserve">
2.5G/5G currently not supported on x240 SFP+. May change in future.</t>
        </r>
      </text>
    </comment>
    <comment ref="T287" authorId="2" shapeId="0" xr:uid="{339A7EFB-FCD6-4547-A501-9EF74FCDCB6B}">
      <text>
        <r>
          <rPr>
            <b/>
            <sz val="9"/>
            <color indexed="81"/>
            <rFont val="Tahoma"/>
            <family val="2"/>
          </rPr>
          <t>Alex Barns:</t>
        </r>
        <r>
          <rPr>
            <sz val="9"/>
            <color indexed="81"/>
            <rFont val="Tahoma"/>
            <family val="2"/>
          </rPr>
          <t xml:space="preserve">
2.5G/5G currently not supported on x240 SFP+. May change in future.</t>
        </r>
      </text>
    </comment>
    <comment ref="U287" authorId="2" shapeId="0" xr:uid="{F764742D-2FF9-41A5-B8BA-0C098D735F17}">
      <text>
        <r>
          <rPr>
            <b/>
            <sz val="9"/>
            <color indexed="81"/>
            <rFont val="Tahoma"/>
            <family val="2"/>
          </rPr>
          <t>Alex Barns:</t>
        </r>
        <r>
          <rPr>
            <sz val="9"/>
            <color indexed="81"/>
            <rFont val="Tahoma"/>
            <family val="2"/>
          </rPr>
          <t xml:space="preserve">
2.5G/5G currently not supported on x240 SFP+. May change in future.</t>
        </r>
      </text>
    </comment>
    <comment ref="T288" authorId="2" shapeId="0" xr:uid="{D9E56ACC-C2B3-45BE-90DC-E79C8A1EF031}">
      <text>
        <r>
          <rPr>
            <b/>
            <sz val="9"/>
            <color indexed="81"/>
            <rFont val="Tahoma"/>
            <family val="2"/>
          </rPr>
          <t>Alex Barns:</t>
        </r>
        <r>
          <rPr>
            <sz val="9"/>
            <color indexed="81"/>
            <rFont val="Tahoma"/>
            <family val="2"/>
          </rPr>
          <t xml:space="preserve">
2.5G/5G currently not supported on x240 SFP+. May change in future.</t>
        </r>
      </text>
    </comment>
    <comment ref="U288" authorId="2" shapeId="0" xr:uid="{8E1C1169-32E9-4ADF-A02D-EA0F3641E1B2}">
      <text>
        <r>
          <rPr>
            <b/>
            <sz val="9"/>
            <color indexed="81"/>
            <rFont val="Tahoma"/>
            <family val="2"/>
          </rPr>
          <t>Alex Barns:</t>
        </r>
        <r>
          <rPr>
            <sz val="9"/>
            <color indexed="81"/>
            <rFont val="Tahoma"/>
            <family val="2"/>
          </rPr>
          <t xml:space="preserve">
2.5G/5G currently not supported on x240 SFP+. May change in future.</t>
        </r>
      </text>
    </comment>
    <comment ref="T289" authorId="2" shapeId="0" xr:uid="{D351B320-B2C3-4B60-9227-C53DEEF558AD}">
      <text>
        <r>
          <rPr>
            <b/>
            <sz val="9"/>
            <color indexed="81"/>
            <rFont val="Tahoma"/>
            <family val="2"/>
          </rPr>
          <t>Alex Barns:</t>
        </r>
        <r>
          <rPr>
            <sz val="9"/>
            <color indexed="81"/>
            <rFont val="Tahoma"/>
            <family val="2"/>
          </rPr>
          <t xml:space="preserve">
2.5G/5G currently not supported on x240 SFP+. May change in future.</t>
        </r>
      </text>
    </comment>
    <comment ref="U289" authorId="2" shapeId="0" xr:uid="{9A33663D-8E2C-4079-A27F-E8A977D92DD6}">
      <text>
        <r>
          <rPr>
            <b/>
            <sz val="9"/>
            <color indexed="81"/>
            <rFont val="Tahoma"/>
            <family val="2"/>
          </rPr>
          <t>Alex Barns:</t>
        </r>
        <r>
          <rPr>
            <sz val="9"/>
            <color indexed="81"/>
            <rFont val="Tahoma"/>
            <family val="2"/>
          </rPr>
          <t xml:space="preserve">
2.5G/5G currently not supported on x240 SFP+. May change in future.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A14" authorId="0" shapeId="0" xr:uid="{00000000-0006-0000-0F00-000001000000}">
      <text>
        <r>
          <rPr>
            <sz val="11"/>
            <color rgb="FF000000"/>
            <rFont val="Calibri"/>
            <family val="2"/>
            <charset val="1"/>
          </rPr>
          <t xml:space="preserve">JOHNE:
</t>
        </r>
        <r>
          <rPr>
            <sz val="8"/>
            <color rgb="FFFFFFFF"/>
            <rFont val="Tahoma"/>
            <family val="2"/>
            <charset val="1"/>
          </rPr>
          <t>There were no details on the XFP that stated wavelength, Type,  laser class, Part number</t>
        </r>
      </text>
    </comment>
    <comment ref="AB14" authorId="0" shapeId="0" xr:uid="{00000000-0006-0000-0F00-000002000000}">
      <text>
        <r>
          <rPr>
            <sz val="11"/>
            <color rgb="FF000000"/>
            <rFont val="Calibri"/>
            <family val="2"/>
            <charset val="1"/>
          </rPr>
          <t xml:space="preserve">JOHNE:
</t>
        </r>
        <r>
          <rPr>
            <sz val="8"/>
            <color rgb="FFFFFFFF"/>
            <rFont val="Tahoma"/>
            <family val="2"/>
            <charset val="1"/>
          </rPr>
          <t>There were no details on the XFP that stated wavelength, Type,  laser class, Part number</t>
        </r>
      </text>
    </comment>
    <comment ref="AC14" authorId="0" shapeId="0" xr:uid="{00000000-0006-0000-0F00-000003000000}">
      <text>
        <r>
          <rPr>
            <sz val="11"/>
            <color rgb="FF000000"/>
            <rFont val="Calibri"/>
            <family val="2"/>
            <charset val="1"/>
          </rPr>
          <t xml:space="preserve">JOHNE:
</t>
        </r>
        <r>
          <rPr>
            <sz val="8"/>
            <color rgb="FFFFFFFF"/>
            <rFont val="Tahoma"/>
            <family val="2"/>
            <charset val="1"/>
          </rPr>
          <t>There were no details on the XFP that stated wavelength, Type,  laser class, Part number</t>
        </r>
      </text>
    </comment>
    <comment ref="AA16" authorId="0" shapeId="0" xr:uid="{00000000-0006-0000-0F00-000004000000}">
      <text>
        <r>
          <rPr>
            <sz val="11"/>
            <color rgb="FF000000"/>
            <rFont val="Calibri"/>
            <family val="2"/>
            <charset val="1"/>
          </rPr>
          <t xml:space="preserve">MATTHEWH:
</t>
        </r>
        <r>
          <rPr>
            <sz val="8"/>
            <color rgb="FFFFFFFF"/>
            <rFont val="Tahoma"/>
            <family val="2"/>
            <charset val="1"/>
          </rPr>
          <t>Data Intergity Failed on SB.  This is an issue that has been around a while.  It is a SB issue not an XFP issue.  Hence it should not stop the XFP from passing this qualification</t>
        </r>
      </text>
    </comment>
    <comment ref="AB16" authorId="0" shapeId="0" xr:uid="{00000000-0006-0000-0F00-000005000000}">
      <text>
        <r>
          <rPr>
            <sz val="11"/>
            <color rgb="FF000000"/>
            <rFont val="Calibri"/>
            <family val="2"/>
            <charset val="1"/>
          </rPr>
          <t xml:space="preserve">MATTHEWH:
</t>
        </r>
        <r>
          <rPr>
            <sz val="8"/>
            <color rgb="FFFFFFFF"/>
            <rFont val="Tahoma"/>
            <family val="2"/>
            <charset val="1"/>
          </rPr>
          <t>Data Intergity Failed on SB.  This is an issue that has been around a while.  It is a SB issue not an XFP issue.  Hence it should not stop the XFP from passing this qualification</t>
        </r>
      </text>
    </comment>
    <comment ref="AC16" authorId="0" shapeId="0" xr:uid="{00000000-0006-0000-0F00-000006000000}">
      <text>
        <r>
          <rPr>
            <sz val="11"/>
            <color rgb="FF000000"/>
            <rFont val="Calibri"/>
            <family val="2"/>
            <charset val="1"/>
          </rPr>
          <t xml:space="preserve">MATTHEWH:
</t>
        </r>
        <r>
          <rPr>
            <sz val="8"/>
            <color rgb="FFFFFFFF"/>
            <rFont val="Tahoma"/>
            <family val="2"/>
            <charset val="1"/>
          </rPr>
          <t>Data Intergity Failed on SB.  This is an issue that has been around a while.  It is a SB issue not an XFP issue.  Hence it should not stop the XFP from passing this qualification</t>
        </r>
      </text>
    </comment>
    <comment ref="AA24" authorId="0" shapeId="0" xr:uid="{00000000-0006-0000-0F00-000007000000}">
      <text>
        <r>
          <rPr>
            <sz val="11"/>
            <color rgb="FF000000"/>
            <rFont val="Calibri"/>
            <family val="2"/>
            <charset val="1"/>
          </rPr>
          <t xml:space="preserve">MATTHEWH:
</t>
        </r>
        <r>
          <rPr>
            <sz val="8"/>
            <color rgb="FFFFFFFF"/>
            <rFont val="Tahoma"/>
            <family val="2"/>
            <charset val="1"/>
          </rPr>
          <t>Data Intergity Failed on SB.  This is an issue that has been around a while.  It is a SB issue not an XFP issue.  Hence it should not stop the XFP from passing this qualification</t>
        </r>
      </text>
    </comment>
    <comment ref="AB24" authorId="0" shapeId="0" xr:uid="{00000000-0006-0000-0F00-000008000000}">
      <text>
        <r>
          <rPr>
            <sz val="11"/>
            <color rgb="FF000000"/>
            <rFont val="Calibri"/>
            <family val="2"/>
            <charset val="1"/>
          </rPr>
          <t xml:space="preserve">MATTHEWH:
</t>
        </r>
        <r>
          <rPr>
            <sz val="8"/>
            <color rgb="FFFFFFFF"/>
            <rFont val="Tahoma"/>
            <family val="2"/>
            <charset val="1"/>
          </rPr>
          <t>Data Intergity Failed on SB.  This is an issue that has been around a while.  It is a SB issue not an XFP issue.  Hence it should not stop the XFP from passing this qualification</t>
        </r>
      </text>
    </comment>
    <comment ref="AC24" authorId="0" shapeId="0" xr:uid="{00000000-0006-0000-0F00-000009000000}">
      <text>
        <r>
          <rPr>
            <sz val="11"/>
            <color rgb="FF000000"/>
            <rFont val="Calibri"/>
            <family val="2"/>
            <charset val="1"/>
          </rPr>
          <t xml:space="preserve">MATTHEWH:
</t>
        </r>
        <r>
          <rPr>
            <sz val="8"/>
            <color rgb="FFFFFFFF"/>
            <rFont val="Tahoma"/>
            <family val="2"/>
            <charset val="1"/>
          </rPr>
          <t>Data Intergity Failed on SB.  This is an issue that has been around a while.  It is a SB issue not an XFP issue.  Hence it should not stop the XFP from passing this qualification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<sst xmlns="http://schemas.openxmlformats.org/spreadsheetml/2006/main" count="20802" uniqueCount="2547">
  <si>
    <t>This spreadsheet provides the following areas of information :</t>
  </si>
  <si>
    <t>Qualification_Transceiver_Inventory WIKI page</t>
  </si>
  <si>
    <t>This WIKI page has details of units on hand and links to PRD's and Specifications. Details include images, serial numbers, revision.</t>
  </si>
  <si>
    <t>Qualification_Transceiver_Inventory - How create a link.</t>
  </si>
  <si>
    <t>Older results have been processed and saved in TestLink. More recently results are stored in Jira/Adapivist.</t>
  </si>
  <si>
    <t>TestLink login page</t>
  </si>
  <si>
    <t>Description</t>
  </si>
  <si>
    <t>AT Model No. (Is a link to WIKI page)</t>
  </si>
  <si>
    <t xml:space="preserve">The name that the Transceiver is generally known by - as a link to the  'Qualification Transceiver Inventory' WIKI page.
( see wiki page for details on the process of defining the links.) </t>
  </si>
  <si>
    <t>AT Rev. (As on the unit's Label)</t>
  </si>
  <si>
    <t>This field shows the revision ( as on the label) of the transceiver. There maybe multiple lines of the same transceiver but different versions.</t>
  </si>
  <si>
    <t>OEM Manufacturer</t>
  </si>
  <si>
    <t>Vend. Rev. (Debug)</t>
  </si>
  <si>
    <t>This field shows what the EEPROM reports the version as.  ( there may be differences where the label will show what the version may become compared to the actual sample on hand.)</t>
  </si>
  <si>
    <t>Status/Testlink info link</t>
  </si>
  <si>
    <t>This field sumerises the testing status.</t>
  </si>
  <si>
    <t>Defines the modes and speeds that the transceiver will operate.</t>
  </si>
  <si>
    <t>DDM</t>
  </si>
  <si>
    <t>Indicates if DDM ( Digital Diagnostic Monitoring ) is supported.</t>
  </si>
  <si>
    <t>Mfgr Part Number</t>
  </si>
  <si>
    <t>Manufacturer  Part Number - for reference</t>
  </si>
  <si>
    <t>AT Part No</t>
  </si>
  <si>
    <t>Alliedtelsis Part Number</t>
  </si>
  <si>
    <t>Attenuation</t>
  </si>
  <si>
    <t>Indicates if any attenuation is required for testing ( stops units overpowering the other end. )</t>
  </si>
  <si>
    <t>Set1</t>
  </si>
  <si>
    <t>Indicates that a pair of transceivers are on-hand as Qualification units.</t>
  </si>
  <si>
    <t>Set2</t>
  </si>
  <si>
    <t>Indicates that a second pair of transceivers are on-hand as Qualification units. ( backup if a fault occurs in a set1 unit)</t>
  </si>
  <si>
    <t>ATI Datasheet</t>
  </si>
  <si>
    <t>A link to datasheet/s</t>
  </si>
  <si>
    <t>TL  ID</t>
  </si>
  <si>
    <t>The TestLink platform-management ID for the transceiver.  Login and select 'platform management' . Click the icon like a lego block to display IDs. Search for the ID.</t>
  </si>
  <si>
    <t>Other visable TABs</t>
  </si>
  <si>
    <t>Key</t>
  </si>
  <si>
    <t>The defintions of formating used in the above TABs to indicate the status of testing of a platfrom/transceiver combination.</t>
  </si>
  <si>
    <t>A list of all platform families and models. For each there are details of the PHY types and specifications.
It is here, that it is determined what platform/models are required to allow all port types to be identified and uniquely used in Qualification testing.
eg    XEM2-12XSv2 XEM2-8XSTm are the same but different to   XEM2-12XS</t>
  </si>
  <si>
    <t>Hidden TABs 
( use right-click_unhide to show) them</t>
  </si>
  <si>
    <t>Qualification process</t>
  </si>
  <si>
    <t>Info on Qualification Process TAB to be merged into the Title Page TAB.</t>
  </si>
  <si>
    <t>OLD-XFP</t>
  </si>
  <si>
    <t>OLD-Rules</t>
  </si>
  <si>
    <t>OLD-GBIC</t>
  </si>
  <si>
    <t>100M SFP Qualification</t>
  </si>
  <si>
    <r>
      <rPr>
        <b/>
        <sz val="12"/>
        <rFont val="Arial"/>
        <family val="2"/>
        <charset val="1"/>
      </rPr>
      <t xml:space="preserve">AT Model No.
</t>
    </r>
    <r>
      <rPr>
        <sz val="12"/>
        <rFont val="Arial"/>
        <family val="2"/>
        <charset val="1"/>
      </rPr>
      <t>(link to WIKI)</t>
    </r>
  </si>
  <si>
    <t>IE210L</t>
  </si>
  <si>
    <t>IE340</t>
  </si>
  <si>
    <t>SBx8100</t>
  </si>
  <si>
    <t>x220 (GS980M)</t>
  </si>
  <si>
    <t>SH/x230 (GS970M)</t>
  </si>
  <si>
    <t>x530</t>
  </si>
  <si>
    <t>x930</t>
  </si>
  <si>
    <t>AW+  EOS</t>
  </si>
  <si>
    <t>IE300</t>
  </si>
  <si>
    <t>SH/x310</t>
  </si>
  <si>
    <t>GS900MX</t>
  </si>
  <si>
    <t>IE200</t>
  </si>
  <si>
    <t>IE510</t>
  </si>
  <si>
    <t xml:space="preserve">SH/x210 </t>
  </si>
  <si>
    <t>x510</t>
  </si>
  <si>
    <t>FS980M</t>
  </si>
  <si>
    <t>SBx908</t>
  </si>
  <si>
    <t>x610</t>
  </si>
  <si>
    <t>x600</t>
  </si>
  <si>
    <t>x900</t>
  </si>
  <si>
    <t>AW Supported</t>
  </si>
  <si>
    <t>AW   EOL</t>
  </si>
  <si>
    <t>AW EOS</t>
  </si>
  <si>
    <t>TP117</t>
  </si>
  <si>
    <t>TP109</t>
  </si>
  <si>
    <t>TP147</t>
  </si>
  <si>
    <t>TP124</t>
  </si>
  <si>
    <t>TP125</t>
  </si>
  <si>
    <t>TP126</t>
  </si>
  <si>
    <t>TP127</t>
  </si>
  <si>
    <t>TP440</t>
  </si>
  <si>
    <t>TP137</t>
  </si>
  <si>
    <t>TP118</t>
  </si>
  <si>
    <t>TP128</t>
  </si>
  <si>
    <t>TP114</t>
  </si>
  <si>
    <t>TP115</t>
  </si>
  <si>
    <t>TP116</t>
  </si>
  <si>
    <t>TP120</t>
  </si>
  <si>
    <t>TP122</t>
  </si>
  <si>
    <t>TP130</t>
  </si>
  <si>
    <t>TP112</t>
  </si>
  <si>
    <t>TP113</t>
  </si>
  <si>
    <t>testlink</t>
  </si>
  <si>
    <t>TP206</t>
  </si>
  <si>
    <t>TP205</t>
  </si>
  <si>
    <t>AT-x900-48FS/ x900-48FE</t>
  </si>
  <si>
    <t>AT-x900-48FS
(100M only)</t>
  </si>
  <si>
    <t>AT-9924SP/  AT-9924T</t>
  </si>
  <si>
    <t>AT-8648T/2SP
(Stingray 48)</t>
  </si>
  <si>
    <t>AT-AR770S/ AR570S</t>
  </si>
  <si>
    <t>AT-A65</t>
  </si>
  <si>
    <t>AT-8948</t>
  </si>
  <si>
    <t>x900-48FE
(AT-8948i)</t>
  </si>
  <si>
    <t>AT-A61
 (AT-9924Ts)</t>
  </si>
  <si>
    <t>XEM-12S (9924SPsi)</t>
  </si>
  <si>
    <t>x900-24XS</t>
  </si>
  <si>
    <t>AT-SB4442</t>
  </si>
  <si>
    <t>VCS
Supported ??</t>
  </si>
  <si>
    <t>not
VCS</t>
  </si>
  <si>
    <t>not
VCS
100M</t>
  </si>
  <si>
    <t>x230</t>
  </si>
  <si>
    <t>SBx81CFC960</t>
  </si>
  <si>
    <t>x220
GS980M</t>
  </si>
  <si>
    <t>x230
GS970
SH230
IE210</t>
  </si>
  <si>
    <t xml:space="preserve">x530-28GSX
</t>
  </si>
  <si>
    <t>x310
SH310</t>
  </si>
  <si>
    <t>GS900</t>
  </si>
  <si>
    <t>x510
SH510
IE510</t>
  </si>
  <si>
    <t>IE210L-10GP
IE210L-18GP
(1G SFP)</t>
  </si>
  <si>
    <t>IE340-20GP
(1G Uplink)</t>
  </si>
  <si>
    <t>SBx81GS24a
(1G SFP)</t>
  </si>
  <si>
    <t>AT-x220-28GS
(1G Base)</t>
  </si>
  <si>
    <t>x220-28GT/GP/GS
GS980M (28/28PS)
x220-52GT/GP
GS980M (52/52PS)
(1G Uplink)</t>
  </si>
  <si>
    <t>x230L-17/26GT
SH/x230-10GP (10PS)
SH/x230-18GP/GT (18/18PS)
SH/x230-28GP/GT (28/28PS)
(1G SFP)</t>
  </si>
  <si>
    <t>SH/x230-10GT (10)
(1G SFP)</t>
  </si>
  <si>
    <t>x930-28GSTX
(1G Combo)</t>
  </si>
  <si>
    <t>IE300-12GT
IE300-12GP
(1G SFP)</t>
  </si>
  <si>
    <t>SH/x310-26FP
SH/x310-26FT
SH/x310-50FP
SH/x310-50FT
(1G Combo)</t>
  </si>
  <si>
    <t>GS924MX
GS948MX
GS924MPX
GS948MPX
(1G Combo)</t>
  </si>
  <si>
    <t>IE200-6GT/GP
IE200-6FT/FP
(1G SFP Port 5)</t>
  </si>
  <si>
    <t>IE200-6GT/GP
IE200-6FT/FP
(1G SFP Port 6)</t>
  </si>
  <si>
    <t>IE510-28GSX
(1G Base)</t>
  </si>
  <si>
    <t>SH/x210-16/24GT
(GS970M/16/24)
(1G Combo)</t>
  </si>
  <si>
    <t>x510-28GSX
(1G Base)</t>
  </si>
  <si>
    <t>FS980M/9
FS980M/9PS
FS980M/18
FS980M/18PS
(1G Combo)</t>
  </si>
  <si>
    <t>FS980M/28
FS980M/28PS
FS980M/52
FS980M/52PS
(1G Uplink)</t>
  </si>
  <si>
    <t>XEM-12Sv1 (SBx908)</t>
  </si>
  <si>
    <t>x610-24SPs/X
(1G Base)</t>
  </si>
  <si>
    <t>x610-24/48
(Ts,Ts/X,TS-PoE,TsX-PoE)
x610-24SPs/X
(1G Combo)</t>
  </si>
  <si>
    <t>x600-24Ts/ x600-24Ts/XP/ x600-24Ts-POE (Combo)</t>
  </si>
  <si>
    <t>x600-48Ts/ x600-48Ts/XP (Direct)</t>
  </si>
  <si>
    <t>x900-12XT/S</t>
  </si>
  <si>
    <t>000</t>
  </si>
  <si>
    <t>Pass, Mar 18</t>
  </si>
  <si>
    <t>Pass, Aug 19</t>
  </si>
  <si>
    <t>Pass, Oct 13</t>
  </si>
  <si>
    <t>Pass, Jan 18</t>
  </si>
  <si>
    <t>Pass, Jul 14</t>
  </si>
  <si>
    <t>Pass, Oct 16</t>
  </si>
  <si>
    <t>Pass, Apr 15</t>
  </si>
  <si>
    <t>Supp w Fail, Apr 16</t>
  </si>
  <si>
    <t>Pass, Apr 14</t>
  </si>
  <si>
    <t>Pass, Jun 15</t>
  </si>
  <si>
    <t>Pass, Jul 17</t>
  </si>
  <si>
    <t>Pass, Sep 13</t>
  </si>
  <si>
    <t>Pass, Mar 13</t>
  </si>
  <si>
    <t>Pass, Mar 17</t>
  </si>
  <si>
    <t>&lt;- Inherit</t>
  </si>
  <si>
    <t>Pass, Sep 07</t>
  </si>
  <si>
    <t>Pass, Feb 12</t>
  </si>
  <si>
    <t>Pass, Mar 11</t>
  </si>
  <si>
    <t>Not supported</t>
  </si>
  <si>
    <t>Pass, Mar 09</t>
  </si>
  <si>
    <t>Pass, Feb 07</t>
  </si>
  <si>
    <t>N/A</t>
  </si>
  <si>
    <t>Pass, Jan 07</t>
  </si>
  <si>
    <t>B</t>
  </si>
  <si>
    <t>Todo</t>
  </si>
  <si>
    <t>A</t>
  </si>
  <si>
    <t>S
5.5.0-2.3</t>
  </si>
  <si>
    <t>NS</t>
  </si>
  <si>
    <t>I
x510</t>
  </si>
  <si>
    <t>Inherit -&gt;</t>
  </si>
  <si>
    <t>Pass, Feb 11</t>
  </si>
  <si>
    <t>N/S</t>
  </si>
  <si>
    <t>Refer AW+</t>
  </si>
  <si>
    <t>Pass, Mar 12</t>
  </si>
  <si>
    <t>AT-SPFXBD-SC-13</t>
  </si>
  <si>
    <t>Pass, Dec 07</t>
  </si>
  <si>
    <t>AT-SPFXBD-SC-15</t>
  </si>
  <si>
    <t>AT-SPFX/40</t>
  </si>
  <si>
    <t>in progress</t>
  </si>
  <si>
    <t>Pass, Jun 07</t>
  </si>
  <si>
    <t>AT-SPFXBD-LC-13</t>
  </si>
  <si>
    <t>Pass, Mar 07</t>
  </si>
  <si>
    <t>&lt;===</t>
  </si>
  <si>
    <t>qwm</t>
  </si>
  <si>
    <t>AT-SPFXBD-LC-15</t>
  </si>
  <si>
    <t>1G SFP Qualification</t>
  </si>
  <si>
    <t>AW+ EOS</t>
  </si>
  <si>
    <t>AT Model No.
(link to WIKI)</t>
  </si>
  <si>
    <t>AW+ Router</t>
  </si>
  <si>
    <t>XS900MX</t>
  </si>
  <si>
    <t>GS980EM
(x320)</t>
  </si>
  <si>
    <t>x330
(GS970EMX)</t>
  </si>
  <si>
    <t>x530(L) (GS980MX)</t>
  </si>
  <si>
    <t>x550</t>
  </si>
  <si>
    <t>x950</t>
  </si>
  <si>
    <t>SBx908 GEN2</t>
  </si>
  <si>
    <t>IE210</t>
  </si>
  <si>
    <t>DC2500</t>
  </si>
  <si>
    <t>TP111</t>
  </si>
  <si>
    <t>-</t>
  </si>
  <si>
    <t>TP148</t>
  </si>
  <si>
    <t>TP217</t>
  </si>
  <si>
    <t>TP370</t>
  </si>
  <si>
    <t>TP424</t>
  </si>
  <si>
    <t>TP132</t>
  </si>
  <si>
    <t>TP133</t>
  </si>
  <si>
    <t>TP134</t>
  </si>
  <si>
    <t>TP135</t>
  </si>
  <si>
    <t>TP136</t>
  </si>
  <si>
    <t>TP138</t>
  </si>
  <si>
    <t>TP139</t>
  </si>
  <si>
    <t>TP140</t>
  </si>
  <si>
    <t>TP141</t>
  </si>
  <si>
    <t>TP142</t>
  </si>
  <si>
    <t>TP143</t>
  </si>
  <si>
    <t>TP144</t>
  </si>
  <si>
    <t>TP145</t>
  </si>
  <si>
    <t>TP146</t>
  </si>
  <si>
    <t>TP129</t>
  </si>
  <si>
    <t>TP211</t>
  </si>
  <si>
    <t>TP121</t>
  </si>
  <si>
    <t>TP123</t>
  </si>
  <si>
    <t>TP209</t>
  </si>
  <si>
    <t>XEM-12S (SBx908)</t>
  </si>
  <si>
    <t>not
VCS
1G</t>
  </si>
  <si>
    <t>VCS
Supported</t>
  </si>
  <si>
    <t xml:space="preserve">not
VCS
</t>
  </si>
  <si>
    <t>not
VCS 
1G</t>
  </si>
  <si>
    <t>arc
AR3050S
AR4050S</t>
  </si>
  <si>
    <t>XS900</t>
  </si>
  <si>
    <t>x320
GS980EM</t>
  </si>
  <si>
    <t>x330
GS970EMX</t>
  </si>
  <si>
    <t>x530
GS980MX</t>
  </si>
  <si>
    <t>x950
SBx908NG</t>
  </si>
  <si>
    <t>x510
SH510
IE511</t>
  </si>
  <si>
    <t>dc2500</t>
  </si>
  <si>
    <t>FS980</t>
  </si>
  <si>
    <t>x210
SH210</t>
  </si>
  <si>
    <t>x210
SH211</t>
  </si>
  <si>
    <t>SBx909</t>
  </si>
  <si>
    <t>x601</t>
  </si>
  <si>
    <t>x901</t>
  </si>
  <si>
    <t>AW+ Router (AR3050s, AR4050s)
(1G combo)</t>
  </si>
  <si>
    <t>AR3050S
(1G combo)</t>
  </si>
  <si>
    <t>AR4050S
(1G combo)</t>
  </si>
  <si>
    <t>IE340-12GP
IE340-12GT
IE340-20GP
IE340-18GP
IE340L-18GP
(1G SFP)</t>
  </si>
  <si>
    <t>XS916
MXT/MXP/MXS
(10G Base)</t>
  </si>
  <si>
    <t>SH/x230-10GT (10)
GS970M/10
(1G SFP)</t>
  </si>
  <si>
    <t>AT-x320-10GH
AT-GS980EM/10H
AT-x320-11GPT
AT-GS980EM/11PT
(1G SFP)</t>
  </si>
  <si>
    <t>AT-x330-10/20/28/52GTX
AT-GS970EMX/10/20/28/52
(10G Uplink)</t>
  </si>
  <si>
    <t>x530L-10/18GHXm
x530-10/18GHXm
GS980MX-10/18HSm
(10G Uplink)</t>
  </si>
  <si>
    <t>x530(L)-28/52
(GTXm/GPXm/GPX/GTX/GSX)
x530DP-28/52GHXm
GS980MX/28/52/PSm
(10G Uplink)</t>
  </si>
  <si>
    <t>x550-18XSQ
(10G SFP)</t>
  </si>
  <si>
    <t>x550-18XSQ
LCP
(10G SFP)</t>
  </si>
  <si>
    <t>x550-18XSPQm
(10G SFP)</t>
  </si>
  <si>
    <t>x930-28/52GPX/GTX
x930-28GSTX
(10G Uplink)</t>
  </si>
  <si>
    <t>XEM2-12XS
(10G SFP)</t>
  </si>
  <si>
    <t>XEM2-12XSv2
XEM2-8XSTm
(10G SFP)</t>
  </si>
  <si>
    <t>SBx81XLEM
(1G Base)</t>
  </si>
  <si>
    <t>SBx81XLEM/XS8
(10G SFP)</t>
  </si>
  <si>
    <t>SBx81CFC960v2
(10G SFP)</t>
  </si>
  <si>
    <t>SBx81GC40
(1G CSFP)</t>
  </si>
  <si>
    <r>
      <rPr>
        <b/>
        <sz val="8"/>
        <rFont val="Arial"/>
        <family val="2"/>
        <charset val="1"/>
      </rPr>
      <t xml:space="preserve">IE210L-18GP
</t>
    </r>
    <r>
      <rPr>
        <b/>
        <sz val="8"/>
        <color rgb="FFFF0000"/>
        <rFont val="Arial"/>
        <family val="2"/>
        <charset val="1"/>
      </rPr>
      <t>(Now same as TP117)</t>
    </r>
  </si>
  <si>
    <t>SH/x510(L)-28/52GTX
SH/x510-28/52GPX
x510-28GSX
IX5-28GPX
IE510-28GSX
(10G Uplink)</t>
  </si>
  <si>
    <t>x510-28GSX
IE510-28GSX
(1G Base)</t>
  </si>
  <si>
    <t>DC2552XS
(10G Base)</t>
  </si>
  <si>
    <t>FS980M/28
FS980M/28PS
FS980M/52
FS980M/52PS
(1GUplink)</t>
  </si>
  <si>
    <t>IE510-28GSX
(1G SFP)</t>
  </si>
  <si>
    <t>IE510-28GSX
(10G SFP)</t>
  </si>
  <si>
    <t>SH/x210-9GT
GS970M/9
(1G SFP)</t>
  </si>
  <si>
    <t>XEM-12Sv2
(1G SFP)</t>
  </si>
  <si>
    <t>Pass, May 15</t>
  </si>
  <si>
    <t>Pass, 29-10-19</t>
  </si>
  <si>
    <t>S
5.5.1-2.1</t>
  </si>
  <si>
    <t>pass, 5/10/20</t>
  </si>
  <si>
    <t>Pass, Oct 14</t>
  </si>
  <si>
    <t>Pass, Jul 19</t>
  </si>
  <si>
    <t>Pass, Aug 17</t>
  </si>
  <si>
    <t>Pass, Apr 16</t>
  </si>
  <si>
    <t>Pass, Mar 16</t>
  </si>
  <si>
    <t>Pass, May 19</t>
  </si>
  <si>
    <t>Supported</t>
  </si>
  <si>
    <t>Pass, May 13</t>
  </si>
  <si>
    <t>Pass, Oct 12</t>
  </si>
  <si>
    <t>Pass, Sep 16</t>
  </si>
  <si>
    <t>Pass, Jul 16</t>
  </si>
  <si>
    <t>Pass, Jul 13</t>
  </si>
  <si>
    <t>Pass, Apr 12</t>
  </si>
  <si>
    <t>Pass, Mar 10</t>
  </si>
  <si>
    <t>Pass, Apr 10</t>
  </si>
  <si>
    <t>Pass, Dec 16</t>
  </si>
  <si>
    <t>Fail, Dec 16</t>
  </si>
  <si>
    <t>Fail, Nov 16</t>
  </si>
  <si>
    <t>Pass, May 17</t>
  </si>
  <si>
    <t>Pass, May 18</t>
  </si>
  <si>
    <t>Pass, Nov 12</t>
  </si>
  <si>
    <t>Pass, May 16</t>
  </si>
  <si>
    <t>TO-DO</t>
  </si>
  <si>
    <t>S
5.4.9-1.3</t>
  </si>
  <si>
    <t>S
5.5.1-1.1</t>
  </si>
  <si>
    <t>S
5.5.0-0.1</t>
  </si>
  <si>
    <t>Pass, Apr 18</t>
  </si>
  <si>
    <t>S
5.4.9-2.1</t>
  </si>
  <si>
    <t>S
5.5.0-2.10</t>
  </si>
  <si>
    <t>S
5.4.9-0.1</t>
  </si>
  <si>
    <t>Fail, Apr 16</t>
  </si>
  <si>
    <t>Pass, Jun 14</t>
  </si>
  <si>
    <t>Pass, Aug 08</t>
  </si>
  <si>
    <t>Pass, Feb 09</t>
  </si>
  <si>
    <t>C</t>
  </si>
  <si>
    <t>Pass, Nov 19</t>
  </si>
  <si>
    <t>Pass, July 13</t>
  </si>
  <si>
    <t>Pass, May 09</t>
  </si>
  <si>
    <t>see AW+</t>
  </si>
  <si>
    <t>Pass, Sep 6</t>
  </si>
  <si>
    <t>Pass, Sep 09</t>
  </si>
  <si>
    <t>Fail, Sep 6</t>
  </si>
  <si>
    <t xml:space="preserve"> Inherit -&gt;</t>
  </si>
  <si>
    <t>Supported
5.4.9-2.4</t>
  </si>
  <si>
    <t>S 
5.4.9-2.4</t>
  </si>
  <si>
    <t>Supported
5.4.7-0.4</t>
  </si>
  <si>
    <t>NT</t>
  </si>
  <si>
    <t>Supported
5.4.8-0.9</t>
  </si>
  <si>
    <t>Supported
5.4.8-1.6</t>
  </si>
  <si>
    <t>Pass, Jun07</t>
  </si>
  <si>
    <t>Supp w Fail</t>
  </si>
  <si>
    <t>E</t>
  </si>
  <si>
    <t>no results</t>
  </si>
  <si>
    <t>Pass, May 11</t>
  </si>
  <si>
    <t>Pass, Jun 13</t>
  </si>
  <si>
    <t>Pass, May11</t>
  </si>
  <si>
    <t>Pass,May11</t>
  </si>
  <si>
    <t>F</t>
  </si>
  <si>
    <t>S 
5.5.0-2.9</t>
  </si>
  <si>
    <t>S
5.51-0.3</t>
  </si>
  <si>
    <t>Inherit 
SBx908 GEN2</t>
  </si>
  <si>
    <t>S/F 
5.5.0-2.9</t>
  </si>
  <si>
    <t>S
4.9.1-1.1</t>
  </si>
  <si>
    <t>S/F
4.9.1-1.1</t>
  </si>
  <si>
    <t>S
5.4.7-0.4</t>
  </si>
  <si>
    <t>S/F
5.4.7-0.4</t>
  </si>
  <si>
    <t>Pass, 6-9-18</t>
  </si>
  <si>
    <t>Not Tested</t>
  </si>
  <si>
    <t>Pass, 26-7-18</t>
  </si>
  <si>
    <t>Pass, Jun 08</t>
  </si>
  <si>
    <t>Pass, Jul 08</t>
  </si>
  <si>
    <t>under review</t>
  </si>
  <si>
    <t>Pass, Oct 17</t>
  </si>
  <si>
    <t>S 
5.4.9-1.3</t>
  </si>
  <si>
    <t>S 
5.5.1-0.1</t>
  </si>
  <si>
    <t>S 
5.4.9-2.1</t>
  </si>
  <si>
    <t>Pass
5.4.8-0.9</t>
  </si>
  <si>
    <t>S 
5.4.7-0.4</t>
  </si>
  <si>
    <t>S 
5.4.8-1.6</t>
  </si>
  <si>
    <t>D</t>
  </si>
  <si>
    <t>Pass, Dec 19</t>
  </si>
  <si>
    <t>Pass, Jun 16</t>
  </si>
  <si>
    <t>Fail, Oct 13</t>
  </si>
  <si>
    <t>Pass, Apr 13</t>
  </si>
  <si>
    <t>Pass, Nov 14</t>
  </si>
  <si>
    <t>Fail, Jul 13</t>
  </si>
  <si>
    <t>Pass, Feb 10</t>
  </si>
  <si>
    <t>Pass, Jan 10</t>
  </si>
  <si>
    <t>Fail, Jan 10</t>
  </si>
  <si>
    <t>Pass, 19-01-21</t>
  </si>
  <si>
    <t>Pass, Jul 6</t>
  </si>
  <si>
    <t>Pass, Jul 11</t>
  </si>
  <si>
    <t>Pass, Jul 12</t>
  </si>
  <si>
    <t>Fail, May 14</t>
  </si>
  <si>
    <t>Pass, May 14</t>
  </si>
  <si>
    <t>Fail, Jul 17</t>
  </si>
  <si>
    <t>Y4</t>
  </si>
  <si>
    <t>S 
5.5.1-2.1</t>
  </si>
  <si>
    <t>S 
5.5.1-2.2</t>
  </si>
  <si>
    <t>Pass,Apr 19</t>
  </si>
  <si>
    <t>Pass 21-11-18</t>
  </si>
  <si>
    <t>Pass,Nov 18</t>
  </si>
  <si>
    <t>Pass, Feb 14</t>
  </si>
  <si>
    <t>Fail, Feb 14</t>
  </si>
  <si>
    <t>Pass, Jan 14</t>
  </si>
  <si>
    <t>EXTERNAL</t>
  </si>
  <si>
    <t>AT-MG8T</t>
  </si>
  <si>
    <t>AT-G8T</t>
  </si>
  <si>
    <t>AT-G8SX</t>
  </si>
  <si>
    <t>AT-G8LX</t>
  </si>
  <si>
    <t>AT-G9ZX</t>
  </si>
  <si>
    <t>AT-SPSX</t>
  </si>
  <si>
    <t>AT-SPLX10</t>
  </si>
  <si>
    <t>AT-SPLX40</t>
  </si>
  <si>
    <t>AT-SPZX80</t>
  </si>
  <si>
    <t xml:space="preserve">AT-SPBD10-A </t>
  </si>
  <si>
    <t xml:space="preserve">AT-SPBD10-B </t>
  </si>
  <si>
    <t>AT-SPBD20-A</t>
  </si>
  <si>
    <t>AT-SPBD20-B</t>
  </si>
  <si>
    <t>AT-SPBD10-A</t>
  </si>
  <si>
    <t>AT-SPBD10-B</t>
  </si>
  <si>
    <t>AT-SPSX2</t>
  </si>
  <si>
    <t>AT-SPBD80A</t>
  </si>
  <si>
    <t>AT-SPBD80B</t>
  </si>
  <si>
    <t>AT-SPBDM-A</t>
  </si>
  <si>
    <t>AT-SPBDM-B</t>
  </si>
  <si>
    <t>AT-SPLX40/1550</t>
  </si>
  <si>
    <t>OBSOLETE</t>
  </si>
  <si>
    <t>Pass, Aug19</t>
  </si>
  <si>
    <t>To-do</t>
  </si>
  <si>
    <t>X7</t>
  </si>
  <si>
    <t>Supported
5.5.0-2.3</t>
  </si>
  <si>
    <t>Pass, 18-9-18</t>
  </si>
  <si>
    <t>Pass 9/7/21</t>
  </si>
  <si>
    <t>Pass, Nov 18</t>
  </si>
  <si>
    <t>x1</t>
  </si>
  <si>
    <t>AT-SPBD10-13</t>
  </si>
  <si>
    <t>Pass, 4-7-18</t>
  </si>
  <si>
    <t>Pass, Nov 09</t>
  </si>
  <si>
    <t>Pass, Apr 09</t>
  </si>
  <si>
    <t>AT-SPBD10-14</t>
  </si>
  <si>
    <t>AT-SPBD10-13 (RoHS)</t>
  </si>
  <si>
    <t>Pass, May 07</t>
  </si>
  <si>
    <t>AT-SPBD10-14 (RoHS)</t>
  </si>
  <si>
    <t>Pass - N/A</t>
  </si>
  <si>
    <t>===&gt;</t>
  </si>
  <si>
    <t>Pass, Nov 07</t>
  </si>
  <si>
    <t>AT-SPLX10 (Rev B)</t>
  </si>
  <si>
    <t>AT-SPLX10/I</t>
  </si>
  <si>
    <t>AT-SPLX10 / MG8LX10</t>
  </si>
  <si>
    <t>Yes</t>
  </si>
  <si>
    <t>AT-SPLX20</t>
  </si>
  <si>
    <t>AT-SPLX30</t>
  </si>
  <si>
    <t>Pass, Oct 06</t>
  </si>
  <si>
    <t>Pass, Sep 12</t>
  </si>
  <si>
    <t>Pass Nov09</t>
  </si>
  <si>
    <t>AT-SPSX / AT-MG8SX</t>
  </si>
  <si>
    <t>Pass Nov 09</t>
  </si>
  <si>
    <t>Pass, Jul 09</t>
  </si>
  <si>
    <t>AT-SPSX (old Rev C)</t>
  </si>
  <si>
    <t>AT-SPSX / AT-MG8ZX</t>
  </si>
  <si>
    <t>AT-SPTX</t>
  </si>
  <si>
    <t>AT-SPTX (Rev B)</t>
  </si>
  <si>
    <t>Pass, Apr 08</t>
  </si>
  <si>
    <t>Pass, May 08</t>
  </si>
  <si>
    <t>AT-SPTX2</t>
  </si>
  <si>
    <t>AT-SPTX / AT- MG8T</t>
  </si>
  <si>
    <t>SFP+ (10GBASE-X)</t>
  </si>
  <si>
    <t xml:space="preserve">SBx908 </t>
  </si>
  <si>
    <t>TP371</t>
  </si>
  <si>
    <t>TP174</t>
  </si>
  <si>
    <t>TP173</t>
  </si>
  <si>
    <t>TP175</t>
  </si>
  <si>
    <t>TP176</t>
  </si>
  <si>
    <t>TP177</t>
  </si>
  <si>
    <t>TP178</t>
  </si>
  <si>
    <t>TP180</t>
  </si>
  <si>
    <t>TP181</t>
  </si>
  <si>
    <t>TP182</t>
  </si>
  <si>
    <t>TP183</t>
  </si>
  <si>
    <t>TP184</t>
  </si>
  <si>
    <t>TP185</t>
  </si>
  <si>
    <t>TP186</t>
  </si>
  <si>
    <t>TP187</t>
  </si>
  <si>
    <t>TP188</t>
  </si>
  <si>
    <t>TP189</t>
  </si>
  <si>
    <t>TP168</t>
  </si>
  <si>
    <t>TP170</t>
  </si>
  <si>
    <t>TP172</t>
  </si>
  <si>
    <t>TP167</t>
  </si>
  <si>
    <t>TP210</t>
  </si>
  <si>
    <t>TP212</t>
  </si>
  <si>
    <t>TP207</t>
  </si>
  <si>
    <t>TP208</t>
  </si>
  <si>
    <t>XS916
MXT/MXP/MXS
(10G Uplink)</t>
  </si>
  <si>
    <t>x550-18XSQ
(Low Cost Phy)
(10G SFP)</t>
  </si>
  <si>
    <t>x950-28XSQ
x950-52XSQ
(10G Base)</t>
  </si>
  <si>
    <t>XEM2-12XS v2
XEM2-8XSTm
(10G SFP)</t>
  </si>
  <si>
    <t>XEM2-12XS v2 
XEM2-8XSTm
(10G SFP)</t>
  </si>
  <si>
    <t>x8100-XS6
(10G SFP)</t>
  </si>
  <si>
    <t>x8100-XS16
(10G SFP)</t>
  </si>
  <si>
    <t>SBx81CFC960
(10G SFP)</t>
  </si>
  <si>
    <t>EOS</t>
  </si>
  <si>
    <t>GS924MX/MPX
GS948MX/MPX
(10G SFP+)</t>
  </si>
  <si>
    <t>(IE510-28GSX platform moved to x510)
(10G Base)</t>
  </si>
  <si>
    <t>(SH)x510(L)28/52
(GTX/GPX/GSX)
IX5-28GPX
IE510-28GSX
(10G SFP)</t>
  </si>
  <si>
    <t>FS980M/28
FS980M/52
(Stacking Ports)</t>
  </si>
  <si>
    <t>XEM-2XS
(10G SFP)</t>
  </si>
  <si>
    <t>x610-24/48
(Ts/X,TsX-PoE)
x610-24SPs/X
(10G SFP)</t>
  </si>
  <si>
    <t>x6EM-2XS
(10G SFP)</t>
  </si>
  <si>
    <t>X1</t>
  </si>
  <si>
    <t>Pass, Nov-18</t>
  </si>
  <si>
    <t>pass, 5-02-21</t>
  </si>
  <si>
    <t>Pass, Feb-19</t>
  </si>
  <si>
    <t>X2</t>
  </si>
  <si>
    <t>Pass, June 21</t>
  </si>
  <si>
    <t>Pass 2-7-18</t>
  </si>
  <si>
    <t>Supported, 17-6-19</t>
  </si>
  <si>
    <t>Pass, June 8</t>
  </si>
  <si>
    <t>Pass, Oct-18</t>
  </si>
  <si>
    <t>Pass, Jan-18</t>
  </si>
  <si>
    <t>Pass, Jun 17</t>
  </si>
  <si>
    <t>Pass, Mar 14</t>
  </si>
  <si>
    <t>Pass, Nov 13</t>
  </si>
  <si>
    <t>Pass, Jul-14</t>
  </si>
  <si>
    <t>Pass, Aug-12</t>
  </si>
  <si>
    <t>Pass, Feb-13</t>
  </si>
  <si>
    <t>X6</t>
  </si>
  <si>
    <t>Pass
5.5.0-2.3</t>
  </si>
  <si>
    <t>Pass, Jan 15</t>
  </si>
  <si>
    <t>Pass, Aug-14</t>
  </si>
  <si>
    <t>Pass, May-12</t>
  </si>
  <si>
    <t>Tested, Apr 19</t>
  </si>
  <si>
    <t>G</t>
  </si>
  <si>
    <t>Pass,17-8-19</t>
  </si>
  <si>
    <t>Pass, Dec 20</t>
  </si>
  <si>
    <t>Pass, 8-9-18</t>
  </si>
  <si>
    <t>Pass, Nov 16</t>
  </si>
  <si>
    <t>FAIL, May 19</t>
  </si>
  <si>
    <t>S
5.5.0-2.1</t>
  </si>
  <si>
    <t>Pass
5.5.0-2.1</t>
  </si>
  <si>
    <t>B1</t>
  </si>
  <si>
    <t>X3</t>
  </si>
  <si>
    <t>Fail
5.5.0-2.1</t>
  </si>
  <si>
    <t>Pass, May 2019</t>
  </si>
  <si>
    <t>Pass, Oct-12</t>
  </si>
  <si>
    <t>Pass, Feb-12</t>
  </si>
  <si>
    <t>Pass, Mar-11</t>
  </si>
  <si>
    <t>Pass Mar 2017</t>
  </si>
  <si>
    <t>Pass, Mar 2017</t>
  </si>
  <si>
    <t>Pass, Jan 17</t>
  </si>
  <si>
    <t>Superseded</t>
  </si>
  <si>
    <t>Pass, Dec 15</t>
  </si>
  <si>
    <t>Pass, Dec-15</t>
  </si>
  <si>
    <t>Fail, Mar 16</t>
  </si>
  <si>
    <t>Fail, Nov 14</t>
  </si>
  <si>
    <t>Fail, Apr-13</t>
  </si>
  <si>
    <t>Fail, Mar 14</t>
  </si>
  <si>
    <t>Fail, Nov 13</t>
  </si>
  <si>
    <t>Pass, Sep 15</t>
  </si>
  <si>
    <t>MISC</t>
  </si>
  <si>
    <t>Fail, May 17</t>
  </si>
  <si>
    <t>Fail, Apr 18</t>
  </si>
  <si>
    <t>Fail, Oct 14</t>
  </si>
  <si>
    <t>Fail, Aug 17</t>
  </si>
  <si>
    <t>Fail, Jun 15</t>
  </si>
  <si>
    <t>AT-SP10SR</t>
  </si>
  <si>
    <t>Pass, July11</t>
  </si>
  <si>
    <t>Pass,June11</t>
  </si>
  <si>
    <t>AT-SP10LR</t>
  </si>
  <si>
    <t>pass</t>
  </si>
  <si>
    <t xml:space="preserve">A </t>
  </si>
  <si>
    <t>AT-SP10LR/I</t>
  </si>
  <si>
    <t>Special Request - 
One off test for 
one specific software version</t>
  </si>
  <si>
    <t>testing
5.5.1.1.1</t>
  </si>
  <si>
    <t>Ousent OSP10</t>
  </si>
  <si>
    <t>??</t>
  </si>
  <si>
    <t>QSFP (40GBASE-X)</t>
  </si>
  <si>
    <t>TP190</t>
  </si>
  <si>
    <t>TP194</t>
  </si>
  <si>
    <t>TP196</t>
  </si>
  <si>
    <t>TP197</t>
  </si>
  <si>
    <t>TP198</t>
  </si>
  <si>
    <t>TP213</t>
  </si>
  <si>
    <t>x550-18XSQ
x550-18XSQ  (LCP)
x550-18XTQ
x550-18XSPQm
(40G Uplink)</t>
  </si>
  <si>
    <t>AT-StackQS
(40G Uplink)</t>
  </si>
  <si>
    <t>AT-x950-28XSQ
AT-x950-28XTQm
AT-x950-52XSQ
AT-x950-52XTQm
(100G Uplink)</t>
  </si>
  <si>
    <t xml:space="preserve">
XEM2-4QS
(40G SFP)</t>
  </si>
  <si>
    <t>XEM2-4QS
(40G SFP)</t>
  </si>
  <si>
    <t>SBx81XLEM-Q2
(40G SFP)</t>
  </si>
  <si>
    <t>DC2552XS
(40G Uplink)</t>
  </si>
  <si>
    <t>Pass, Jun-17</t>
  </si>
  <si>
    <t>Pass, Jul 15</t>
  </si>
  <si>
    <t>Pass, Mar-19</t>
  </si>
  <si>
    <t>Pass, Jul-17</t>
  </si>
  <si>
    <t>Pass, Feb-16</t>
  </si>
  <si>
    <t>Pass, Apr-18</t>
  </si>
  <si>
    <t>Pass, Arl 16</t>
  </si>
  <si>
    <t>Pass, mar-19</t>
  </si>
  <si>
    <t>Pass, Nov-17</t>
  </si>
  <si>
    <t>Pass, Nov 17</t>
  </si>
  <si>
    <t>1a</t>
  </si>
  <si>
    <t>Pass, May-18</t>
  </si>
  <si>
    <t>S
5.4.9-1.1</t>
  </si>
  <si>
    <t>&lt;- Inherit -&gt;
from ver Y1
(below)</t>
  </si>
  <si>
    <t>S
5.5.0-1.3</t>
  </si>
  <si>
    <t>Pass, Dec'18</t>
  </si>
  <si>
    <t>Pass, Dec 18</t>
  </si>
  <si>
    <t>A1</t>
  </si>
  <si>
    <t>Y1</t>
  </si>
  <si>
    <t>Fail
5.5.0-0.1</t>
  </si>
  <si>
    <t>AT-QSFPSR4</t>
  </si>
  <si>
    <t>AT-QSFPLR4</t>
  </si>
  <si>
    <t>One off Investigation</t>
  </si>
  <si>
    <t>AT-QSFP-3CU</t>
  </si>
  <si>
    <t>Fail,Oct 17</t>
  </si>
  <si>
    <t>Pass, May-16</t>
  </si>
  <si>
    <t>QSFP28 (100GBASE-X)</t>
  </si>
  <si>
    <t>SBx908 Gen 2</t>
  </si>
  <si>
    <t>H</t>
  </si>
  <si>
    <t>Pass, Jan 19</t>
  </si>
  <si>
    <t>Pass, Feb 19</t>
  </si>
  <si>
    <t>S
5.5.1-0.3</t>
  </si>
  <si>
    <t>S
5.5.0-0.3</t>
  </si>
  <si>
    <t>QSFP28DD (400GBASE-X)</t>
  </si>
  <si>
    <t>?</t>
  </si>
  <si>
    <t>Qualification Status Key</t>
  </si>
  <si>
    <t>P</t>
  </si>
  <si>
    <t>Pass</t>
  </si>
  <si>
    <t>This transciever has been tested on the platform and all tests have passed, it is fully supported for the platform.  This is being replaced with Supported</t>
  </si>
  <si>
    <t>S</t>
  </si>
  <si>
    <t>This transciever has been tested on the platform and all tests have passed, it is fully supported for the platform.</t>
  </si>
  <si>
    <t>S/F</t>
  </si>
  <si>
    <r>
      <rPr>
        <sz val="11"/>
        <color rgb="FF000000"/>
        <rFont val="Calibri"/>
        <family val="2"/>
        <charset val="1"/>
      </rPr>
      <t xml:space="preserve">This transciever was requested to be supported on the platform but has failed one or more tests which </t>
    </r>
    <r>
      <rPr>
        <b/>
        <sz val="11"/>
        <color rgb="FF000000"/>
        <rFont val="Calibri"/>
        <family val="2"/>
        <charset val="1"/>
      </rPr>
      <t>DOES NOT</t>
    </r>
    <r>
      <rPr>
        <sz val="11"/>
        <color rgb="FF000000"/>
        <rFont val="Calibri"/>
        <family val="2"/>
        <charset val="1"/>
      </rPr>
      <t xml:space="preserve"> negate support.</t>
    </r>
  </si>
  <si>
    <t>Failed</t>
  </si>
  <si>
    <r>
      <rPr>
        <sz val="11"/>
        <color rgb="FF000000"/>
        <rFont val="Calibri"/>
        <family val="2"/>
        <charset val="1"/>
      </rPr>
      <t xml:space="preserve">This transciever was requested to be supported on the platform but has failed one or more tests which negate support. Action </t>
    </r>
    <r>
      <rPr>
        <b/>
        <sz val="11"/>
        <color rgb="FF000000"/>
        <rFont val="Calibri"/>
        <family val="2"/>
        <charset val="1"/>
      </rPr>
      <t xml:space="preserve">MUST </t>
    </r>
    <r>
      <rPr>
        <sz val="11"/>
        <color rgb="FF000000"/>
        <rFont val="Calibri"/>
        <family val="2"/>
        <charset val="1"/>
      </rPr>
      <t>be taken to get the transceiver supported on the platform.</t>
    </r>
  </si>
  <si>
    <t>Not Supported</t>
  </si>
  <si>
    <t xml:space="preserve">This transceiver is not required to be supported on the platform. </t>
  </si>
  <si>
    <t>This transceiver/platform was at one point required to be qualified but circumstances changed that requirement.</t>
  </si>
  <si>
    <t>I</t>
  </si>
  <si>
    <t>&lt;- Inherit -&gt;</t>
  </si>
  <si>
    <t>This transceiver/platform combination is similar/identical to another transceiver/platform combination so to avoid duplicate testing, it inherits the neighboring cells results.</t>
  </si>
  <si>
    <t>TODO</t>
  </si>
  <si>
    <t>This transciever was requested to be supported on the platform but has yet to be tested on the platform.</t>
  </si>
  <si>
    <t>Inset above this line</t>
  </si>
  <si>
    <t>Old</t>
  </si>
  <si>
    <t>Result</t>
  </si>
  <si>
    <t>Supported    Passed</t>
  </si>
  <si>
    <t>Fail</t>
  </si>
  <si>
    <r>
      <rPr>
        <sz val="11"/>
        <color rgb="FF000000"/>
        <rFont val="Calibri"/>
        <family val="2"/>
        <charset val="1"/>
      </rPr>
      <t xml:space="preserve">This transciever was requested to be supported on the platform but has failed one or more tests. Action </t>
    </r>
    <r>
      <rPr>
        <b/>
        <sz val="11"/>
        <color rgb="FF000000"/>
        <rFont val="Calibri"/>
        <family val="2"/>
        <charset val="1"/>
      </rPr>
      <t xml:space="preserve">MAY </t>
    </r>
    <r>
      <rPr>
        <sz val="11"/>
        <color rgb="FF000000"/>
        <rFont val="Calibri"/>
        <family val="2"/>
        <charset val="1"/>
      </rPr>
      <t>be taken to get the transceiver working on the platform.</t>
    </r>
  </si>
  <si>
    <t>Sorting ID</t>
  </si>
  <si>
    <t>Family</t>
  </si>
  <si>
    <t>Model</t>
  </si>
  <si>
    <t>Build Target</t>
  </si>
  <si>
    <t>Hardware</t>
  </si>
  <si>
    <t>Pluggable</t>
  </si>
  <si>
    <t>Golden Unit</t>
  </si>
  <si>
    <t>speed</t>
  </si>
  <si>
    <t>column</t>
  </si>
  <si>
    <t>Switch Chip</t>
  </si>
  <si>
    <t>Phy</t>
  </si>
  <si>
    <t>Pluggable Port Type</t>
  </si>
  <si>
    <t>Platform Port Type</t>
  </si>
  <si>
    <t>Port Speed</t>
  </si>
  <si>
    <t>Covered by (Column Heading)</t>
  </si>
  <si>
    <t>Port Range</t>
  </si>
  <si>
    <t>Unit</t>
  </si>
  <si>
    <t>Rev</t>
  </si>
  <si>
    <t>S/N</t>
  </si>
  <si>
    <t>State</t>
  </si>
  <si>
    <t>100M</t>
  </si>
  <si>
    <t>1G</t>
  </si>
  <si>
    <t>10G</t>
  </si>
  <si>
    <t>40G</t>
  </si>
  <si>
    <t>100G</t>
  </si>
  <si>
    <t>type</t>
  </si>
  <si>
    <t>family</t>
  </si>
  <si>
    <t>max speed</t>
  </si>
  <si>
    <t>notes</t>
  </si>
  <si>
    <t>AT-FS980M/9</t>
  </si>
  <si>
    <t>98DX1133</t>
  </si>
  <si>
    <t>88E1543</t>
  </si>
  <si>
    <t>1G SFP phy Combo</t>
  </si>
  <si>
    <t>100M &amp; 1G</t>
  </si>
  <si>
    <t>FS980m-1G SFP Combo</t>
  </si>
  <si>
    <t>AT-FS980M/18PS-R</t>
  </si>
  <si>
    <t xml:space="preserve"> PT2</t>
  </si>
  <si>
    <t xml:space="preserve"> FS980M18PS000028</t>
  </si>
  <si>
    <t>Current</t>
  </si>
  <si>
    <t>y</t>
  </si>
  <si>
    <t>n</t>
  </si>
  <si>
    <t>combo</t>
  </si>
  <si>
    <t>AT-FS980M/9PS</t>
  </si>
  <si>
    <t>AT-FS980M/18</t>
  </si>
  <si>
    <t>98DX1134</t>
  </si>
  <si>
    <t>AT-FS980M/18PS</t>
  </si>
  <si>
    <t>AT-FS980M/28</t>
  </si>
  <si>
    <t>98DX1135</t>
  </si>
  <si>
    <t>1G SFP phy</t>
  </si>
  <si>
    <t>FS980m-1G SFP Uplink</t>
  </si>
  <si>
    <t>AT-FS980M/52</t>
  </si>
  <si>
    <t xml:space="preserve"> FAS</t>
  </si>
  <si>
    <t xml:space="preserve"> 000395R163600008A</t>
  </si>
  <si>
    <t>uplink</t>
  </si>
  <si>
    <t>AT-FS980M/28PS</t>
  </si>
  <si>
    <t>AT-FS980M/52PS</t>
  </si>
  <si>
    <t>AT-FS980M/28DP</t>
  </si>
  <si>
    <t>AT-GS924MX</t>
  </si>
  <si>
    <t>x310</t>
  </si>
  <si>
    <t>BCM53346</t>
  </si>
  <si>
    <t>BCM54282 </t>
  </si>
  <si>
    <t>GS924-1G SFP Combo</t>
  </si>
  <si>
    <t>AT-GS924MPX</t>
  </si>
  <si>
    <t>PT</t>
  </si>
  <si>
    <t xml:space="preserve"> A05156G144800004 X7</t>
  </si>
  <si>
    <t>DC</t>
  </si>
  <si>
    <t>10G SFP+</t>
  </si>
  <si>
    <t xml:space="preserve">GS924-10G SFP+ </t>
  </si>
  <si>
    <t>AT-GS948MX</t>
  </si>
  <si>
    <t>AT-GS948MPX</t>
  </si>
  <si>
    <t>IE200-6GT</t>
  </si>
  <si>
    <t>BCM6818GR</t>
  </si>
  <si>
    <t>54616S</t>
  </si>
  <si>
    <t>IE200-6 SFP (Port 5)</t>
  </si>
  <si>
    <t>port1.0.5</t>
  </si>
  <si>
    <t>AT-IE200-6FP</t>
  </si>
  <si>
    <t>MASS</t>
  </si>
  <si>
    <t xml:space="preserve"> A05066G144500004 D</t>
  </si>
  <si>
    <t>phy1</t>
  </si>
  <si>
    <t>base</t>
  </si>
  <si>
    <t>8012S</t>
  </si>
  <si>
    <t>IE200-6 SFP (Port 6)</t>
  </si>
  <si>
    <t>port1.0.6</t>
  </si>
  <si>
    <t>phy2</t>
  </si>
  <si>
    <t>IE200-6GP</t>
  </si>
  <si>
    <t>IE200-6FT</t>
  </si>
  <si>
    <t>IE200-6FP</t>
  </si>
  <si>
    <t>IE210L-10GP</t>
  </si>
  <si>
    <t>BCM53344</t>
  </si>
  <si>
    <t>BCM5482S</t>
  </si>
  <si>
    <t>IE210L-10GP/IE210L-18GP</t>
  </si>
  <si>
    <t xml:space="preserve"> A10098G181900028 A</t>
  </si>
  <si>
    <t>IE210L-18GP</t>
  </si>
  <si>
    <t>IE300-12GT</t>
  </si>
  <si>
    <t>BCM56150</t>
  </si>
  <si>
    <t>BCM54240</t>
  </si>
  <si>
    <t>IE300-12 SFP</t>
  </si>
  <si>
    <t>IE300-12GP</t>
  </si>
  <si>
    <t>AT-IE300-12GP</t>
  </si>
  <si>
    <t xml:space="preserve"> ATNLAB4040301014 XX</t>
  </si>
  <si>
    <t>IE300-12GS</t>
  </si>
  <si>
    <t>NA</t>
  </si>
  <si>
    <t>Cancelled</t>
  </si>
  <si>
    <t>BCM54296</t>
  </si>
  <si>
    <t>IE300-20GST</t>
  </si>
  <si>
    <t>IE340-20GP</t>
  </si>
  <si>
    <t>BCM53343</t>
  </si>
  <si>
    <t>BCM54220S</t>
  </si>
  <si>
    <t>IE340 SFP</t>
  </si>
  <si>
    <t>port1.0.1-1.0.4</t>
  </si>
  <si>
    <t>IE-340-20GP</t>
  </si>
  <si>
    <t>FAS</t>
  </si>
  <si>
    <t>A10248G193900009 C</t>
  </si>
  <si>
    <t>IE340-12GP</t>
  </si>
  <si>
    <t>IE340-12GT</t>
  </si>
  <si>
    <t>IE340-12GSX</t>
  </si>
  <si>
    <t>Planned</t>
  </si>
  <si>
    <t>10G SFP+ phy</t>
  </si>
  <si>
    <t>IE340 SFP+</t>
  </si>
  <si>
    <t>IE340L-18GP</t>
  </si>
  <si>
    <t>port1.0.1-1.0.2</t>
  </si>
  <si>
    <t>SBx81CFC400</t>
  </si>
  <si>
    <t>98DX8110</t>
  </si>
  <si>
    <t>None</t>
  </si>
  <si>
    <t>98CX8234 (Lion)</t>
  </si>
  <si>
    <t>88X2140</t>
  </si>
  <si>
    <t>SBx81CFC960 Rev A</t>
  </si>
  <si>
    <t>port1.{}.1-1.{}.4</t>
  </si>
  <si>
    <t>CFC960v1</t>
  </si>
  <si>
    <t xml:space="preserve"> MASS</t>
  </si>
  <si>
    <t xml:space="preserve"> A04773A150900016 K</t>
  </si>
  <si>
    <t>SBx81CFC960(v2)</t>
  </si>
  <si>
    <t>88X2242M</t>
  </si>
  <si>
    <t>1G &amp; 10G</t>
  </si>
  <si>
    <t>SBx81CFC960 Rev B</t>
  </si>
  <si>
    <t>CFC960v2</t>
  </si>
  <si>
    <t xml:space="preserve"> A10178A190700011</t>
  </si>
  <si>
    <t>SBx81GP24</t>
  </si>
  <si>
    <t>SBx81LIFv1</t>
  </si>
  <si>
    <t>98DX4122 (Bobcat)</t>
  </si>
  <si>
    <t>88E1340</t>
  </si>
  <si>
    <t>Obsolete</t>
  </si>
  <si>
    <t>SBx81GS24a</t>
  </si>
  <si>
    <t>98DX5128 (Cheetah 3)</t>
  </si>
  <si>
    <t>88E1322</t>
  </si>
  <si>
    <t>SBx81GS24a SFP</t>
  </si>
  <si>
    <t>port1.{}.1-1.{}.24</t>
  </si>
  <si>
    <t>SBX81GS24A</t>
  </si>
  <si>
    <t xml:space="preserve"> A0545584131300021 G</t>
  </si>
  <si>
    <t>SBx81GT24</t>
  </si>
  <si>
    <t>SBx81GT40</t>
  </si>
  <si>
    <t>98DX5198 (Cheetah 5)</t>
  </si>
  <si>
    <t>88E1543M</t>
  </si>
  <si>
    <t>SBx81XLEM</t>
  </si>
  <si>
    <t>SBx81LIFv2</t>
  </si>
  <si>
    <t>98DX4251 (Bobcat 2)</t>
  </si>
  <si>
    <t>SBx81XLEM Base</t>
  </si>
  <si>
    <t>port1.{}.1-1.{}.12</t>
  </si>
  <si>
    <t>SBX81XLEM</t>
  </si>
  <si>
    <t xml:space="preserve"> A05243A161900025 C</t>
  </si>
  <si>
    <t>SBx81XLEM/XS8</t>
  </si>
  <si>
    <t>CDR - TI DS125DF1610</t>
  </si>
  <si>
    <t>port1.{}.13-1.{}.20</t>
  </si>
  <si>
    <t>SBX81XLEMXS8</t>
  </si>
  <si>
    <t xml:space="preserve"> A05245A154600047 X4</t>
  </si>
  <si>
    <t xml:space="preserve"> N/A</t>
  </si>
  <si>
    <t>SBx81XLEM/Q2</t>
  </si>
  <si>
    <t>40G QSFP Phy</t>
  </si>
  <si>
    <t>port1.{}.13,port1.{}.17</t>
  </si>
  <si>
    <t>SBX81XLEMQ2</t>
  </si>
  <si>
    <t xml:space="preserve"> A05244A154600038 X4</t>
  </si>
  <si>
    <t>SBx81XLEM/XT4</t>
  </si>
  <si>
    <t>88X3240</t>
  </si>
  <si>
    <t>SBx81XLEM/GT8</t>
  </si>
  <si>
    <t>88E1685</t>
  </si>
  <si>
    <t>SBx81XS6</t>
  </si>
  <si>
    <t>98DX8110 (Cheetah 3)</t>
  </si>
  <si>
    <t>port1.{}.1-1.{}.6</t>
  </si>
  <si>
    <t xml:space="preserve"> a045624120600012 A</t>
  </si>
  <si>
    <t>SBx81XS16</t>
  </si>
  <si>
    <t>98CX8223 (Lion)</t>
  </si>
  <si>
    <t>port1.{}.1-1.{}.16</t>
  </si>
  <si>
    <t>SBx81X16</t>
  </si>
  <si>
    <t xml:space="preserve"> A04775A142000004 A</t>
  </si>
  <si>
    <t>SBx81XZ4</t>
  </si>
  <si>
    <t>98X2220</t>
  </si>
  <si>
    <t xml:space="preserve"> B</t>
  </si>
  <si>
    <t xml:space="preserve"> A042834104200007 C</t>
  </si>
  <si>
    <t>SBx81GC40</t>
  </si>
  <si>
    <t>No Phy</t>
  </si>
  <si>
    <t>CSFP</t>
  </si>
  <si>
    <t>1G &amp; 1Gbidi</t>
  </si>
  <si>
    <t>port1.{}.1-1.{}.40</t>
  </si>
  <si>
    <t>SBX81GC40</t>
  </si>
  <si>
    <t xml:space="preserve"> A04615A183000004</t>
  </si>
  <si>
    <t>FX9220 (Capoera)</t>
  </si>
  <si>
    <t>AT-SBX908</t>
  </si>
  <si>
    <t xml:space="preserve"> A1JBC6005</t>
  </si>
  <si>
    <t>XEM-12Tv2</t>
  </si>
  <si>
    <t>98EX2206 (Puma)</t>
  </si>
  <si>
    <t>XEM-24T</t>
  </si>
  <si>
    <t>XEM-12S</t>
  </si>
  <si>
    <t>98EX126</t>
  </si>
  <si>
    <t>88E1143</t>
  </si>
  <si>
    <t>1G SFP</t>
  </si>
  <si>
    <t>AT-XEM-12S</t>
  </si>
  <si>
    <t xml:space="preserve"> ?</t>
  </si>
  <si>
    <t xml:space="preserve"> A03638A080800037 S</t>
  </si>
  <si>
    <t>XEM-12Sv2</t>
  </si>
  <si>
    <t>AT-XEM-12S V2</t>
  </si>
  <si>
    <t xml:space="preserve"> A04618A120900012 A</t>
  </si>
  <si>
    <t>XEM-2XP</t>
  </si>
  <si>
    <t>98EX260 (Puma)</t>
  </si>
  <si>
    <t>88X2010</t>
  </si>
  <si>
    <t>10G XFP</t>
  </si>
  <si>
    <t>XEM-2XP  SB-x908</t>
  </si>
  <si>
    <t>AT-XEM-2XP</t>
  </si>
  <si>
    <t xml:space="preserve"> A-1</t>
  </si>
  <si>
    <t xml:space="preserve"> A04174A093400003 B</t>
  </si>
  <si>
    <t>XEM-2XT</t>
  </si>
  <si>
    <t>TN2022</t>
  </si>
  <si>
    <t>XEM-2XS</t>
  </si>
  <si>
    <t>98X22251</t>
  </si>
  <si>
    <t>AT-XEM-2XS</t>
  </si>
  <si>
    <t xml:space="preserve"> A044234111500008 B</t>
  </si>
  <si>
    <t>SBx908NG</t>
  </si>
  <si>
    <t>BCM56860 (Broadcom Trident 2+)</t>
  </si>
  <si>
    <t>AT-X908GEN2</t>
  </si>
  <si>
    <t xml:space="preserve"> A10064A172000016 X4</t>
  </si>
  <si>
    <t>XEM2-12XT</t>
  </si>
  <si>
    <t>BCM84858</t>
  </si>
  <si>
    <t>XEM2-12XTm</t>
  </si>
  <si>
    <t>XEM2-12XS</t>
  </si>
  <si>
    <t>BCM84756</t>
  </si>
  <si>
    <t>XEM2-12XS SFP+</t>
  </si>
  <si>
    <t>AT-XEM2-12XS</t>
  </si>
  <si>
    <t>MP</t>
  </si>
  <si>
    <t>A10067A181600024</t>
  </si>
  <si>
    <t>XEM2-4QS</t>
  </si>
  <si>
    <t>BCM82328F</t>
  </si>
  <si>
    <t>40G QSFP</t>
  </si>
  <si>
    <t>XEM2-4QS QSFP</t>
  </si>
  <si>
    <t>port1.{}.1-1.{}.13</t>
  </si>
  <si>
    <t>AT-XEM2-4QS</t>
  </si>
  <si>
    <t xml:space="preserve"> A10066A172800016 A</t>
  </si>
  <si>
    <t>XEM2-1CQ</t>
  </si>
  <si>
    <t>BCM82790</t>
  </si>
  <si>
    <t>100G QSFP28 PHY</t>
  </si>
  <si>
    <t>100G SFP</t>
  </si>
  <si>
    <t>XEM2-1CQ QSFP28</t>
  </si>
  <si>
    <t>port1.{}.1</t>
  </si>
  <si>
    <t>AT-XEM2-1CQ</t>
  </si>
  <si>
    <t xml:space="preserve"> A10069A181000005 A</t>
  </si>
  <si>
    <t>XEM2-12XSv2</t>
  </si>
  <si>
    <t>BCM82756</t>
  </si>
  <si>
    <t>10G SFP+ Phy</t>
  </si>
  <si>
    <t>XEM2-12XS v2 SFP+</t>
  </si>
  <si>
    <t>AT-XEM2-12XS V2</t>
  </si>
  <si>
    <t>A10179A194400019 B</t>
  </si>
  <si>
    <t>XEM2-8XSTm</t>
  </si>
  <si>
    <t>port1.{}.5-1.{}.8</t>
  </si>
  <si>
    <t>A10125A194100052 C</t>
  </si>
  <si>
    <t>x220</t>
  </si>
  <si>
    <t>AT-x220-28GT</t>
  </si>
  <si>
    <t>Marvell AlleyCat3 98DX3235</t>
  </si>
  <si>
    <t>x220 1G SFP Uplink</t>
  </si>
  <si>
    <t>port1.0.25-1.0.28</t>
  </si>
  <si>
    <t>AT-x220-28GP</t>
  </si>
  <si>
    <t>Marvell AlleyCat3 98DX3237</t>
  </si>
  <si>
    <t>AT-x220-28GS</t>
  </si>
  <si>
    <t>Marvell AlleyCat3 98DX3239</t>
  </si>
  <si>
    <t>AT-X220-28GS</t>
  </si>
  <si>
    <t xml:space="preserve"> A10072G181000009F</t>
  </si>
  <si>
    <t>Marvell AlleyCat3 98DX3240</t>
  </si>
  <si>
    <t>88E1548</t>
  </si>
  <si>
    <t>x220 1G SFP Base</t>
  </si>
  <si>
    <t>port1.0.1-1.0.24</t>
  </si>
  <si>
    <t>AT-x220-52GT</t>
  </si>
  <si>
    <t>Marvell AlleyCat3 98DX3236 × 2</t>
  </si>
  <si>
    <t>port1.0.48-1.0.52</t>
  </si>
  <si>
    <t>AT-x220-52GP</t>
  </si>
  <si>
    <t>Marvell AlleyCat3 98DX3236 × 4</t>
  </si>
  <si>
    <t>GS980M</t>
  </si>
  <si>
    <t>AT-GS980M/28</t>
  </si>
  <si>
    <t>Marvell AlleyCat3 98DX3236</t>
  </si>
  <si>
    <t>x220 1G SFP uplink</t>
  </si>
  <si>
    <t>AT-GS980M/28PS</t>
  </si>
  <si>
    <t>Marvell AlleyCat3 98DX3238</t>
  </si>
  <si>
    <t>AT-GS980M/52</t>
  </si>
  <si>
    <t>Marvell AlleyCat3 98DX3236 × 3</t>
  </si>
  <si>
    <t>AT-GS980M/52PS</t>
  </si>
  <si>
    <t>Marvell AlleyCat3 98DX3236 × 5</t>
  </si>
  <si>
    <t>AT-x230-10GT</t>
  </si>
  <si>
    <t>BCM53343(Broadcom Wolfhound)</t>
  </si>
  <si>
    <t>x230-10GT SFP</t>
  </si>
  <si>
    <t>x230-10GT</t>
  </si>
  <si>
    <t xml:space="preserve"> A05461G163900003 A</t>
  </si>
  <si>
    <t>AT-x230-10GP</t>
  </si>
  <si>
    <t>BCM53343(Broadcom Wolfhound) </t>
  </si>
  <si>
    <t>x230 SFP</t>
  </si>
  <si>
    <t>AT-x230L-17GT</t>
  </si>
  <si>
    <t>AT-x230-18GT</t>
  </si>
  <si>
    <t>AT-x230-18GP</t>
  </si>
  <si>
    <t>X230-18GP</t>
  </si>
  <si>
    <t xml:space="preserve"> G27ZE6018</t>
  </si>
  <si>
    <t>AT-x230L-26GT</t>
  </si>
  <si>
    <t>BCM53344(Broadcom Wolfhound)</t>
  </si>
  <si>
    <t>AT-x230-28GT</t>
  </si>
  <si>
    <t>AT-x230-28GP</t>
  </si>
  <si>
    <t>SH230</t>
  </si>
  <si>
    <t>AT-SH230-10GT (KK) </t>
  </si>
  <si>
    <t>x230-10 SFP</t>
  </si>
  <si>
    <t>AT-SH230-10GP (KK) </t>
  </si>
  <si>
    <t>AT-SH230-18GT (KK) </t>
  </si>
  <si>
    <t>AT-SH230-18GP (KK) </t>
  </si>
  <si>
    <t>AT-SH230-28GT (KK) </t>
  </si>
  <si>
    <t>AT-SH230-28GP (KK) </t>
  </si>
  <si>
    <t>GS970M</t>
  </si>
  <si>
    <t>AT-GS970M/10 (RoW)</t>
  </si>
  <si>
    <t>AT-GS970M/10PS (RoW)</t>
  </si>
  <si>
    <t>AT-GS970M/18 (RoW)</t>
  </si>
  <si>
    <t>AT-GS970M/18PS (RoW)</t>
  </si>
  <si>
    <t>AT-GS970M/28 (RoW)</t>
  </si>
  <si>
    <t>AT-GS970M/28PS (RoW)</t>
  </si>
  <si>
    <t>AT-x310-26FT</t>
  </si>
  <si>
    <t>BCM54282s</t>
  </si>
  <si>
    <t>x310 SFP</t>
  </si>
  <si>
    <t>AT-x310-26FP</t>
  </si>
  <si>
    <t>AT-x310-50FT</t>
  </si>
  <si>
    <t>AT-X310-50FT</t>
  </si>
  <si>
    <t xml:space="preserve"> G27KE501Z</t>
  </si>
  <si>
    <t>AT-x310-50FP</t>
  </si>
  <si>
    <t>AT-x310-26GT</t>
  </si>
  <si>
    <t>AT-x310-26GP</t>
  </si>
  <si>
    <t>AT-x310-50GT</t>
  </si>
  <si>
    <t>AT-x310-50GP</t>
  </si>
  <si>
    <t>SH310</t>
  </si>
  <si>
    <t>AT-SH310-26FT</t>
  </si>
  <si>
    <t>AT-SH310-26FP</t>
  </si>
  <si>
    <t>AT-SH310-50FT</t>
  </si>
  <si>
    <t>AT-SH310-50FP</t>
  </si>
  <si>
    <t>x320</t>
  </si>
  <si>
    <t>AT-x320-10GH</t>
  </si>
  <si>
    <t xml:space="preserve">BCM98DX3333 </t>
  </si>
  <si>
    <t xml:space="preserve">1G SFP </t>
  </si>
  <si>
    <t>x320 SFP</t>
  </si>
  <si>
    <t>port1.0.9-1.0.10</t>
  </si>
  <si>
    <t>AT-PWR300 PT3 Y9603MYK000007</t>
  </si>
  <si>
    <t>AT-x320-11GPT</t>
  </si>
  <si>
    <t>AT-GS980EM/10H</t>
  </si>
  <si>
    <t>A10282G202022244 A</t>
  </si>
  <si>
    <t>AT-GS980EM/11PT</t>
  </si>
  <si>
    <t>AT-x510-28GTX </t>
  </si>
  <si>
    <t>BCM56321</t>
  </si>
  <si>
    <t>BCM8747BKFBG</t>
  </si>
  <si>
    <t>x510 SFP+</t>
  </si>
  <si>
    <t>Uplinks?</t>
  </si>
  <si>
    <t>AT-x510L-28GP</t>
  </si>
  <si>
    <t>AT-x510L-28GT</t>
  </si>
  <si>
    <t>AT-x510-52GTX </t>
  </si>
  <si>
    <t>AT-x510L-52GP</t>
  </si>
  <si>
    <t>AT-x510L-52GT </t>
  </si>
  <si>
    <t>AT-x510-28GPX </t>
  </si>
  <si>
    <t>AT-x510-52GPX </t>
  </si>
  <si>
    <t>AT-x510-28GSX</t>
  </si>
  <si>
    <t>AT-X510-28GSX</t>
  </si>
  <si>
    <t xml:space="preserve"> A26PD701M</t>
  </si>
  <si>
    <t>x510-28GS SFP base ports</t>
  </si>
  <si>
    <t>AT-x510DP-52GTX</t>
  </si>
  <si>
    <t>AT-x510DP-28GTX</t>
  </si>
  <si>
    <t>IE platform covered by IE platform?</t>
  </si>
  <si>
    <t>AT-IX5-28GPX</t>
  </si>
  <si>
    <t>IE510-28GSX</t>
  </si>
  <si>
    <t>BCM84747BKFBG</t>
  </si>
  <si>
    <t>IE510 SFP+</t>
  </si>
  <si>
    <t>IE510-28GS Base</t>
  </si>
  <si>
    <t>SH510</t>
  </si>
  <si>
    <t>AT-SH510-28GTX (KK)</t>
  </si>
  <si>
    <t>AT-SH510-52GTX (KK)</t>
  </si>
  <si>
    <t>AT-SH510-28GPX (KK)</t>
  </si>
  <si>
    <t>AT-SH510-52GPX (KK)</t>
  </si>
  <si>
    <t>AT-x530-28GTXm</t>
  </si>
  <si>
    <t>98DX3255 Alleycat3X</t>
  </si>
  <si>
    <t>x530 SFP+ Uplink</t>
  </si>
  <si>
    <t>AT-x530-28GPXm</t>
  </si>
  <si>
    <t>AT-x530-28GSX</t>
  </si>
  <si>
    <t>98DX3258 Alleycat3X</t>
  </si>
  <si>
    <t>88e7548m</t>
  </si>
  <si>
    <t>x530-28GS base ports</t>
  </si>
  <si>
    <t>88x3340</t>
  </si>
  <si>
    <t>x530-28GS uplink</t>
  </si>
  <si>
    <t>AT-x530DP-28GHXm</t>
  </si>
  <si>
    <t>AT-x530-52GTXm</t>
  </si>
  <si>
    <t>98DX3258 + 98DX3255 Alleycat3X</t>
  </si>
  <si>
    <t>AT-x530-52GPXm</t>
  </si>
  <si>
    <t>AT-x530DP-52GHXm</t>
  </si>
  <si>
    <t>X530-52GPXm</t>
  </si>
  <si>
    <t>A10317G194500001 E</t>
  </si>
  <si>
    <t>AT-x530L-52GTX</t>
  </si>
  <si>
    <t>AT-x530L-28GTX</t>
  </si>
  <si>
    <t>AT-x530L-52GPX</t>
  </si>
  <si>
    <t>AT-x530L-28GPX</t>
  </si>
  <si>
    <t>AT-x530L-10GHXm</t>
  </si>
  <si>
    <t>98DX8324 Aldrin</t>
  </si>
  <si>
    <t>X530L-GHXm SFP+ Uplink</t>
  </si>
  <si>
    <t>AT-x530L-18GHXm</t>
  </si>
  <si>
    <t>AT-GS980MX/10HSM</t>
  </si>
  <si>
    <t>port1.0.17-1.0.18</t>
  </si>
  <si>
    <t>AT-GS980MX/18HSM</t>
  </si>
  <si>
    <t>GS980MX</t>
  </si>
  <si>
    <t>AT-GS980MX/28</t>
  </si>
  <si>
    <t>AT-GS980MX/28PSm</t>
  </si>
  <si>
    <t>AT-GS980MX/52</t>
  </si>
  <si>
    <t>98DX3255 + 98DX3255 Alleycat3X</t>
  </si>
  <si>
    <t>AT-GS980MX/52PSm</t>
  </si>
  <si>
    <t>x550-18XSQv2</t>
  </si>
  <si>
    <t>BCM56045</t>
  </si>
  <si>
    <t>x550 SFP+ LCP</t>
  </si>
  <si>
    <t>AT-X550-28XSQ V2</t>
  </si>
  <si>
    <t>A10184A201600003 B</t>
  </si>
  <si>
    <t>x550 QSFP+ Uplink</t>
  </si>
  <si>
    <t>x550-18XSQ</t>
  </si>
  <si>
    <t>x550 SFP+</t>
  </si>
  <si>
    <t>AT-X550-18XSQ</t>
  </si>
  <si>
    <t xml:space="preserve"> A10012A172400013 B</t>
  </si>
  <si>
    <t>x550-18XSPQm</t>
  </si>
  <si>
    <t>x550 SFP+ DC</t>
  </si>
  <si>
    <t>AT-X550-18XSPQM</t>
  </si>
  <si>
    <t xml:space="preserve"> A10013A181200007 D</t>
  </si>
  <si>
    <t>x550-18XTQ</t>
  </si>
  <si>
    <t>x930-28GPX</t>
  </si>
  <si>
    <t>BCM56548</t>
  </si>
  <si>
    <t>x930 SFP+ Uplink</t>
  </si>
  <si>
    <t>x930-28GTX</t>
  </si>
  <si>
    <t>x930-52GPX</t>
  </si>
  <si>
    <t>BCM56547</t>
  </si>
  <si>
    <t>x930-52GTX</t>
  </si>
  <si>
    <t>x930-28GSTX</t>
  </si>
  <si>
    <t>BCM54385</t>
  </si>
  <si>
    <t>x930 SFP base Ports</t>
  </si>
  <si>
    <t>AT-X930-28GSTX</t>
  </si>
  <si>
    <t xml:space="preserve"> A04881A151300005 E</t>
  </si>
  <si>
    <t>Stack-QS</t>
  </si>
  <si>
    <t>x930 QSFP Uplink</t>
  </si>
  <si>
    <t>AT-STACKQS</t>
  </si>
  <si>
    <t xml:space="preserve"> A04882A145000012 C</t>
  </si>
  <si>
    <t>AT-x9EM/XT4</t>
  </si>
  <si>
    <t>BCM84848</t>
  </si>
  <si>
    <t>10G CU+ phy</t>
  </si>
  <si>
    <t>na</t>
  </si>
  <si>
    <t>AT-x950-28XSQ</t>
  </si>
  <si>
    <t>BCM56862(Broadcom Trident 2+)</t>
  </si>
  <si>
    <t>BCM82792</t>
  </si>
  <si>
    <t>100G Uplink</t>
  </si>
  <si>
    <t>40G &amp; 100G</t>
  </si>
  <si>
    <t>x950 QSFP28+ Uplink</t>
  </si>
  <si>
    <t>AT-X950-28XSQ</t>
  </si>
  <si>
    <t xml:space="preserve"> A10158A183900015</t>
  </si>
  <si>
    <t>x950 SFP+ Base Ports</t>
  </si>
  <si>
    <t>AT-x950-28XTQm</t>
  </si>
  <si>
    <t>AT-x950-52XSQ</t>
  </si>
  <si>
    <t>AT-XS916MXT</t>
  </si>
  <si>
    <t>BCM56060 (Broadcom Ranger2) </t>
  </si>
  <si>
    <t>XS900MX SFP+ Base Ports</t>
  </si>
  <si>
    <t xml:space="preserve"> A05285A162200020 B</t>
  </si>
  <si>
    <t>AT-XS916MXP</t>
  </si>
  <si>
    <t>AT-XS916MXS</t>
  </si>
  <si>
    <t>AR1050V</t>
  </si>
  <si>
    <t>arcl</t>
  </si>
  <si>
    <t>Cavium Octeon III 1GHz Single Core (CN7010 MIPS64)</t>
  </si>
  <si>
    <t>BCM53115M</t>
  </si>
  <si>
    <t>AR2010V</t>
  </si>
  <si>
    <t>arc</t>
  </si>
  <si>
    <t>Cavium Octeon III 800Mhz Dual Core</t>
  </si>
  <si>
    <t>AR2050V</t>
  </si>
  <si>
    <t>AR3050S</t>
  </si>
  <si>
    <t>Cavium Octeon III 800MHz Dual Core</t>
  </si>
  <si>
    <t>AW+ Router SFP</t>
  </si>
  <si>
    <t>AT-AR4050S</t>
  </si>
  <si>
    <t xml:space="preserve"> A05049G151700032 J</t>
  </si>
  <si>
    <t>AR4050S</t>
  </si>
  <si>
    <t>Cavium Octeon III 1.5GHz Quad Core</t>
  </si>
  <si>
    <t>AT-DC2552XS</t>
  </si>
  <si>
    <t>BCM56845 (Broadcom Trident)</t>
  </si>
  <si>
    <t xml:space="preserve">BCM84754 </t>
  </si>
  <si>
    <t>DC2552XS SFP+ base ports</t>
  </si>
  <si>
    <t xml:space="preserve"> K110000061</t>
  </si>
  <si>
    <t>EOSS</t>
  </si>
  <si>
    <t>40G QSFP phy</t>
  </si>
  <si>
    <t>DC2552XS QSFP+ Uplink ports</t>
  </si>
  <si>
    <t>x200</t>
  </si>
  <si>
    <t>AT-x200-GE-28T</t>
  </si>
  <si>
    <t>BCM56214</t>
  </si>
  <si>
    <t>BCM54980</t>
  </si>
  <si>
    <t>x210</t>
  </si>
  <si>
    <t>AT-x210-9GT </t>
  </si>
  <si>
    <t>BCM53312S</t>
  </si>
  <si>
    <t>x210 1G SFP Direct connect</t>
  </si>
  <si>
    <t>AT-X210-9GT</t>
  </si>
  <si>
    <t xml:space="preserve"> A04621G121700121 A</t>
  </si>
  <si>
    <t>AT-x210-24GT </t>
  </si>
  <si>
    <t>BCM54684</t>
  </si>
  <si>
    <t>1G Combo</t>
  </si>
  <si>
    <t>x210 1G SFP Phy</t>
  </si>
  <si>
    <t>AT-x210-16GT </t>
  </si>
  <si>
    <t>AT-X210-16GT</t>
  </si>
  <si>
    <t xml:space="preserve"> A04622G121600179A</t>
  </si>
  <si>
    <t>SH210</t>
  </si>
  <si>
    <t>AT-SH210-9GT (KK)</t>
  </si>
  <si>
    <t>AT-SH210-16GT (KK)</t>
  </si>
  <si>
    <t>AT-SH210-24GT (KK)</t>
  </si>
  <si>
    <t>AT-GS970M/9</t>
  </si>
  <si>
    <t>AT-GS970M/16</t>
  </si>
  <si>
    <t>AT-GS970M/24</t>
  </si>
  <si>
    <t>x600-24Ts</t>
  </si>
  <si>
    <t>BCM56504</t>
  </si>
  <si>
    <t>BCM5464SR</t>
  </si>
  <si>
    <t>x600 1G Phy Combo</t>
  </si>
  <si>
    <t>x600-24Ts/XP</t>
  </si>
  <si>
    <t>AT-X600-24TS/XP</t>
  </si>
  <si>
    <t xml:space="preserve"> X2</t>
  </si>
  <si>
    <t>BCM8704</t>
  </si>
  <si>
    <t>10G XFP Phy</t>
  </si>
  <si>
    <t>x600 10G XFP Phy</t>
  </si>
  <si>
    <t>x600-48Ts</t>
  </si>
  <si>
    <t>x600 1G Direct connect</t>
  </si>
  <si>
    <t>x600-48Ts/XP</t>
  </si>
  <si>
    <t>AT-X600-44TS/XP</t>
  </si>
  <si>
    <t xml:space="preserve"> X2-0</t>
  </si>
  <si>
    <t xml:space="preserve"> G1Q78100J</t>
  </si>
  <si>
    <t>x600-24Ts-POE</t>
  </si>
  <si>
    <t>BCM56505</t>
  </si>
  <si>
    <t>AT-x610-24Ts</t>
  </si>
  <si>
    <t xml:space="preserve">BCM56514 </t>
  </si>
  <si>
    <t xml:space="preserve">BCM54640 </t>
  </si>
  <si>
    <t>AT-x610-24Ts/X</t>
  </si>
  <si>
    <t>BCM8727</t>
  </si>
  <si>
    <t xml:space="preserve">10G SFP+ phy </t>
  </si>
  <si>
    <t>x600 10G SFP Phy</t>
  </si>
  <si>
    <t>AT-x610-24Ts-PoE</t>
  </si>
  <si>
    <t>AT-x610-24Ts/X-PoE</t>
  </si>
  <si>
    <t>AT-x610-48Ts</t>
  </si>
  <si>
    <t>AT-x610-48Ts/X</t>
  </si>
  <si>
    <t>AT-x610-48Ts-PoE</t>
  </si>
  <si>
    <t>AT-x610-48Ts/X-PoE</t>
  </si>
  <si>
    <t>AT-x610-24SPs</t>
  </si>
  <si>
    <t>x600 1G SFP Phy</t>
  </si>
  <si>
    <t>AT-X610-24SPS/X</t>
  </si>
  <si>
    <t>AT-x6EM-2XS</t>
  </si>
  <si>
    <t>x6em-2xs</t>
  </si>
  <si>
    <t>AT-x6EM/XS2</t>
  </si>
  <si>
    <t xml:space="preserve"> A-0</t>
  </si>
  <si>
    <t>Platform</t>
  </si>
  <si>
    <t>Test Plan Name</t>
  </si>
  <si>
    <t>VCS Supported</t>
  </si>
  <si>
    <t>Board ID</t>
  </si>
  <si>
    <t>Show System</t>
  </si>
  <si>
    <t>Description    http://git.atlnz.lc/cgit/cgit.cgi/productData.git/tree/</t>
  </si>
  <si>
    <t>ATKK Only</t>
  </si>
  <si>
    <t>SFP Phy</t>
  </si>
  <si>
    <t>Connection Type</t>
  </si>
  <si>
    <t>Port Type Name</t>
  </si>
  <si>
    <t>10M</t>
  </si>
  <si>
    <t>2.5G</t>
  </si>
  <si>
    <t>5G</t>
  </si>
  <si>
    <t>Port Type</t>
  </si>
  <si>
    <t>AR3050S - 2*eth/sfp-WAN+8*eth-LAN</t>
  </si>
  <si>
    <t>eth1,eth2</t>
  </si>
  <si>
    <t>1G Uplink</t>
  </si>
  <si>
    <t>UPLINK</t>
  </si>
  <si>
    <t>AR4050S - 2*eth/sfp-WAN+8*eth-LAN</t>
  </si>
  <si>
    <t>AR2050V, 1*eth/WAN+4*eth-LAN</t>
  </si>
  <si>
    <t>AR2010V, 1*eth/WAN+1*eth/LAN</t>
  </si>
  <si>
    <t>AR1050V, 1*eth/WAN+4*eth-LAN</t>
  </si>
  <si>
    <t>AR4050S-5G</t>
  </si>
  <si>
    <t>AT-DC2552XS, 48xxSFP+, 4xQSFP, Broadcom56845(Trident)</t>
  </si>
  <si>
    <t>port1.0.1-1.0.48</t>
  </si>
  <si>
    <t>10G Base</t>
  </si>
  <si>
    <t>BASE</t>
  </si>
  <si>
    <t>port1.0.49-1.0.52</t>
  </si>
  <si>
    <t>40G Uplink</t>
  </si>
  <si>
    <t>AT-FS980M/9, 8xFastEthernet, 1xcombo SFP/T, Marvell98DX1133</t>
  </si>
  <si>
    <t>port1.0.9</t>
  </si>
  <si>
    <t>COMBO</t>
  </si>
  <si>
    <t>AT-FS980M/9PS, 8xFastEthernet w POE, 1xcombo SFP/T, Marvell98DX1133</t>
  </si>
  <si>
    <t>AT-FS980M/18, 16xFastEthernet,  2xcombo SFP/T, Marvell98DX1134</t>
  </si>
  <si>
    <t>port1.0.17,port1.0.18</t>
  </si>
  <si>
    <t>AT-FS980M/18PS, 16xFastEthernet w POE,  2xcombo SFP/T, Marvell98DX1134</t>
  </si>
  <si>
    <t>AT-FS980M/28, 24xFastEthernet, 4xSFP, 2xStacking Marvell98DX1135</t>
  </si>
  <si>
    <t>AT-FS980M/28PS, 24xFastEthernet w POE, 4xSFP, 2xStacking Marvell98DX1135</t>
  </si>
  <si>
    <t>AT-FS980M/52, 48xFastEthernet, 4xSFP, 2xStacking Marvell98DX1135</t>
  </si>
  <si>
    <t>AT-FS980M/52PS, 24xFastEthernet w POE, 4xSFP, 2xStacking Marvell98DX1135</t>
  </si>
  <si>
    <t>AT-FS980M/28DP, 24xFE w POE, 4xSFP, 2xStacking Marvel 98DX1135 Dual PSU</t>
  </si>
  <si>
    <t>AT-IE200-6GT</t>
  </si>
  <si>
    <t>AT-IE200-6GT, 6xGigabit, Broadcom 96xxx SOC</t>
  </si>
  <si>
    <t>1G SFP Port 5</t>
  </si>
  <si>
    <t>PHY1</t>
  </si>
  <si>
    <t>1G SFP Port 6</t>
  </si>
  <si>
    <t>PHY2</t>
  </si>
  <si>
    <t>AT-IE200-6GP</t>
  </si>
  <si>
    <t>AT-IE200-6GP, 6xGigabit(POE), Broadcom 96xxx SOC</t>
  </si>
  <si>
    <t>AT-IE200-6FT</t>
  </si>
  <si>
    <t>AT-IE200-6FT, 6xFastEthernet, Broadcom 96xxx SOC</t>
  </si>
  <si>
    <t>AT-IE200-6FP, 6xFastEthernet(POE), Broadcom 96xxx SOC</t>
  </si>
  <si>
    <t>AT-SBx81CFC400</t>
  </si>
  <si>
    <t>AT-SBx81CFC – First generation switch control card for SBx8112</t>
  </si>
  <si>
    <t>AT-SBx81CFC960</t>
  </si>
  <si>
    <t>SBx81CFC960 (Second generation control card, Lion)</t>
  </si>
  <si>
    <t>10G SFP</t>
  </si>
  <si>
    <t>SBx81CFC960v2 (repsin of SBx81CFC960 control card)</t>
  </si>
  <si>
    <t>AT-SBx81CFC960v2</t>
  </si>
  <si>
    <t>AT-SBx81CFC960 v2</t>
  </si>
  <si>
    <t>SBx81CFC960 v2 (respin of SBx81CFC960 control card with customer-facing name change)</t>
  </si>
  <si>
    <t>AT-SBx81GP24</t>
  </si>
  <si>
    <t>AT-SBx81GP24 – 24 x 1G POE line card</t>
  </si>
  <si>
    <t>AT-SBx81XZ4</t>
  </si>
  <si>
    <t>AT-SBx81ZX4 – 4 x 10G XFP line card</t>
  </si>
  <si>
    <t>AT-SBx81GT24</t>
  </si>
  <si>
    <t>AT-SBx81GT24 - 24 x 1G copper line card</t>
  </si>
  <si>
    <t>AT-SBx81GS24a</t>
  </si>
  <si>
    <t>AT-SBx81GS24 - 24 x 1G SFP line card</t>
  </si>
  <si>
    <t>SFP</t>
  </si>
  <si>
    <t>AT-SBx81XS6</t>
  </si>
  <si>
    <t>AT-SBx81XS6 - 6 x 10G SFP+ line card</t>
  </si>
  <si>
    <t>SFP+</t>
  </si>
  <si>
    <t>AT-SBx81GT40</t>
  </si>
  <si>
    <t>SBx81GT40 (40 x 10/100/1000T Line Card, Cheetah 5)</t>
  </si>
  <si>
    <t>AT-SBx81XS16</t>
  </si>
  <si>
    <t>SBx81XS16 (16  x 10Gbps (SFP+) Line Card, Cheetah 5)</t>
  </si>
  <si>
    <t>AT-SBx81GC40</t>
  </si>
  <si>
    <t xml:space="preserve">AT-SBx81GC40, 40xCSFP </t>
  </si>
  <si>
    <t>1G CSFP</t>
  </si>
  <si>
    <t>AT-SBx81GP24 v2</t>
  </si>
  <si>
    <t>AT-SBx81GP24v2 – Respin of GP24 to replace EoL parts</t>
  </si>
  <si>
    <t>AT-SBx81XLEM</t>
  </si>
  <si>
    <t>SBx81XLEM, Linecard for SBx8100, 12xSFP, expansion bay, Marvell Bobcat2</t>
  </si>
  <si>
    <t>1G Base</t>
  </si>
  <si>
    <t>AT-SBx81XLEM/XS8</t>
  </si>
  <si>
    <t>8xSFP+ expansion module for SBx81XLEM</t>
  </si>
  <si>
    <t>AT-SBx81XLEM/Q2</t>
  </si>
  <si>
    <t>2xQSFP+ expansion module for SBx81XLEM</t>
  </si>
  <si>
    <t>40G SFP</t>
  </si>
  <si>
    <t>AT-SBx81XLEM/XT4</t>
  </si>
  <si>
    <t>4x10G copper expansion module for SBx81XLEM</t>
  </si>
  <si>
    <t>AT-SBx81XLEM/GT8</t>
  </si>
  <si>
    <t>8x1G copper expansion module for SBx81XLEM</t>
  </si>
  <si>
    <t>8x1G copper expansion module for SBx81XLEM (PT1 version with inverted port connections)</t>
  </si>
  <si>
    <t>AT-SBx908 GEN2</t>
  </si>
  <si>
    <t>AT-SBx908 GEN2, 8 x XEM2 slots, 96 x 1G, 96 x 10G, 32 x 40G, Broadcom Trident2+ BCM56860, T2081 CPU</t>
  </si>
  <si>
    <t>AT-XEM2-4QS, 4 x 40G QSFP+ slots</t>
  </si>
  <si>
    <t>QSFP</t>
  </si>
  <si>
    <t>AT-XEM2-12XS, 12 x 1G/10G SFP/SFP+ slots (BCM84756 PHY)</t>
  </si>
  <si>
    <t>port1.{}.1-port1.{}.12</t>
  </si>
  <si>
    <t>AT-XEM2-12XT</t>
  </si>
  <si>
    <t>AT-XEM2-12XT, 12 x 1G/10G copper ports</t>
  </si>
  <si>
    <t>AT-XEM2-1CQ, 1 x 100G QSFP28 ports</t>
  </si>
  <si>
    <t>QSFP28</t>
  </si>
  <si>
    <t>AT-XEM2-12XTm</t>
  </si>
  <si>
    <t>AT-XEM2-12XTm, 12 x 1G/2.5G/5G/10G copper ports</t>
  </si>
  <si>
    <t>AT-XEM2-8XSTm</t>
  </si>
  <si>
    <t>AT-XEM2-8XSTm, 4 x 1G/2.5G/5G/10G copper ports, 4 x SFP+</t>
  </si>
  <si>
    <t>AT-XEM2-12XS v2</t>
  </si>
  <si>
    <t>AT-XEM2-12XS v2 12xSFP+ports (BCM82756 New Lo-Cost PHY)</t>
  </si>
  <si>
    <t>AT-x950-28XTQm, 24 x 1G/2.5G/5G/10G copper ports, 4 x QSFP/QSFP28, 1 x XEM2 slot</t>
  </si>
  <si>
    <t>port1.0.25, port1.0.29, port1.0.33, port1.0.37</t>
  </si>
  <si>
    <t>AT-x950-28XSQ, 24 x SFP+, 4 x QSFP/QSFP28, 1 x XEM2 slot</t>
  </si>
  <si>
    <t>AT-x950-52XSQ, 48 x SFP+, 4 x QSFP+/QSFP28</t>
  </si>
  <si>
    <t>AT-x950-52XTQm</t>
  </si>
  <si>
    <t>AT-x950-52XTQm, 48 x 1G/2.5G/5G/10G copper ports, 4 x QSFP/QSFP28</t>
  </si>
  <si>
    <t>port1.0.49-1.0.61</t>
  </si>
  <si>
    <t>AT-SH210-9GT</t>
  </si>
  <si>
    <t>SH210-9GT (same hardware with X210-9GT), 8xGigbit, 1xSFP/T,Broadcom53312</t>
  </si>
  <si>
    <t>AT-SH210-16GT</t>
  </si>
  <si>
    <t>SH210-16GT (same hardware with X210-16GT), 14xGigbit, 2xcombo SFP/T,Broadcom53313</t>
  </si>
  <si>
    <t>AT-SH210-24GT</t>
  </si>
  <si>
    <t>SH210-24GT (same hardware with X210-24GT), 20xGigbit, 4xcombo SFP/T,Broadcom53314</t>
  </si>
  <si>
    <t>AT-x210-9GT</t>
  </si>
  <si>
    <t>X210-9GT, 8xGigbit, 1xSFP/T,Broadcom53312</t>
  </si>
  <si>
    <t>AT-x210-16GT</t>
  </si>
  <si>
    <t>X210-16GT, 14xGigbit, 2xcombo SFP/T,Broadcom53313</t>
  </si>
  <si>
    <t>port1.0.15-1.0.16</t>
  </si>
  <si>
    <t>AT-x210-24GT</t>
  </si>
  <si>
    <t>X210-24GT, 20xGigbit, 4xcombo SFP/T,Broadcom53314</t>
  </si>
  <si>
    <t>AT-GS980M/52, 48xGigabit, 4xSFP</t>
  </si>
  <si>
    <t>AT-GS980M/52PS, 48xGigabit POE+, 4xSFP</t>
  </si>
  <si>
    <t>AT-GS980M/28, 24xGigabit, 4xSFP</t>
  </si>
  <si>
    <t>AT-GS980M/28PS, 24xGigabit POE+, 4xSFP</t>
  </si>
  <si>
    <t>AT-x220-52GT, 48xGigabit, 4xSFP</t>
  </si>
  <si>
    <t>AT-x220-52GP, 48xGigabit POE+, 4xSFP</t>
  </si>
  <si>
    <t>AT-x220-28GT, 24xGigabit, 4xSFP</t>
  </si>
  <si>
    <t>AT-x220-28GP, 24xGigabit POE+, 4xSFP</t>
  </si>
  <si>
    <t>AT-x220-28GS, 28xSFP</t>
  </si>
  <si>
    <t>AT-GS970M/28PS</t>
  </si>
  <si>
    <t>AT-GS970M/28PS,  24xGigabit POE+, 4xSFP</t>
  </si>
  <si>
    <t>AT-GS970M/18PS</t>
  </si>
  <si>
    <t>AT-GS970M/18PS,  16xGigabit POE+, 2xSFP</t>
  </si>
  <si>
    <t>AT-GS970M/10PS</t>
  </si>
  <si>
    <t>AT-GS970M/10PS,  8xGigabit POE+, 2xSFP</t>
  </si>
  <si>
    <t>AT-GS970M/28</t>
  </si>
  <si>
    <t>AT-GS970M/28, 24xGigabit, 4xSFP</t>
  </si>
  <si>
    <t>AT-GS970M/18</t>
  </si>
  <si>
    <t>AT-GS970M/18, 16xGigabit, 2xSFP</t>
  </si>
  <si>
    <t>AT-GS970M/10</t>
  </si>
  <si>
    <t>AT-GS970M/10, 8xGigabit, 2xSFP</t>
  </si>
  <si>
    <t>IE210L-10GP 8x 10/100/1000T, 2x 100/1000X SFP, PoE+</t>
  </si>
  <si>
    <t>IE210L-18GP 16x 10/100/1000T, 2x 100/1000X SFP, PoE+</t>
  </si>
  <si>
    <t>IE340-12GP 8 x 10/100/1000 Base T, 4 x 100/1000 SFP, POE+</t>
  </si>
  <si>
    <t>IE340L-18GP, 16 x 10/100/1000 Base T, 2 x 1000 SFP, POE+</t>
  </si>
  <si>
    <t>IE340-12GT 8 x 10/100/1000 Base T, 4 x 100/1000 SFP</t>
  </si>
  <si>
    <t>IE340-20GP 16 x 10/100/1000 Base T, 4 x 100/1000 SFP, POE+</t>
  </si>
  <si>
    <t>AT-SH230-10GP</t>
  </si>
  <si>
    <t>SH230-10GP (same hardware with x230-10GP), 8xGigabit PoE+, 2xSFP, Broadcom5334x</t>
  </si>
  <si>
    <t>AT-SH230-18GP</t>
  </si>
  <si>
    <t>SH230-18GP (same hardware with x230-18GP), 16xGigabit PoE+, 2xSFP, Broadcom5334x</t>
  </si>
  <si>
    <t>AT-SH230-28GP</t>
  </si>
  <si>
    <t>SH230-28GP (same hardware with x230-28GP), 24xGigabit PoE+, 4xSFP, Broadcom5334x</t>
  </si>
  <si>
    <t>AT-SH230-10GT</t>
  </si>
  <si>
    <t>SH230-10GT (same hardware with x230-10GT), 2xSFP, Broadcom5334x</t>
  </si>
  <si>
    <t>AT-SH230-18GT</t>
  </si>
  <si>
    <t>SH230-18GT (same hardware with x230-18GT), 2xSFP, Broadcom5334x</t>
  </si>
  <si>
    <t>AT-SH230-28GT</t>
  </si>
  <si>
    <t>SH230-28GT (same hardware with x230-28GT), 4xSFP, Broadcom5334x</t>
  </si>
  <si>
    <t>x230-10GT, 8xGigabit, 2xSFP, Broadcom5334x</t>
  </si>
  <si>
    <t>x230-18GT</t>
  </si>
  <si>
    <t>x230-18GT, 16xGigabit, 2xSFP, Broadcom5334x</t>
  </si>
  <si>
    <t>x230-28GT</t>
  </si>
  <si>
    <t>x230-28GT, 24xGigabit, 4xSFP, Broadcom5334x</t>
  </si>
  <si>
    <t>x230-52GT</t>
  </si>
  <si>
    <t>x230-52GT, 48xGigabit, 4xSFP</t>
  </si>
  <si>
    <t>x230-10GP</t>
  </si>
  <si>
    <t>x230-10GP, 8xGigabit PoE+, 2xSFP, Broadcom5334x</t>
  </si>
  <si>
    <t>x230-18GP</t>
  </si>
  <si>
    <t>x230-18GP, 16xGigabit PoE+, 2xSFP, Broadcom5334x</t>
  </si>
  <si>
    <t>x230-28GP</t>
  </si>
  <si>
    <t>x230-28GP, 24xGigabit PoE+, 4xSFP, Broadcom5334x</t>
  </si>
  <si>
    <t>x230-52GP</t>
  </si>
  <si>
    <t>x230-52GP, 48xGigabit PoE+, 4xSFP</t>
  </si>
  <si>
    <t>x230L-17GT</t>
  </si>
  <si>
    <t>x230L-17GT 16 x 10/100/1000 Base T, 1 x 100/1000 SFP</t>
  </si>
  <si>
    <t>port1.0.17</t>
  </si>
  <si>
    <t>x230L-26GT</t>
  </si>
  <si>
    <t>x230L-26GT 24 x 10/100/1000 Base T, 2 x 100/1000 SFP</t>
  </si>
  <si>
    <t>port1.0.25-1.0.26</t>
  </si>
  <si>
    <t>GS924MX (based on x310-26GT w/o RPS), 24xGigabit ports, 2xcombo SFP/T, 2xstacking, Broadcom5334</t>
  </si>
  <si>
    <t>port1.0.27-1.0.28</t>
  </si>
  <si>
    <t>GS924MPX (based on x310-26GP w/o RPS), 24xGigabit PoE+ ports, 2xcombo SFP/T, 2xstacking, Broadcom53346</t>
  </si>
  <si>
    <t>GS948MX (based on x310-50GT w/o RPS), 48xGigabit ports, 2xcombo SFP/T, 2xstacking, Broadcom53346</t>
  </si>
  <si>
    <t>port1.0.49-1.0.50</t>
  </si>
  <si>
    <t>port1.0.51-1.0.52</t>
  </si>
  <si>
    <t>GS948MPX (based on x310-50GP w/o RPS), 48xGigabit PoE+ ports, 2xcombo SFP/T, 2xstacking, Broadcom53346</t>
  </si>
  <si>
    <t>AT-IE300-12GT</t>
  </si>
  <si>
    <t>AT-IE300-12GT, 4x 100/1000M SFP, 8x 10/100/1000</t>
  </si>
  <si>
    <t>AT-IE300-12GP, 4x 100/1000M SFP, 8x 10/100/1000 POE</t>
  </si>
  <si>
    <t>AT-IE300-12GS</t>
  </si>
  <si>
    <t>AT-IE300-12GS, 12x 100/1000M SFP</t>
  </si>
  <si>
    <t>AT-IE300-20GST</t>
  </si>
  <si>
    <t>AT-IE300-20GST, 4 100/1000M SFP, 8 x 10/100/1000, 8x 100/1000M SFP</t>
  </si>
  <si>
    <t>SH310-26FT (same hardware with x310-26FT), 24x10/100 Base TX ports, 2xcombo SFP/T, 2xstacking, Broadcom5334x</t>
  </si>
  <si>
    <t>SH310-50FT (same hardware with x310-50FT), 48x10 100 Base TX ports, 2xcombo SFP/T, 2xstacking, Broadcom5334x</t>
  </si>
  <si>
    <t>SH310-26FP (same hardware with x310-26FP), 24x10/100 Base TX ports PoE+, 2xcombo SFP/T, 2xstacking, Broadcom5334x</t>
  </si>
  <si>
    <t>SH310-50FP (same hardware with x310-50FP), 48x10/100 Base TX ports PoE+, 2xcombo SFP/T, 2xstacking, Broadcom5334x</t>
  </si>
  <si>
    <t>x310-26FT, 24x10/100 Base TX ports, 2xcombo SFP/T, 2xstacking, Broadcom5334x</t>
  </si>
  <si>
    <t>x310-50FT, 48x10 100 Base TX ports, 2xcombo SFP/T, 2xstacking, Broadcom5334x</t>
  </si>
  <si>
    <t>x310-26FP, 24x10/100 Base TX ports PoE+, 2xcombo SFP/T, 2xstacking, Broadcom5334x</t>
  </si>
  <si>
    <t>x310-50FP, 48x10/100 Base TX ports PoE+, 2xcombo SFP/T, 2xstacking, Broadcom5334x</t>
  </si>
  <si>
    <t>x310-26GT, 24xGigabit, 2xcombo SFP/T, 2xstacking, Broadcom5334x</t>
  </si>
  <si>
    <t>x310-50GT, 48xGigabit, 2xcombo SFP/T, 2xstacking, Broadcom5334x</t>
  </si>
  <si>
    <t>x310-26GP, 24xGigabit PoE+, 2xcombo SFP/T, 2xstacking, Broadcom5334x</t>
  </si>
  <si>
    <t>x310-50GP, 48xGigabit PoE+, 2xcombo SFP/T, 2xstacking, Broadcom5334x</t>
  </si>
  <si>
    <t>IE510-28GSX - Industrial temp x510 with fixed DC PSU</t>
  </si>
  <si>
    <t>10G Uplink</t>
  </si>
  <si>
    <t>AT-SH510-28GTX</t>
  </si>
  <si>
    <t>SH510-28GTX (same hardware with x510L-28GT), 24xGigabit, 4 x SFP+, Broadcom56321</t>
  </si>
  <si>
    <t>AT-SH510-52GTX</t>
  </si>
  <si>
    <t>SH510-52GTX (same hardware with x510L-52GT), 48xGigabit, 4 x SFP+, Broadcom56321</t>
  </si>
  <si>
    <t>AT-SH510-28GPX</t>
  </si>
  <si>
    <t>SH510-28GPX (same hardware with x510-28GPX), 24xGigabit(POE), 4 x SFP+, Broadcom56321</t>
  </si>
  <si>
    <t>AT-SH510-52GPX</t>
  </si>
  <si>
    <t>SH510-52GTX (same hardware with x510-52GPX), 48xGigabit(POE), 4 x SFP+, Broadcom56321</t>
  </si>
  <si>
    <t>X510-28GTX, 24xGigabit, 4 x SFP+,Broadcom56321</t>
  </si>
  <si>
    <t>X510-28GPX, 24xGigabit(POE), 4 x SFP+,Broadcom56321</t>
  </si>
  <si>
    <t>X510-28GSX, 24xSFP, 4 x SFP+,Broadcom56321</t>
  </si>
  <si>
    <t>X510-52GTX, 48xGigabit, 4 x SFP+,Broadcom56321-Broadcom56321</t>
  </si>
  <si>
    <t>X510-52GPX, 48xGigabit(POE), 4 x SFP+,Broadcom56321-Broadcom56321</t>
  </si>
  <si>
    <t>x510DP-52GTX, 48xGigabit, 4 x SFP+,Broadcom56321-Broadcom56321</t>
  </si>
  <si>
    <t>IX5-28GPX, 24xGigabit(POE), 4 x SFP+,Broadcom56321</t>
  </si>
  <si>
    <t>x510DP-28GTX, 24xGigabit, 4 x SFP+</t>
  </si>
  <si>
    <t>x510L-28GT, 24xGigabit, 4 x SFP+, Broadcom56321</t>
  </si>
  <si>
    <t>AT-x510L-52GT</t>
  </si>
  <si>
    <t>x510L-52GT, 48xGigabit, 4 x SFP+, Broadcom56321</t>
  </si>
  <si>
    <t>x510L-28GP, 24xGigabit(POE), 4 x SFP+, Broadcom56321</t>
  </si>
  <si>
    <t>x510L-52GP, 48xGigabit(POE), 4 x SFP+, Broadcom56321</t>
  </si>
  <si>
    <t>AT-GS980MX/28, 24xGigabit, 4xSFP+</t>
  </si>
  <si>
    <t>AT-GS980MX/28PSm, 24xGigabit POE+, 4xSFP+</t>
  </si>
  <si>
    <t>AT-GS980MX/52, 48xGigabit, 4xSFP+</t>
  </si>
  <si>
    <t>AT-GS980MX/52PSm, 48xGigabit POE+, 4xSFP+</t>
  </si>
  <si>
    <t>AT-GS980MX/10HSm, 8xMultigig POE++, 2xSFP+, single PSU</t>
  </si>
  <si>
    <t>AT-GS980MX/18HSm, 16xMultigig POE++, 2xSFP+, single PSU</t>
  </si>
  <si>
    <t>AT-x320-10GH, 8xGigabit POE++, 2xSFP</t>
  </si>
  <si>
    <t xml:space="preserve">98DX3333 </t>
  </si>
  <si>
    <t>AT-x320-11GPT, 8xGigabit POE+, 2xSFP, 1xGigabit POE++ passthrough</t>
  </si>
  <si>
    <t>GS980EM</t>
  </si>
  <si>
    <t>AT-GS980EM/10H, 8xGigabit POE++, 2xSFP</t>
  </si>
  <si>
    <t>AT-GS980EM/11PT, 8xGigabit POE+, 2xSFP, 1xGigabit POE++ passthrough</t>
  </si>
  <si>
    <t>AT-x530-28GTXm, 24xGigabit, 4xSFP+</t>
  </si>
  <si>
    <t>AT-x530-28GPXm, 24xGigabit POE+, 4xSFP+</t>
  </si>
  <si>
    <t>AT-x530-28GSX, 24xSFP, 4xSFP+</t>
  </si>
  <si>
    <t xml:space="preserve">98DX3255 Alleycat3X </t>
  </si>
  <si>
    <t>88E1548-A1-BAM2C000</t>
  </si>
  <si>
    <t>AT-x530DP-28GHXm, 24xGigabit POE+, 4xSFP+, dual power</t>
  </si>
  <si>
    <t>AT-x530-52GTXm, 48xGigabit, 4xSFP+</t>
  </si>
  <si>
    <t>AT-x530-52GPXm, 48xGigabit POE+, 4xSFP+</t>
  </si>
  <si>
    <t>A10245G194500001 E</t>
  </si>
  <si>
    <t>AT-x530DP-52GHXm, 48xGigabit POE+, 4xSFP, dual power</t>
  </si>
  <si>
    <t>AT-x530L-28GTX, 24xGigabit, 4xSFP+</t>
  </si>
  <si>
    <t>AT-x530L-28GPX, 24xGigabit POE+, 4xSFP+</t>
  </si>
  <si>
    <t>AT-x530L-52GTX, 48xGigabit, 4xSFP+</t>
  </si>
  <si>
    <t>AT-x530L-52GPX, 48xGigabit POE+, 4xSFP+</t>
  </si>
  <si>
    <t>AT-x530L-10GHXm, 8xMultigig POE++, 2xSFP+, single PSU</t>
  </si>
  <si>
    <t>A10322A205000005</t>
  </si>
  <si>
    <t>AT-x530L-18GHXm, 16xMultigig POE++, 2xSFP+, single PSU</t>
  </si>
  <si>
    <t>AT-x530-10GHXm</t>
  </si>
  <si>
    <t>AT-x530-18GHXm</t>
  </si>
  <si>
    <t>AT-x550-18XTQ</t>
  </si>
  <si>
    <t>x550-18XTQ, 16 x 10GBASE-T, 2 x 40G QSFP+ slots, Broadcom Ranger+ BCM56045</t>
  </si>
  <si>
    <t>AT-x550-18XSQ</t>
  </si>
  <si>
    <t>x550-18XSQ, 16 x SFP+ slots, 2 x 40G QSFP+ slots, Broadcom Ranger+ BCM56045</t>
  </si>
  <si>
    <t>port1.0.1-1.0.16</t>
  </si>
  <si>
    <t>AT-x550-18XSPQm</t>
  </si>
  <si>
    <t>x550-18XSPQm, 8 x 10GBASE-T w PoE, 8 x SFP+ slots, 2 x 40G QSFP+ slots, Broadcom Ranger+ BCM56045</t>
  </si>
  <si>
    <t>AT-x550-18XSQ (low cost PHY)</t>
  </si>
  <si>
    <t>x600-24Ts, 24 x Gigbit Base T ports, 4 x SFP(combo), Broadcom BCM56504</t>
  </si>
  <si>
    <t>x600-24Ts/XP, 24 x Gigbit Base T ports, 4 x SFP(combo), 2 x XFP, Broadcom BCM56504</t>
  </si>
  <si>
    <t>x600-48Ts/XP, 44 x Gigbit Base T ports, 4 x SFP(combo),  Broadcom BCM56504</t>
  </si>
  <si>
    <t>x600-48Ts/XP, 44 x Gigbit Base T ports, 4 x SFP(combo), 2 x XFP, Broadcom BCM56504</t>
  </si>
  <si>
    <t>x600-24Ts-POE, 24 x Gigbit Base T POE ports, 4 x SFP(combo), Broadcom BCM56504 370W 48V PSU</t>
  </si>
  <si>
    <t>x600-24Ts-POE+</t>
  </si>
  <si>
    <t>x600-24Ts-POE+, 24 x Gigbit Base T  POE ports, 4 x SFP(combo), Broadcom BCM56504 370W 56V PSU</t>
  </si>
  <si>
    <t>2 x 10G SFP+ module for x610 and long-range stacking.</t>
  </si>
  <si>
    <t>port1.1.1,port1.1.2</t>
  </si>
  <si>
    <t>x610-48Ts/X-POE+</t>
  </si>
  <si>
    <t>x610-48Ts/X-POE+, 48 x Gigbit Base T  POE ports, 2 x SFP(combo), 2 x SFP+, Broadcom BCM56514</t>
  </si>
  <si>
    <t>port1.0.45-1.0.48</t>
  </si>
  <si>
    <t>port1.0.47-1.0.48</t>
  </si>
  <si>
    <t>x610-48Ts-POE+</t>
  </si>
  <si>
    <t>x610-48Ts-POE+, 48 x Gigbit Base T  POE ports, 4 x SFP(combo), Broadcom BCM56514</t>
  </si>
  <si>
    <t>x610-24Ts/X-POE+</t>
  </si>
  <si>
    <t>x610-24Ts/X-POE+, 24 x Gigbit Base T  POE ports, 4 x SFP(combo), 2 x SFP+, Broadcom BCM56514</t>
  </si>
  <si>
    <t>port1.0.21-1.0.24</t>
  </si>
  <si>
    <t>port1.0.23-1.0.24</t>
  </si>
  <si>
    <t>x610-24Ts-POE+</t>
  </si>
  <si>
    <t>x610-24Ts-POE+, 24 x Gigbit Base T  POE ports, 4 x SFP(combo),  Broadcom BCM56514</t>
  </si>
  <si>
    <t>x610-48Ts/X</t>
  </si>
  <si>
    <t>x610-48Ts/X, 48 x Gigbit Base T  ports, 2 x SFP(combo), 2 x SFP+, Broadcom BCM56514</t>
  </si>
  <si>
    <t>x610-48Ts</t>
  </si>
  <si>
    <t>x610-48Ts, 48 x Gigbit Base T ports, 4 x SFP(combo), Broadcom BCM56514</t>
  </si>
  <si>
    <t>x610-24Ts/X</t>
  </si>
  <si>
    <t>x610-24Ts/X, 24 x Gigbit Base T  ports, 4 x SFP(combo), 2 x SFP+, Broadcom BCM56514</t>
  </si>
  <si>
    <t>x610-24Ts</t>
  </si>
  <si>
    <t>x610-24Ts, 24 x Gigbit Base T  ports, 4 x SFP(combo),  Broadcom BCM56514</t>
  </si>
  <si>
    <t>x610-24SPs/X</t>
  </si>
  <si>
    <t>x610-24SPs/X, 24 x SFP, 4 x Gigbit Base T (combo) ports, 2 x SFP+,  Broadcom BCM56514</t>
  </si>
  <si>
    <t>port1.0.1-1.0.20</t>
  </si>
  <si>
    <t>10908i - 8 x XEM Modules with IPv6 in hardware, NEBS, ROHS</t>
  </si>
  <si>
    <t>12 x SFP XUM, 12 x SFP ports, Marvell Prestera 98EX126, IPv6 in hardware</t>
  </si>
  <si>
    <t>2 x 10G fiber XEM, Marvell Prestera  98EX2210</t>
  </si>
  <si>
    <t>port1.{}.1-port1.{}.2</t>
  </si>
  <si>
    <t>2 x 10G copper XEM, Marvell Prestera  98EX2210</t>
  </si>
  <si>
    <t>2 x 10G copper XEM, Marvell Prestera  98EX2210, TN2022 PHY</t>
  </si>
  <si>
    <t>2 x 10G SFP+ XEM, Marvell Prestera  98EX2210</t>
  </si>
  <si>
    <t>XEM-24T, 24 x 1G copper, Marvell Puma2 Silicon (98EX2206)</t>
  </si>
  <si>
    <t>XEM-12Tv2, 12 x 1G copper, Marvell Puma2 Silicon (98EX2206)</t>
  </si>
  <si>
    <t>XEM-12Sv2, 12 x 1G SFP, Marvell Puma2 Silicon (98EX2206)</t>
  </si>
  <si>
    <t>XEM-12Tv2, 12 x 1G copper, Marvell Puma2 Silicon (98EX2206) with new RJ45 inverted connectors</t>
  </si>
  <si>
    <t>AT-x930-28GTX</t>
  </si>
  <si>
    <t>x930-28GTX, 24xGigabit, 4xSFP+, Broadcom56548</t>
  </si>
  <si>
    <t>BCM56548 (Firescout)</t>
  </si>
  <si>
    <t>AT-x930-28GPX</t>
  </si>
  <si>
    <t>x930-28GPX, 24xGigabit(POE), 4xSFP+, Broadcom56548</t>
  </si>
  <si>
    <t>AT-x930-28GSTX</t>
  </si>
  <si>
    <t>x930-28GSTX, 24xGigabit/SFP combo, 4xSFP+, Broadcom56548</t>
  </si>
  <si>
    <t>AT-x930-52GTX</t>
  </si>
  <si>
    <t>x930-52GTX, 48xGigabit, 4xSFP+, Broadcom56547</t>
  </si>
  <si>
    <t>BCM56547 (Firescout)</t>
  </si>
  <si>
    <t>AT-x930-52GPX</t>
  </si>
  <si>
    <t>x930-52GPX, 48xGigabit(POE), 4xSFP+, Broadcom56547</t>
  </si>
  <si>
    <t>AT-StackQS</t>
  </si>
  <si>
    <t>AT-StackQS 40Gb stack module, 2*QSFP+ for x930 family</t>
  </si>
  <si>
    <t>port1.1.1,port1.1.5</t>
  </si>
  <si>
    <t>AT-x9EM/XT4, 4*10GBASE-T, for x930 family</t>
  </si>
  <si>
    <t>AT-XS916MXT, 12 x 10GBASE-T ports, 4 x SFP+, Broadcom Ranger2 BCM56060</t>
  </si>
  <si>
    <t>port1.0.13-1.0.16</t>
  </si>
  <si>
    <t>AT-XS916MXS, 4 x 10GBASE-T ports, 12 x SFP+, Broadcom Ranger2 BCM56060</t>
  </si>
  <si>
    <t>port1.0.5-1.0.16</t>
  </si>
  <si>
    <t>AT-XS916MXP, 12 x 10GBASE-T ports (POE), 4 x SFP+, Broadcom Ranger2 BCM56060</t>
  </si>
  <si>
    <t>x330</t>
  </si>
  <si>
    <t>AT-x330-10GTX</t>
  </si>
  <si>
    <t>AT-x330-10GTX, 8xGigabit, 1xSFP+, 1x10GT, internal single PSU</t>
  </si>
  <si>
    <t>BCM56160 (Hurricane 3)</t>
  </si>
  <si>
    <t xml:space="preserve">AT-x330-10GTX </t>
  </si>
  <si>
    <t>B-0</t>
  </si>
  <si>
    <t>A10389G213700004</t>
  </si>
  <si>
    <t>port1.0.10</t>
  </si>
  <si>
    <t>AT-x330-20GTX</t>
  </si>
  <si>
    <t>AT-x330-20GTX, 16xGigabit, 2xSFP+, 2x10GT, internal single PSU</t>
  </si>
  <si>
    <t>port1.0.19-1.0.20</t>
  </si>
  <si>
    <t>AT-x330-28GTX</t>
  </si>
  <si>
    <t>AT-x330-28GTX, 24xGigabit, 2xSFP+, 2x10GT, internal single PSU</t>
  </si>
  <si>
    <t>AT-x330-52GTX</t>
  </si>
  <si>
    <t>AT-x330-52GTX, 48xGigabit, 2xSFP+, 2x10GT, internal single PSU</t>
  </si>
  <si>
    <t>AT-GS970EMX/10</t>
  </si>
  <si>
    <t>AT-GS970EMX/10, 8xGigabit, 1xSFP+, 1x10GT, internal single PSU</t>
  </si>
  <si>
    <t>AT-GS970EMX/20</t>
  </si>
  <si>
    <t>AT-GS970EMX/20, 16xGigabit, 2xSFP+, 2x10GT, internal single PSU</t>
  </si>
  <si>
    <t>AT-GS970EMX/28</t>
  </si>
  <si>
    <t>AT-GS970EMX/28, 24xGigabit, 2xSFP+, 2x10GT, internal single PSU</t>
  </si>
  <si>
    <t>AT-GS970EMX/52</t>
  </si>
  <si>
    <t>AT-GS970EMX/52, 48xGigabit, 2xSFP+, 2x10GT, internal single PSU</t>
  </si>
  <si>
    <t>IE220</t>
  </si>
  <si>
    <t>IE220-6GHX 4 x 10/100/1000T, 2 x 1G/10G SFP+, POE++</t>
  </si>
  <si>
    <t>IE220-10GHX 8 x 10/100/1000T, 2 x 1G/10G SFP+, POE++</t>
  </si>
  <si>
    <t>AT-Name</t>
  </si>
  <si>
    <t>AT-Rev</t>
  </si>
  <si>
    <t>EEPROM Name</t>
  </si>
  <si>
    <t>EEPROM Rev</t>
  </si>
  <si>
    <t>Manufacturer</t>
  </si>
  <si>
    <t>Supported Speeds</t>
  </si>
  <si>
    <t>Standard Tests</t>
  </si>
  <si>
    <t>AT-SPFX/15</t>
  </si>
  <si>
    <t>Delta</t>
  </si>
  <si>
    <t>T5 T8 T9 T13 T15 T23 T24 T26 T27 T74 T144</t>
  </si>
  <si>
    <t>AT-SPFX/2</t>
  </si>
  <si>
    <t>AT-SPFX/2-90</t>
  </si>
  <si>
    <t>EMC</t>
  </si>
  <si>
    <t>AT-SPFX30/I-90</t>
  </si>
  <si>
    <t>AT-SPFX30/I</t>
  </si>
  <si>
    <t>Optomedia</t>
  </si>
  <si>
    <t>AT-SPBD20-13/I</t>
  </si>
  <si>
    <t>ECM</t>
  </si>
  <si>
    <t>AT-SPBD20-14/I</t>
  </si>
  <si>
    <t>AT-SPBD20DUAL-14</t>
  </si>
  <si>
    <t>AT-SPBD40DUAL-14</t>
  </si>
  <si>
    <t xml:space="preserve">AT-SPBD40DUAL-14  </t>
  </si>
  <si>
    <t>AT-SPBD20LC-13/I</t>
  </si>
  <si>
    <t>X100</t>
  </si>
  <si>
    <t>AT-SPBD20LC-14/I</t>
  </si>
  <si>
    <t>AT-SPBD40-13/I</t>
  </si>
  <si>
    <t>AT-SPBD40-14/I</t>
  </si>
  <si>
    <t>APAC</t>
  </si>
  <si>
    <t>AT-SPLX10a</t>
  </si>
  <si>
    <t>AT-SPLX10/E-90</t>
  </si>
  <si>
    <t>AT-SPLX10/E</t>
  </si>
  <si>
    <t>AT-SPLX40/E-90</t>
  </si>
  <si>
    <t>AT-SPLX40/E</t>
  </si>
  <si>
    <t>II-VI</t>
  </si>
  <si>
    <t>AT-SPSX/I</t>
  </si>
  <si>
    <t>AT-SPSX/E-90</t>
  </si>
  <si>
    <t>AT-SPSX/E</t>
  </si>
  <si>
    <t>AT-SPSX/I-90</t>
  </si>
  <si>
    <t>T5 T6 T7 T13 T15 T23 T24 T26 T27 T74 T144</t>
  </si>
  <si>
    <t>AT-SPTX/I</t>
  </si>
  <si>
    <t>AT-SPTXa</t>
  </si>
  <si>
    <t>A000</t>
  </si>
  <si>
    <t>1G 100M 10M</t>
  </si>
  <si>
    <t>AT-SPTXc</t>
  </si>
  <si>
    <t>X8</t>
  </si>
  <si>
    <t>Y3</t>
  </si>
  <si>
    <t>AT-SPZX120/I</t>
  </si>
  <si>
    <t>SFP LOOPBACK V2</t>
  </si>
  <si>
    <t>ATR</t>
  </si>
  <si>
    <t>AT-SP10BD10/I-12</t>
  </si>
  <si>
    <t>AT-SP10BD10/I-13</t>
  </si>
  <si>
    <t>AT-SP10BD20-13</t>
  </si>
  <si>
    <t>AT-SP10BD20-12</t>
  </si>
  <si>
    <t>AT-SP10BD40/I-12</t>
  </si>
  <si>
    <t>AT-SP10BD40/I-13</t>
  </si>
  <si>
    <t>AT-SP10BD80/I-14</t>
  </si>
  <si>
    <t>ApacOpto</t>
  </si>
  <si>
    <t>AT-SP10BD80/I-15</t>
  </si>
  <si>
    <t>AT-SP10ER40/I</t>
  </si>
  <si>
    <t>Oplink</t>
  </si>
  <si>
    <t>AT-SP10ER40a/I</t>
  </si>
  <si>
    <t>AT-SP10LRa/I</t>
  </si>
  <si>
    <t>AT-SP10LRM</t>
  </si>
  <si>
    <t>Formerica</t>
  </si>
  <si>
    <t>DEI</t>
  </si>
  <si>
    <t>OplLink</t>
  </si>
  <si>
    <t>AT-SP10SR/I</t>
  </si>
  <si>
    <t>AT-SP10SR/I-90</t>
  </si>
  <si>
    <t>AT-SP10T</t>
  </si>
  <si>
    <t>Methode</t>
  </si>
  <si>
    <t>10G 1G</t>
  </si>
  <si>
    <t>AT-SP10TM</t>
  </si>
  <si>
    <t>10G 5G 2.5G 1G</t>
  </si>
  <si>
    <t>AT-SP10Ta DEI</t>
  </si>
  <si>
    <t>AT-SP10Ta</t>
  </si>
  <si>
    <t>DELTA</t>
  </si>
  <si>
    <t>AT-SP10TW1</t>
  </si>
  <si>
    <t>2127931-2</t>
  </si>
  <si>
    <t>Tyco</t>
  </si>
  <si>
    <t>AT-SP10TW3</t>
  </si>
  <si>
    <t>2127931-4</t>
  </si>
  <si>
    <t>1-2127931-4</t>
  </si>
  <si>
    <t>AT-SP10TW7</t>
  </si>
  <si>
    <t>2127934-8</t>
  </si>
  <si>
    <t>AT-SP10ZR80/I</t>
  </si>
  <si>
    <t>AT-STACKOP/0.3</t>
  </si>
  <si>
    <t>AT-StackOP/0.3</t>
  </si>
  <si>
    <t>AT-STACKOP/9.0</t>
  </si>
  <si>
    <t>AT-StackOP/9.0</t>
  </si>
  <si>
    <t>AT-QSFP1CU</t>
  </si>
  <si>
    <t>DM-317-100</t>
  </si>
  <si>
    <t>AT-QSFP3CU</t>
  </si>
  <si>
    <t>DM-317-300-ALT</t>
  </si>
  <si>
    <t>AT-QSFP-4SFP10G-3CU</t>
  </si>
  <si>
    <t>2053453-4</t>
  </si>
  <si>
    <t>TE</t>
  </si>
  <si>
    <t>AT-QSFP-4SFP10G-5CU</t>
  </si>
  <si>
    <t>2053453-6</t>
  </si>
  <si>
    <t>AT-QSFPER4</t>
  </si>
  <si>
    <t>AT-QSFPSR</t>
  </si>
  <si>
    <t>Avago</t>
  </si>
  <si>
    <t>TR-QQ13Y-N00</t>
  </si>
  <si>
    <t>1A</t>
  </si>
  <si>
    <t>INNOLIGHT</t>
  </si>
  <si>
    <t>AT-QSFPSR4LC</t>
  </si>
  <si>
    <t>Finisar</t>
  </si>
  <si>
    <t>AT-QSFPSR4LCa</t>
  </si>
  <si>
    <t>AT-QSFP28-1CU</t>
  </si>
  <si>
    <t>2333393-3</t>
  </si>
  <si>
    <t>AT-QSFP28-3CU</t>
  </si>
  <si>
    <t>2333393-7</t>
  </si>
  <si>
    <t>AT-QSFP28LR4</t>
  </si>
  <si>
    <t>AT-QSFP28SR4</t>
  </si>
  <si>
    <t>Alias</t>
  </si>
  <si>
    <t>Transceiver Qualification Process (To be updated and info moved to Title-page TAB)</t>
  </si>
  <si>
    <t>The criteria for Fully Supported status are as follows:</t>
  </si>
  <si>
    <t>1. A Datasheet is required for the SFP revision being tested.</t>
  </si>
  <si>
    <t>2. Four (4) samples required although minimum of two (2) accepted.  The reason for four samples: This reduces the test duration and provides backup in case of breakage.</t>
  </si>
  <si>
    <t>3. Samples are paid for by requesting party - not by ATL-NZ.</t>
  </si>
  <si>
    <t>4. Samples must be retained by ATL-NZ.  This is to enable support for future SW releases.</t>
  </si>
  <si>
    <t>5. Test host switch hardware will be Mass Pro, or FAS if negligible affecting change, and will be tested against the complete list of supported pluggables.</t>
  </si>
  <si>
    <t>6. Prototype host switch hardware will be tested with a selection of Fully Supported pluggables to confirm the hardware design sufficient to allow FAS to proceed.</t>
  </si>
  <si>
    <t>6. Test software will be the same release currently loaded at the factory for each test host switch.</t>
  </si>
  <si>
    <t xml:space="preserve">7. ATL-NZ will not support pluggable based on pre-production pluggable sample testing.  </t>
  </si>
  <si>
    <t>XFP Qualification</t>
  </si>
  <si>
    <t>Updated: 22 June 2012, Matthew H</t>
  </si>
  <si>
    <t>AW+</t>
  </si>
  <si>
    <t>AW</t>
  </si>
  <si>
    <t>XFP</t>
  </si>
  <si>
    <r>
      <rPr>
        <b/>
        <sz val="12"/>
        <rFont val="Arial"/>
        <family val="2"/>
        <charset val="1"/>
      </rPr>
      <t xml:space="preserve">AT Model No.
</t>
    </r>
    <r>
      <rPr>
        <sz val="12"/>
        <rFont val="Arial"/>
        <family val="2"/>
        <charset val="1"/>
      </rPr>
      <t>(link to image)</t>
    </r>
  </si>
  <si>
    <r>
      <rPr>
        <b/>
        <sz val="10"/>
        <rFont val="Arial"/>
        <family val="2"/>
        <charset val="1"/>
      </rPr>
      <t>AT Rev.</t>
    </r>
    <r>
      <rPr>
        <sz val="10"/>
        <rFont val="Arial"/>
        <family val="2"/>
        <charset val="1"/>
      </rPr>
      <t xml:space="preserve"> (label)</t>
    </r>
  </si>
  <si>
    <r>
      <rPr>
        <b/>
        <sz val="10"/>
        <rFont val="Arial"/>
        <family val="2"/>
        <charset val="1"/>
      </rPr>
      <t>Vend. Rev.</t>
    </r>
    <r>
      <rPr>
        <sz val="10"/>
        <rFont val="Arial"/>
        <family val="2"/>
        <charset val="1"/>
      </rPr>
      <t xml:space="preserve"> (Debug)</t>
    </r>
  </si>
  <si>
    <t>DDM capable?</t>
  </si>
  <si>
    <t>SET1</t>
  </si>
  <si>
    <t>SET2</t>
  </si>
  <si>
    <t>History files</t>
  </si>
  <si>
    <t>Serial Number ID</t>
  </si>
  <si>
    <t>Mass Pro tested?</t>
  </si>
  <si>
    <t>Agile status</t>
  </si>
  <si>
    <t>RoHS?</t>
  </si>
  <si>
    <t>Attenuator required dBm</t>
  </si>
  <si>
    <t>AW+ detail</t>
  </si>
  <si>
    <t>AW detail</t>
  </si>
  <si>
    <t>XEM-1XP
(x900-24XS)</t>
  </si>
  <si>
    <t>XEM-1XP
(x900-12XT/S)</t>
  </si>
  <si>
    <t>XEM-1XP
(SB x908)</t>
  </si>
  <si>
    <t>x600-24Ts/XP / x600-48Ts/XP</t>
  </si>
  <si>
    <t>AT-A60
 (AT-9924Ts)</t>
  </si>
  <si>
    <t>XEM-1XP (x900-24XT</t>
  </si>
  <si>
    <t>AT-SB4541A
(SB4000)</t>
  </si>
  <si>
    <t>Fully Supported</t>
  </si>
  <si>
    <t>AT-XPSR</t>
  </si>
  <si>
    <t>850nm, 300m, multi-mode</t>
  </si>
  <si>
    <t>990-001936-00</t>
  </si>
  <si>
    <t>TSP-10G3A1EER</t>
  </si>
  <si>
    <t>617-000244 Rev B</t>
  </si>
  <si>
    <t>A03885RYYWWXXXXX</t>
  </si>
  <si>
    <t>No</t>
  </si>
  <si>
    <t>Pass, Jun 11</t>
  </si>
  <si>
    <t>&lt;--</t>
  </si>
  <si>
    <t>Pass Jun 11</t>
  </si>
  <si>
    <t>AT-XPLR</t>
  </si>
  <si>
    <t>1310nm, 10km, single-mode</t>
  </si>
  <si>
    <t>990-001937-00</t>
  </si>
  <si>
    <t>TSP-10G3B1QER-A Rev0B</t>
  </si>
  <si>
    <t>617-000245 Rev B</t>
  </si>
  <si>
    <t>A03886RYYWWXXXXX</t>
  </si>
  <si>
    <t xml:space="preserve">? </t>
  </si>
  <si>
    <t>Pass, Nov 10</t>
  </si>
  <si>
    <t>Results</t>
  </si>
  <si>
    <t>Specific Support</t>
  </si>
  <si>
    <t>AT-XPER40</t>
  </si>
  <si>
    <t>990-000584-00</t>
  </si>
  <si>
    <t>Sumitomo</t>
  </si>
  <si>
    <t>SXP3101EX-02</t>
  </si>
  <si>
    <t>617-000243 Rev A</t>
  </si>
  <si>
    <t>Details</t>
  </si>
  <si>
    <t>No samples</t>
  </si>
  <si>
    <t>AT-XPER80</t>
  </si>
  <si>
    <t>990-001939-00</t>
  </si>
  <si>
    <t>SXP3102ZX</t>
  </si>
  <si>
    <t>617-000304 Rev A</t>
  </si>
  <si>
    <t>ATKK</t>
  </si>
  <si>
    <t>AT-XP8LR</t>
  </si>
  <si>
    <t>990-001368-00</t>
  </si>
  <si>
    <t>FTLX1411M3-AJ</t>
  </si>
  <si>
    <t>AT-XP8ER (Non-RoHS)</t>
  </si>
  <si>
    <t>990-000925-00</t>
  </si>
  <si>
    <t>SXP3101EX-AL</t>
  </si>
  <si>
    <t>AT-XP8SR (Non-RoHS)</t>
  </si>
  <si>
    <t>990-000926-00</t>
  </si>
  <si>
    <t>JDS</t>
  </si>
  <si>
    <t>JXP-01SWAA1</t>
  </si>
  <si>
    <t>EOL in 2009/02</t>
  </si>
  <si>
    <r>
      <rPr>
        <sz val="11"/>
        <color rgb="FF000000"/>
        <rFont val="Calibri"/>
        <family val="2"/>
        <charset val="1"/>
      </rPr>
      <t>990-002791-00</t>
    </r>
    <r>
      <rPr>
        <sz val="11"/>
        <color rgb="FF000000"/>
        <rFont val="Noto Sans CJK SC"/>
        <family val="2"/>
        <charset val="1"/>
      </rPr>
      <t>　</t>
    </r>
  </si>
  <si>
    <t>Will be released in 2009/05.</t>
  </si>
  <si>
    <t>AT-XPLR (Rev C)</t>
  </si>
  <si>
    <t>TSP-10G3B1QER-A Rev0A</t>
  </si>
  <si>
    <t>DVT Test</t>
  </si>
  <si>
    <t>SXP3101L2</t>
  </si>
  <si>
    <t>990-000387-00</t>
  </si>
  <si>
    <t>JDSU</t>
  </si>
  <si>
    <t>JXPR01SW05504</t>
  </si>
  <si>
    <t>TSP-10G3B1QER</t>
  </si>
  <si>
    <t>YES</t>
  </si>
  <si>
    <t>FTRX-1811-M3</t>
  </si>
  <si>
    <t>SXP3101EX</t>
  </si>
  <si>
    <t>SXP3101LX</t>
  </si>
  <si>
    <t>Picolight</t>
  </si>
  <si>
    <t>PL-XXL-SC-S45-01</t>
  </si>
  <si>
    <t>Agilent</t>
  </si>
  <si>
    <t>HFCT-721XPD</t>
  </si>
  <si>
    <t>990-00086-00</t>
  </si>
  <si>
    <t>FTRX-1411-3</t>
  </si>
  <si>
    <t>JDS Uniphase</t>
  </si>
  <si>
    <t>617-000244 Rev A</t>
  </si>
  <si>
    <t>Not Released</t>
  </si>
  <si>
    <t>TSP-10G3D1MER</t>
  </si>
  <si>
    <t>Fail, Jun11</t>
  </si>
  <si>
    <t>Chassis Based products:</t>
  </si>
  <si>
    <t>SFPtitle</t>
  </si>
  <si>
    <t>Switch chip</t>
  </si>
  <si>
    <t>100mphy</t>
  </si>
  <si>
    <t>1g phy normal</t>
  </si>
  <si>
    <t>1 g Phy combo</t>
  </si>
  <si>
    <t>10G phy</t>
  </si>
  <si>
    <t>SB4000 (cards tested)</t>
  </si>
  <si>
    <t>CXE-16</t>
  </si>
  <si>
    <t>BCM5464S</t>
  </si>
  <si>
    <t>SBx8100 (cards tested)</t>
  </si>
  <si>
    <t>98cx8248</t>
  </si>
  <si>
    <t>88x2140M</t>
  </si>
  <si>
    <t>SBx81GS24</t>
  </si>
  <si>
    <t>98DX8108</t>
  </si>
  <si>
    <t>88X2140M</t>
  </si>
  <si>
    <t>SBx908 (xems tested below)</t>
  </si>
  <si>
    <t>SFP+:</t>
  </si>
  <si>
    <t>SFP:</t>
  </si>
  <si>
    <r>
      <rPr>
        <sz val="7"/>
        <color rgb="FF000000"/>
        <rFont val="Times New Roman"/>
        <family val="1"/>
        <charset val="1"/>
      </rPr>
      <t xml:space="preserve"> </t>
    </r>
    <r>
      <rPr>
        <sz val="9"/>
        <color rgb="FF000000"/>
        <rFont val="Arial"/>
        <family val="2"/>
        <charset val="1"/>
      </rPr>
      <t>SBx81GS24</t>
    </r>
  </si>
  <si>
    <t>SBx908 xems  tested below</t>
  </si>
  <si>
    <t>L3 Switches:</t>
  </si>
  <si>
    <t>XS916-MXT/MXS</t>
  </si>
  <si>
    <t>BCM56060</t>
  </si>
  <si>
    <t>DC2552XS</t>
  </si>
  <si>
    <t>BCM56845</t>
  </si>
  <si>
    <t>BCM84740</t>
  </si>
  <si>
    <t>BCM84754</t>
  </si>
  <si>
    <t>FS980-9</t>
  </si>
  <si>
    <t>FS980-18</t>
  </si>
  <si>
    <t>FS980-28</t>
  </si>
  <si>
    <t>FS980-52</t>
  </si>
  <si>
    <t>Base model</t>
  </si>
  <si>
    <t>Memo</t>
  </si>
  <si>
    <t>same as AT-SH230-28GP in Japan</t>
  </si>
  <si>
    <t>same as AT-SH230-18GP in Japan</t>
  </si>
  <si>
    <t>same as AT-SH230-10GP in Japan</t>
  </si>
  <si>
    <t>same as AT-SH210-24GT in Japan</t>
  </si>
  <si>
    <t>same as AT-SH210-16GT in Japan</t>
  </si>
  <si>
    <t>same as AT-SH210-9GT in Japan</t>
  </si>
  <si>
    <t>AT-GS980M/10</t>
  </si>
  <si>
    <t>AT-x220-10GT</t>
  </si>
  <si>
    <t>AT-GS980M/10PS</t>
  </si>
  <si>
    <t>AT-x220-10GP</t>
  </si>
  <si>
    <t>AT-GS980M/18</t>
  </si>
  <si>
    <t>AT-x220-18GT</t>
  </si>
  <si>
    <t>AT-GS980M/18PS</t>
  </si>
  <si>
    <t>AT-x220-18GP</t>
  </si>
  <si>
    <t>100/1G SFP phy</t>
  </si>
  <si>
    <t>IE200 Port5, IE200 Port 6</t>
  </si>
  <si>
    <t>BCM56152 </t>
  </si>
  <si>
    <t>IE310</t>
  </si>
  <si>
    <t>1G SFP PHY</t>
  </si>
  <si>
    <t>10G SFP+ PHY</t>
  </si>
  <si>
    <t>None-Direct attached</t>
  </si>
  <si>
    <t>BCM84747</t>
  </si>
  <si>
    <t>x930 Family</t>
  </si>
  <si>
    <t>DC*</t>
  </si>
  <si>
    <t>* DC: Direct connection</t>
  </si>
  <si>
    <r>
      <rPr>
        <sz val="11"/>
        <color rgb="FF000000"/>
        <rFont val="Arial"/>
        <family val="2"/>
        <charset val="1"/>
      </rPr>
      <t xml:space="preserve">x930-28GSTX/x930-28GPX/x930-28GTX </t>
    </r>
    <r>
      <rPr>
        <b/>
        <sz val="11"/>
        <color rgb="FF000000"/>
        <rFont val="Arial"/>
        <family val="2"/>
        <charset val="1"/>
      </rPr>
      <t xml:space="preserve">&amp; </t>
    </r>
    <r>
      <rPr>
        <sz val="11"/>
        <color rgb="FF000000"/>
        <rFont val="Arial"/>
        <family val="2"/>
        <charset val="1"/>
      </rPr>
      <t>x930-52GPX/x930-52GTX</t>
    </r>
  </si>
  <si>
    <t>X210 Family</t>
  </si>
  <si>
    <t>1 g Phy</t>
  </si>
  <si>
    <t>X210-9gt</t>
  </si>
  <si>
    <t>BCM53312s</t>
  </si>
  <si>
    <t>X210-16gt</t>
  </si>
  <si>
    <t>BCM53313s</t>
  </si>
  <si>
    <t>X210-24gt</t>
  </si>
  <si>
    <t>BCM53314s</t>
  </si>
  <si>
    <t>1G Direct connect</t>
  </si>
  <si>
    <t>X210-9GT</t>
  </si>
  <si>
    <t>X210-16gt/X210-24gt</t>
  </si>
  <si>
    <t>X220 Family</t>
  </si>
  <si>
    <t>1G Uplink phy</t>
  </si>
  <si>
    <t>AT-x220-10GT (AT-GS980M/10)</t>
  </si>
  <si>
    <t>98DX3233</t>
  </si>
  <si>
    <t>AT-x220-10GP (AT-GS980M/10PS)</t>
  </si>
  <si>
    <t>AT-x220-10GPT</t>
  </si>
  <si>
    <t>AT-x220-18GT (AT-GS980M/18)</t>
  </si>
  <si>
    <t>98DX3234</t>
  </si>
  <si>
    <t>AT-x220-18GP (AT-GS980M/18PS)</t>
  </si>
  <si>
    <t>AT-x220-28GT (AT-GS980M/28)</t>
  </si>
  <si>
    <t>98DX3235</t>
  </si>
  <si>
    <t>AT-x220-28GP (AT-GS980M/28PS)</t>
  </si>
  <si>
    <t>88E1548 </t>
  </si>
  <si>
    <t>AT-x220-52GT (AT-GS980M/52)</t>
  </si>
  <si>
    <t>98DX3236</t>
  </si>
  <si>
    <t>AT-x220-52GP (AT-GS980M/52PS)</t>
  </si>
  <si>
    <t>1G Main Ports</t>
  </si>
  <si>
    <t>1G Uplink Ports</t>
  </si>
  <si>
    <t>Any</t>
  </si>
  <si>
    <t>X230 Family</t>
  </si>
  <si>
    <t>1 g Phy (dual Phy)</t>
  </si>
  <si>
    <t>x230-10 GP</t>
  </si>
  <si>
    <t>BCM53343A0KFSBG</t>
  </si>
  <si>
    <t>BCM5482SA2KFBG</t>
  </si>
  <si>
    <t>x230-10 GT</t>
  </si>
  <si>
    <t>BCM54220SB0KFBG</t>
  </si>
  <si>
    <t>x230L-17 GP (GT)</t>
  </si>
  <si>
    <t>x230-18 GP (GT)</t>
  </si>
  <si>
    <t>x230-26GP (GT)</t>
  </si>
  <si>
    <t>BCM53344A0KFSBG</t>
  </si>
  <si>
    <t>x230-28GP (GT)</t>
  </si>
  <si>
    <t>SFP Uplink Ports</t>
  </si>
  <si>
    <t>SFP 1G Fibre &amp; Copper:</t>
  </si>
  <si>
    <t>x230-10GP / x230-18GP / x230-18GT / x230-28GP / x230-18GT</t>
  </si>
  <si>
    <t>SFP 100m Fibre:</t>
  </si>
  <si>
    <t>X310 Family</t>
  </si>
  <si>
    <t>sfp port</t>
  </si>
  <si>
    <t>X310-26ft /  X310-26fp /  X310-50ft / X310-50fp</t>
  </si>
  <si>
    <t>X510 Family</t>
  </si>
  <si>
    <t>X510-24gtx</t>
  </si>
  <si>
    <t>BCM56321B0KFSBG</t>
  </si>
  <si>
    <t>X510-24gpx</t>
  </si>
  <si>
    <t>X510-24gsx</t>
  </si>
  <si>
    <t>Straight-through</t>
  </si>
  <si>
    <t>X510-52gtx</t>
  </si>
  <si>
    <t>X510-52gpx</t>
  </si>
  <si>
    <t>X510-28gtx /  X510-24gpx / X510-24gsx / X510-52gtx / X510-52gpx</t>
  </si>
  <si>
    <t xml:space="preserve"> (1G sfp in 10 g port)</t>
  </si>
  <si>
    <t>X510-28gtx /  X510-28gpx / X510-28gsx / X510-52gtx / X510-52gpx</t>
  </si>
  <si>
    <t>Any 510 has this. Note these ports do not support 100M fibre or copper SFP’s</t>
  </si>
  <si>
    <t>true sfp port</t>
  </si>
  <si>
    <t>X510-28gsx</t>
  </si>
  <si>
    <t>X550 Family</t>
  </si>
  <si>
    <t>x550-18XT</t>
  </si>
  <si>
    <t>x550-18XS</t>
  </si>
  <si>
    <t>QSFP:</t>
  </si>
  <si>
    <t>x550-18XT / x550-18XS / x550-18XSPQm</t>
  </si>
  <si>
    <t>X600 Family</t>
  </si>
  <si>
    <t>XFP:</t>
  </si>
  <si>
    <t xml:space="preserve"> Direct connect</t>
  </si>
  <si>
    <t>x600-48Ts / x600-48Ts/XP</t>
  </si>
  <si>
    <t xml:space="preserve"> Combo ports</t>
  </si>
  <si>
    <t>x600-24Ts / x600-24Ts/XP / x600-24Ts-POE</t>
  </si>
  <si>
    <t>X610 Family</t>
  </si>
  <si>
    <t>BCM56514</t>
  </si>
  <si>
    <t>none</t>
  </si>
  <si>
    <t>BCM54640</t>
  </si>
  <si>
    <t>AT-x610-24Ts/X  AT-x610-24Ts/X-PoE  AT-x610-48Ts/X  AT-x610-48Ts/X-PoE / AT-x610-24SPs-PoE</t>
  </si>
  <si>
    <t>X610-24SPs/X (only the X610-24SPs/X ports 1-20 supports this configuration)</t>
  </si>
  <si>
    <t>Stingray</t>
  </si>
  <si>
    <t xml:space="preserve">"AT-8648T/2SP (Stingray 48)" </t>
  </si>
  <si>
    <t>BCM5645</t>
  </si>
  <si>
    <t>BCM5421S</t>
  </si>
  <si>
    <t>BCM5461S</t>
  </si>
  <si>
    <t>AT-8624T/2SP</t>
  </si>
  <si>
    <t>Claymore series:</t>
  </si>
  <si>
    <t>98EX115d</t>
  </si>
  <si>
    <t>88E1041S</t>
  </si>
  <si>
    <t>EOL</t>
  </si>
  <si>
    <t>AT-8948i</t>
  </si>
  <si>
    <t>98EX116</t>
  </si>
  <si>
    <t>x900-48FE</t>
  </si>
  <si>
    <t>EOL at EOY</t>
  </si>
  <si>
    <t>AT-x900-48FS</t>
  </si>
  <si>
    <t>88E3082FE</t>
  </si>
  <si>
    <t>x900-48FE / AT-x900-48FS / AT-8948i</t>
  </si>
  <si>
    <t>100M Direct connect</t>
  </si>
  <si>
    <t>Mustang:</t>
  </si>
  <si>
    <t xml:space="preserve">"AT-9924T (Mustang T)" </t>
  </si>
  <si>
    <t>98EX125</t>
  </si>
  <si>
    <t>88E1141</t>
  </si>
  <si>
    <t>AT-9924SP</t>
  </si>
  <si>
    <t>EOL when 510 released</t>
  </si>
  <si>
    <t xml:space="preserve">"AT-9924T/4SP (Mustang)" </t>
  </si>
  <si>
    <t>AT-9924T / AT-9924SP</t>
  </si>
  <si>
    <t>Raptor</t>
  </si>
  <si>
    <t>x900-24XS (xems tested below)</t>
  </si>
  <si>
    <t>x900-12XT/S (xems tested below)</t>
  </si>
  <si>
    <t>Xems</t>
  </si>
  <si>
    <t xml:space="preserve">"AT-A61  (AT-9924Ts)" </t>
  </si>
  <si>
    <t>AT-A61i</t>
  </si>
  <si>
    <t xml:space="preserve">"XEM-12Sv2 (x900-12XTS, x900-24X, x908)" </t>
  </si>
  <si>
    <t>99EX2206</t>
  </si>
  <si>
    <t>XEM-2XS (SBx908)</t>
  </si>
  <si>
    <t>99EX2210</t>
  </si>
  <si>
    <t>XEM-2XS (x900-24xT)</t>
  </si>
  <si>
    <t>prefer x908</t>
  </si>
  <si>
    <t>XEM-2XS (x908/x900-24)</t>
  </si>
  <si>
    <t>Routers</t>
  </si>
  <si>
    <t>"CentreCOM - AR570S"</t>
  </si>
  <si>
    <t>98DX160</t>
  </si>
  <si>
    <t>88e1112</t>
  </si>
  <si>
    <t>"AT- AR770S"</t>
  </si>
  <si>
    <t>AW3050</t>
  </si>
  <si>
    <t>BCM54828</t>
  </si>
  <si>
    <t>AW4050</t>
  </si>
  <si>
    <t>AR570s / at-ar770s</t>
  </si>
  <si>
    <t>GBIC Qualification</t>
  </si>
  <si>
    <t>Last Updated:June 2011,   Karen Muller</t>
  </si>
  <si>
    <t>GBIC</t>
  </si>
  <si>
    <t>Status</t>
  </si>
  <si>
    <t>ATI part number</t>
  </si>
  <si>
    <t>Mfgr Pt No</t>
  </si>
  <si>
    <t>Inventory</t>
  </si>
  <si>
    <t>ATKK Datasheet</t>
  </si>
  <si>
    <t>History</t>
  </si>
  <si>
    <t>Serial Nos 1</t>
  </si>
  <si>
    <t>Serial Nos 2</t>
  </si>
  <si>
    <t>Test unit retained</t>
  </si>
  <si>
    <t>AT-9816GB
(Claymore 16)</t>
  </si>
  <si>
    <t>AT-9812T
(Claymore 12)</t>
  </si>
  <si>
    <t>AT-A42 in Rapier 24i</t>
  </si>
  <si>
    <t>AT-SB4441
(G8 GBIC Line Card in Switchblade)</t>
  </si>
  <si>
    <t>AT-8824
(RapierMax 24)</t>
  </si>
  <si>
    <t>AT-8848
(RapierMax 48)</t>
  </si>
  <si>
    <t>AT-A47 in AT-8624T/2M
(GBIC Uplink in Stingray 24)</t>
  </si>
  <si>
    <t>AT-G8LX10</t>
  </si>
  <si>
    <t xml:space="preserve">Delta </t>
  </si>
  <si>
    <t>GBIC-1250B5QR</t>
  </si>
  <si>
    <t>617-000139 RevD</t>
  </si>
  <si>
    <t>AT-G8SX-01</t>
  </si>
  <si>
    <t>GBIC-1250A5FR</t>
  </si>
  <si>
    <t>Yes, Jul 2011</t>
  </si>
  <si>
    <t>No Test - No A42's!</t>
  </si>
  <si>
    <t>Yes,Jul 2011</t>
  </si>
  <si>
    <t>617-000171 RevD</t>
  </si>
  <si>
    <t>W80G-L04.1/0412-00**-KAS</t>
  </si>
  <si>
    <t xml:space="preserve">Agilent </t>
  </si>
  <si>
    <t>HFBR 5601 (SX)</t>
  </si>
  <si>
    <t>Delta ?</t>
  </si>
  <si>
    <t>GBICTRB ?</t>
  </si>
  <si>
    <t>617-000138 RevD</t>
  </si>
  <si>
    <t>AT-G8BD-13</t>
  </si>
  <si>
    <t>617-000185 RevB</t>
  </si>
  <si>
    <t>AT-G8BD-14</t>
  </si>
  <si>
    <t>AT-G8ZX</t>
  </si>
  <si>
    <t xml:space="preserve">Luminant </t>
  </si>
  <si>
    <t>GBIC 1250 ZX</t>
  </si>
  <si>
    <t>Fail 116</t>
  </si>
  <si>
    <t>HFCT 5611</t>
  </si>
  <si>
    <t>AFBR 5601Z</t>
  </si>
  <si>
    <t>AFCT 5611Z</t>
  </si>
  <si>
    <t>AT-G8LX25</t>
  </si>
  <si>
    <t xml:space="preserve">OCP </t>
  </si>
  <si>
    <t>DTR-1250-SM-GB-H3</t>
  </si>
  <si>
    <t>Fail 146</t>
  </si>
  <si>
    <t>AT-G8LX40</t>
  </si>
  <si>
    <t>DTR-1250-SM-GB-H5</t>
  </si>
  <si>
    <t>AT-G8LX70</t>
  </si>
  <si>
    <t>DTR-1250-SM-GB-H7</t>
  </si>
  <si>
    <t>Cisco / Agilent</t>
  </si>
  <si>
    <t>30-0703-01 / QFCT 5699</t>
  </si>
  <si>
    <t>Cisco / IBM</t>
  </si>
  <si>
    <t>30-0759-01 / 21H9876</t>
  </si>
  <si>
    <t>30-0759-01 / QFBR 5689</t>
  </si>
  <si>
    <t xml:space="preserve">Cisco </t>
  </si>
  <si>
    <t>WS-G5482</t>
  </si>
  <si>
    <t>WS-G5483 3</t>
  </si>
  <si>
    <t>Asante</t>
  </si>
  <si>
    <t>GBIC 1000TP</t>
  </si>
  <si>
    <t>GBIC-1250A3FS</t>
  </si>
  <si>
    <t>FCM-8519-3</t>
  </si>
  <si>
    <t>Fail, High power consumption.</t>
  </si>
  <si>
    <t>FCM-8520-3</t>
  </si>
  <si>
    <t>FCM-8521-3</t>
  </si>
  <si>
    <t>FTR-1319-3A</t>
  </si>
  <si>
    <t>FTR-8519-3</t>
  </si>
  <si>
    <t>FTR-8519P-5A</t>
  </si>
  <si>
    <t>IBM</t>
  </si>
  <si>
    <t>21H9761</t>
  </si>
  <si>
    <t>21H9811</t>
  </si>
  <si>
    <t>21H9834</t>
  </si>
  <si>
    <t xml:space="preserve">JGB-12SYAA1, 52P6382 </t>
  </si>
  <si>
    <t>JGB-12LYAA1, 52P6415</t>
  </si>
  <si>
    <t>MGBC-20-4-2M-S</t>
  </si>
  <si>
    <t>molex</t>
  </si>
  <si>
    <t>####-#### (copper)</t>
  </si>
  <si>
    <t>86990-9060</t>
  </si>
  <si>
    <t>OCP</t>
  </si>
  <si>
    <t>DTR-1250-SM-GB-H3-I</t>
  </si>
  <si>
    <t>50G</t>
  </si>
  <si>
    <t>400G</t>
  </si>
  <si>
    <t>port1.0.17,port1.0.21</t>
  </si>
  <si>
    <t>S 
5.5.0-2.10</t>
  </si>
  <si>
    <t>SBx902 Gen 3</t>
  </si>
  <si>
    <t>Fas</t>
  </si>
  <si>
    <t>A10517G224500012</t>
  </si>
  <si>
    <t>S
5.5.2-1.2</t>
  </si>
  <si>
    <t>x530-28GSX
(1G Base)</t>
  </si>
  <si>
    <t>waiting project
finish</t>
  </si>
  <si>
    <t>SBx902 GEN3</t>
  </si>
  <si>
    <t>TP462</t>
  </si>
  <si>
    <t>XEM3-12YS
(25G)</t>
  </si>
  <si>
    <t>XEM3-2DQ
(400G)</t>
  </si>
  <si>
    <t>SFP28 (25GBASE-X)</t>
  </si>
  <si>
    <t>SFP56 (50GBASE-X)</t>
  </si>
  <si>
    <t>1-2127931-2</t>
  </si>
  <si>
    <t>1</t>
  </si>
  <si>
    <t xml:space="preserve">T15 T26 T74 </t>
  </si>
  <si>
    <t>S
5.4.8-2.2</t>
  </si>
  <si>
    <t>S
main-20191121-1</t>
  </si>
  <si>
    <t>port1.0.5-1.0.6</t>
  </si>
  <si>
    <t>to test
main --&gt;
5.5.3-0.2</t>
  </si>
  <si>
    <t>AT-QSFP28ZR4</t>
  </si>
  <si>
    <t>APAC_Opto</t>
  </si>
  <si>
    <t>50G-UPLINK-SFP56</t>
  </si>
  <si>
    <t>Entries on this worksheet  are just placeholders until pluggables and platforms available</t>
  </si>
  <si>
    <t>J</t>
  </si>
  <si>
    <t>x240</t>
  </si>
  <si>
    <t>x240-10GHXm, 8 x 10/100/1000/2.5G/5G(PoE out) ports and 2 SFP/SFP+</t>
  </si>
  <si>
    <t>x240-18GHXm, 16 x 10/100/1000/2.5G/5G(PoE out) ports and 2 SFP/SFP+</t>
  </si>
  <si>
    <t>x240-26GHXm, 24 x 10/100/1000/2.5G/5G(PoE out) ports and 2 SFP/SFP+</t>
  </si>
  <si>
    <t>x240-52GHXm, 48 x 10/100/1000/2.5G/5G ports(PoE out) and 4 SFP/SFP+ (2 switch chips)</t>
  </si>
  <si>
    <t>x240-52GTXm, 48 x 10/100/1000/2.5G/5G ports and 4 SFP/SFP+ (2 switch chips)</t>
  </si>
  <si>
    <t>98DX3550 Alleycat5X</t>
  </si>
  <si>
    <t>x240
(SE240)</t>
  </si>
  <si>
    <t>TP480</t>
  </si>
  <si>
    <t>x240
SE240</t>
  </si>
  <si>
    <t>AT-x240-10/18/26/52GTXm
AT-x240-10/18/26/52GHxm
AT-SE240-10/18/26/52GTXm
AT-SE240-10/18/26/52GHxm
(10G Uplink)</t>
  </si>
  <si>
    <t>TP481</t>
  </si>
  <si>
    <t>SE240</t>
  </si>
  <si>
    <t>AT-x240-10GHXm</t>
  </si>
  <si>
    <t>PT2</t>
  </si>
  <si>
    <t>x240-10GTXM, 8 x 10/100/1000/2.5G/5G ports and 2 SFP/SFP+</t>
  </si>
  <si>
    <t>x240-18GTXM, 16 x 10/100/1000/2.5G/5G ports and 2 SFP/SFP+</t>
  </si>
  <si>
    <t>x240-26GTXM, 24 x 10/100/1000/2.5G/5G ports and 2 SFP/SFP+</t>
  </si>
  <si>
    <t>Listings of transceivers that have been tested by AT-NZ and the transceiver  status as regards to AT-NZ.
Different tabs for
' 100M SFP',   '1g SFP',   '10G SFP+',   '25G SFP28',  '40G QSFP' ( same as QSFP+),   '50G SFP56',  '100G QSFP28',  '400G QSFPDD'</t>
  </si>
  <si>
    <t>On each transceiver speed tab there are appropriate colums for platforms that support the speed of transceiver for that tab.
For each colum there will be the version of platform that is the 'Qualification model'. This will also have a JIRA TP number.
Note: that an UPLINK port for a platform could be in multiple speed sheets.  eg x550 UPLINK can be in 1G and 10G sheets.</t>
  </si>
  <si>
    <t>At the cell intersection of a transceiver and a platform there is a link to the test results of the  'platform/transceiver' combination.</t>
  </si>
  <si>
    <t>For each transceiver there are listed some specifications and information about the transceiver. 
Each transceiver has a link to itself in the   'Qualification Transceiver Inventory' WIKI page.
Each transceiver will have it's own JIRA TP number. The cell is a link to JIRA test results.</t>
  </si>
  <si>
    <t xml:space="preserve"> WIKI page - details of using rules to generate JIRA testcycle names.</t>
  </si>
  <si>
    <t xml:space="preserve"> The above WIKI page has details of using rules to generate JIRA testcycle names. </t>
  </si>
  <si>
    <t>x540</t>
  </si>
  <si>
    <t>SE540L</t>
  </si>
  <si>
    <t>x540-28XTm, 24 x 100M/1/2.5/5/10GT + 25G SFP28</t>
  </si>
  <si>
    <t>x540-28XS, 24 x 10G SFP+ + 4 x 25G SFP28</t>
  </si>
  <si>
    <t>x540-52XHm, 48 x 100M/1/2.5/5/10GT (PoE++ out) + 4 x 25G SFP28</t>
  </si>
  <si>
    <t>x540-52XTm, 48 x 100M/1/2.5/5/10GT + 4 x 25G SFP28</t>
  </si>
  <si>
    <t>x540-52XSTm, 40 x 10G SFP + 8 x 100M/1/2.5/5/10GT + 4 x 25G SFP28t</t>
  </si>
  <si>
    <t>x540L-28XTm, 24 x 100M/1/2.5/5/10GT + 4 x 10G SFP+</t>
  </si>
  <si>
    <t>x540L-52XHm, 48 x 100M/1/2.5/5/10GT (PoE++ out) + 4 x 10G SFP+</t>
  </si>
  <si>
    <t>x540L-52XTm, 48 x 100M/1/2.5/5/10GT + 4 x 10G SFP+</t>
  </si>
  <si>
    <t>x540L-52XSTm, 44 x 10G SFP + 8 x 100M/1/2.5/5/10GT</t>
  </si>
  <si>
    <t>SE540L-28XHm, 24 x 100M/1/2.5/5/10GT (PoE++ out) + 4 x 10G SFP+</t>
  </si>
  <si>
    <t>SE540L-28XTm, 24 x 100M/1/2.5/5/10GT + 4 x 10G SFP+</t>
  </si>
  <si>
    <t>SE540L-28XS, 28 x 10G SFP+</t>
  </si>
  <si>
    <t>SE540L-52XHm, 48 x 100M/1/2.5/5/10GT (PoE++ out) + 4 x 10G SFP+</t>
  </si>
  <si>
    <t>SE540L-52XTm, 48 x 100M/1/2.5/5/10GT + 4 x 10G SFP+</t>
  </si>
  <si>
    <t>SE540L-52XSTm, 44 x 10G SFP + 8 x 100M/1/2.5/5/10GT</t>
  </si>
  <si>
    <t>x540-28XHm, 24 x 100M/1/2.5/5/10GT (PoE++ out) + 4 x 25G SFP28</t>
  </si>
  <si>
    <t>x540L</t>
  </si>
  <si>
    <t>x250</t>
  </si>
  <si>
    <t>SE250</t>
  </si>
  <si>
    <t>AT-x240-18GHXm</t>
  </si>
  <si>
    <t>AT-x240-26GHXm</t>
  </si>
  <si>
    <t>AT-x240-52GHXm</t>
  </si>
  <si>
    <t>AT-x240-10GTXm</t>
  </si>
  <si>
    <t>AT-x240-18GTXm</t>
  </si>
  <si>
    <t>AT-x240-26GTXm</t>
  </si>
  <si>
    <t>AT-x240-52GTXm</t>
  </si>
  <si>
    <t>AT-x540-28XTm</t>
  </si>
  <si>
    <t>AT-x540-52XTm</t>
  </si>
  <si>
    <t>AT-x540-28XHm</t>
  </si>
  <si>
    <t>AT-x540-52XHm</t>
  </si>
  <si>
    <t>AT-x540-28XS</t>
  </si>
  <si>
    <t>AT-x540-52XSTm</t>
  </si>
  <si>
    <t>AT-x540L-28XTm</t>
  </si>
  <si>
    <t>AT-x540L-52XTm</t>
  </si>
  <si>
    <t>AT-x540L-28XHm</t>
  </si>
  <si>
    <t>AT-x540L-52XHm</t>
  </si>
  <si>
    <t>AT-x540L-28XS</t>
  </si>
  <si>
    <t>AT-x540L-52XSTm</t>
  </si>
  <si>
    <t>AT-SE540L-28XHm</t>
  </si>
  <si>
    <t>AT-SE540L-28XTm</t>
  </si>
  <si>
    <t>AT-SE540L-52XHm</t>
  </si>
  <si>
    <t>AT-SE540L-52XTm</t>
  </si>
  <si>
    <t>AT-SE540L-28XS</t>
  </si>
  <si>
    <t>AT-SE540L-52XSTm</t>
  </si>
  <si>
    <t>AT-x250-10XTm</t>
  </si>
  <si>
    <t>AT-x250-18XTm</t>
  </si>
  <si>
    <t>AT-x250-28XTm</t>
  </si>
  <si>
    <t>AT-x250-52XTm</t>
  </si>
  <si>
    <t>AT-x250-18XS</t>
  </si>
  <si>
    <t>AT-x250-28XS</t>
  </si>
  <si>
    <t>AT-x250-52XSTm</t>
  </si>
  <si>
    <t>AT-x250-28XHm</t>
  </si>
  <si>
    <t>AT-x250-52XHm</t>
  </si>
  <si>
    <t>AT-SE250-10XTm</t>
  </si>
  <si>
    <t>AT-SE250-18XTm</t>
  </si>
  <si>
    <t>AT-SE250-28XTm</t>
  </si>
  <si>
    <t>AT-SE250-52XTm</t>
  </si>
  <si>
    <t>AT-SE250-18XS</t>
  </si>
  <si>
    <t>AT-SE250-28XS</t>
  </si>
  <si>
    <t>AT-SE250-52XSTm</t>
  </si>
  <si>
    <t>AT-SE250-28XHm</t>
  </si>
  <si>
    <t>AT-SE250-52XHm</t>
  </si>
  <si>
    <t>AT-IE220-6GHX</t>
  </si>
  <si>
    <t>AT-IE220-10GHX</t>
  </si>
  <si>
    <t>AT-SE240-10GHXm</t>
  </si>
  <si>
    <t>AT-SE240-18GHXm</t>
  </si>
  <si>
    <t>AT-SE240-26GHXm</t>
  </si>
  <si>
    <t>AT-SE240-52GHXm</t>
  </si>
  <si>
    <t>AT-SE240-10GTXm</t>
  </si>
  <si>
    <t>AT-SE240-18GTXm</t>
  </si>
  <si>
    <t>AT-SE240-26GTXm</t>
  </si>
  <si>
    <t>AT-SE240-52GTXm</t>
  </si>
  <si>
    <t>x250
(SE250)</t>
  </si>
  <si>
    <t>TP489</t>
  </si>
  <si>
    <t>x250
SE250</t>
  </si>
  <si>
    <t>TP488</t>
  </si>
  <si>
    <t xml:space="preserve">x250 2xVCS
SE250 no VCS </t>
  </si>
  <si>
    <t>not
1G plug VCS</t>
  </si>
  <si>
    <t>S
5.5.3-0.2</t>
  </si>
  <si>
    <t>S
5.5.1.1.1</t>
  </si>
  <si>
    <t>98DX4550 Marvell AC5P</t>
  </si>
  <si>
    <t>x250-28XTm, 24 x 100M/1/2.5/5/10GT + 4 x 10G SFP+</t>
  </si>
  <si>
    <t>PT1</t>
  </si>
  <si>
    <t>98DX4510 Marvell AC5P</t>
  </si>
  <si>
    <t>98DX4570 Marvell AC5P-XL</t>
  </si>
  <si>
    <t>x250-18XTm, 16 x 100M/1/2.5/5/10GT + 2 x 10G SFP+</t>
  </si>
  <si>
    <t>x250-18XS, 18 x 10G SFP+</t>
  </si>
  <si>
    <t>x250-28XS, 28 x 10G SFP+</t>
  </si>
  <si>
    <t>SE250-18XS, 18 x 10G SFP+</t>
  </si>
  <si>
    <t>SE250-28XS, 28 x 10G SFP+</t>
  </si>
  <si>
    <t>SE250-18XTm, 16 x 100M/1/2.5/5/10GT + 2 x 10G SFP+</t>
  </si>
  <si>
    <t>SE250-28XTm, 24 x 100M/1/2.5/5/10GT + 4 x 10G SFP+</t>
  </si>
  <si>
    <t>x250-10XTm,  8 x 100M/1/2.5/5/10GT + 2 x 10G SFP+</t>
  </si>
  <si>
    <t>SE250-10XTm,  8 x 100M/1/2.5/5/10GT + 2 x 10G SFP+</t>
  </si>
  <si>
    <t>x540L
(SE540L)</t>
  </si>
  <si>
    <t xml:space="preserve">VCS
Supported </t>
  </si>
  <si>
    <t>x540L
SE540L</t>
  </si>
  <si>
    <t>S
5.5.3-1.3</t>
  </si>
  <si>
    <r>
      <t xml:space="preserve">AT-x250-10/18/28/52 XTm
AT-x250-18/28 XS
</t>
    </r>
    <r>
      <rPr>
        <b/>
        <strike/>
        <sz val="8"/>
        <rFont val="Arial"/>
        <family val="2"/>
      </rPr>
      <t>AT-x250-52 XSTm</t>
    </r>
    <r>
      <rPr>
        <b/>
        <sz val="8"/>
        <rFont val="Arial"/>
        <family val="2"/>
        <charset val="1"/>
      </rPr>
      <t xml:space="preserve">
AT-x250-28/52XHm
AT-SE250-10/18/28/52 XTm
AT-SE250-18/28 XS
</t>
    </r>
    <r>
      <rPr>
        <b/>
        <strike/>
        <sz val="8"/>
        <rFont val="Arial"/>
        <family val="2"/>
      </rPr>
      <t>AT-SE250-52 XSTm</t>
    </r>
    <r>
      <rPr>
        <b/>
        <sz val="8"/>
        <rFont val="Arial"/>
        <family val="2"/>
        <charset val="1"/>
      </rPr>
      <t xml:space="preserve">
AT-SE250-28/52 XHm
(10G Uplink)</t>
    </r>
  </si>
  <si>
    <r>
      <t xml:space="preserve">x540L-28/52 XTm
x540L-28/52 XHm
x540L-28 XS
</t>
    </r>
    <r>
      <rPr>
        <b/>
        <strike/>
        <sz val="8"/>
        <rFont val="Arial"/>
        <family val="2"/>
      </rPr>
      <t>x540L-52 XSTm</t>
    </r>
    <r>
      <rPr>
        <b/>
        <sz val="8"/>
        <rFont val="Arial"/>
        <family val="2"/>
        <charset val="1"/>
      </rPr>
      <t xml:space="preserve">
SE540L-28/52 XTm
SE540L-28/52 XHm
SE540L-28 XS
</t>
    </r>
    <r>
      <rPr>
        <b/>
        <strike/>
        <sz val="8"/>
        <rFont val="Arial"/>
        <family val="2"/>
      </rPr>
      <t>SE540L-52 XSTm</t>
    </r>
    <r>
      <rPr>
        <b/>
        <sz val="8"/>
        <rFont val="Arial"/>
        <family val="2"/>
        <charset val="1"/>
      </rPr>
      <t xml:space="preserve">
(10G Uplink)</t>
    </r>
  </si>
  <si>
    <t>TP496</t>
  </si>
  <si>
    <t>TP497</t>
  </si>
  <si>
    <t>VCS
supported</t>
  </si>
  <si>
    <t>ROW - Not
requested</t>
  </si>
  <si>
    <t>cancelled</t>
  </si>
  <si>
    <t>port1.0.1-1.0.18</t>
  </si>
  <si>
    <t>IE360</t>
  </si>
  <si>
    <t>AT-IE360-12GHX</t>
  </si>
  <si>
    <t>AT-IE360-12GTX</t>
  </si>
  <si>
    <r>
      <t>IE360-12GHX</t>
    </r>
    <r>
      <rPr>
        <sz val="11"/>
        <color rgb="FF000000"/>
        <rFont val="Calibri"/>
        <family val="2"/>
        <charset val="1"/>
      </rPr>
      <t xml:space="preserve"> 8 x 10/100/1000T, 2 x 100/1000X SFP, 2 x 1G/10G SFP+, POE++</t>
    </r>
  </si>
  <si>
    <r>
      <t>IE360-12GTX</t>
    </r>
    <r>
      <rPr>
        <sz val="11"/>
        <color rgb="FF000000"/>
        <rFont val="Calibri"/>
        <family val="2"/>
        <charset val="1"/>
      </rPr>
      <t xml:space="preserve"> 8 x 10/100/1000T, 2 x 100/1000X SFP, 2 x 1G/10G SFP+</t>
    </r>
  </si>
  <si>
    <t>BCM54220</t>
  </si>
  <si>
    <t>BCM82759</t>
  </si>
  <si>
    <t>port1.0.11-1.0.12</t>
  </si>
  <si>
    <t>A10538G233700015</t>
  </si>
  <si>
    <t>&lt;- Inherit -&gt;
from Y4</t>
  </si>
  <si>
    <t>TP516</t>
  </si>
  <si>
    <t>port1.0.1-1.0.28</t>
  </si>
  <si>
    <t>SE540</t>
  </si>
  <si>
    <t>S
5.4.4-0.1</t>
  </si>
  <si>
    <t>S
5.5.4-1.1</t>
  </si>
  <si>
    <t>S
5.5.3-2.0</t>
  </si>
  <si>
    <t>S
5.4.9-2.4</t>
  </si>
  <si>
    <t>S with fail
5.4.9-1.1</t>
  </si>
  <si>
    <t>TP521</t>
  </si>
  <si>
    <t>TP450</t>
  </si>
  <si>
    <t>S
5.5.3-0.1</t>
  </si>
  <si>
    <t>IE220-6GHX
IE220-10GHX
(10G port)</t>
  </si>
  <si>
    <t>IE220-6GHX
IE220-10GHX
(10G SFP+)</t>
  </si>
  <si>
    <t>Physically same
as ver B</t>
  </si>
  <si>
    <t>Physically 
same
as ver B</t>
  </si>
  <si>
    <t>Physically 
same
as ver G</t>
  </si>
  <si>
    <t>Physically 
same 
as ver G</t>
  </si>
  <si>
    <t>Superceded 
by ver D1</t>
  </si>
  <si>
    <t>AT-x950-28XTQm  
AT-x950-28XSQ 
 AT-x950-52XSQ 
 AT-x950-52XTQm</t>
  </si>
  <si>
    <t>future</t>
  </si>
  <si>
    <t>AT-SP10SRa/E</t>
  </si>
  <si>
    <t>x</t>
  </si>
  <si>
    <t>AT-SP10LRa/E</t>
  </si>
  <si>
    <t xml:space="preserve">AT-x240-26GHXm </t>
  </si>
  <si>
    <t>A10540G240800052</t>
  </si>
  <si>
    <t>A10561G240300006</t>
  </si>
  <si>
    <t>A-1</t>
  </si>
  <si>
    <t>5.4.7-0.1
24/3/2017</t>
  </si>
  <si>
    <t>5.4.7-0.4
9/6/2017</t>
  </si>
  <si>
    <t>5.4.8-01
29/3/2018</t>
  </si>
  <si>
    <t>5.4.9-0.1
29/3/2019</t>
  </si>
  <si>
    <t>5.5.0-0.1
9/4/2020</t>
  </si>
  <si>
    <t>5.5.1-0.1
12/4/2021</t>
  </si>
  <si>
    <t>5.5.2-0.1
8/4/2022</t>
  </si>
  <si>
    <t>5.5.4-0.1
12/03/2024</t>
  </si>
  <si>
    <t>5.5.3-0.5</t>
  </si>
  <si>
    <t>5.4.8-0.12</t>
  </si>
  <si>
    <t>5.5.1-2.11</t>
  </si>
  <si>
    <t>5.5.1-2.9</t>
  </si>
  <si>
    <t>GS970EMX</t>
  </si>
  <si>
    <t>IX5</t>
  </si>
  <si>
    <t>5.4.8-2.15</t>
  </si>
  <si>
    <t>5.4.8-1.8</t>
  </si>
  <si>
    <t>5.4.7-0.4</t>
  </si>
  <si>
    <t>Factory
load</t>
  </si>
  <si>
    <t>5.5.4-02</t>
  </si>
  <si>
    <t>5.5.4-0.2</t>
  </si>
  <si>
    <t>plug
support</t>
  </si>
  <si>
    <t>no</t>
  </si>
  <si>
    <t>5.5.3-1.1</t>
  </si>
  <si>
    <t>5.5.3-0.2</t>
  </si>
  <si>
    <t>5.5.3-0.1</t>
  </si>
  <si>
    <t>5.5.2-2.3</t>
  </si>
  <si>
    <t>5.5.2-2.4</t>
  </si>
  <si>
    <t>dc2499</t>
  </si>
  <si>
    <t>FS979</t>
  </si>
  <si>
    <t>SBx907</t>
  </si>
  <si>
    <t>Base
unit</t>
  </si>
  <si>
    <t>XS916</t>
  </si>
  <si>
    <t>sort</t>
  </si>
  <si>
    <t>Last 
suport
release</t>
  </si>
  <si>
    <t>x560</t>
  </si>
  <si>
    <t>IE560</t>
  </si>
  <si>
    <t>5.5.4-0.3
12/03/2024</t>
  </si>
  <si>
    <t>5.5.3-0.1
6/4/2023</t>
  </si>
  <si>
    <t>When this spreadsheet is saved, a macro is run that exports Rules-Platform-Export and Rules-Transceiver to two .csv files named
transceiverList.csv and platformList.csv . These files are used in automated pluggable testing.
(Note that if the spreadsheet is saved by a Linux machine; the macro may get deleted. )</t>
  </si>
  <si>
    <r>
      <t xml:space="preserve">DATA that is now in the wiki page 
</t>
    </r>
    <r>
      <rPr>
        <b/>
        <sz val="11"/>
        <rFont val="Arial"/>
        <family val="2"/>
      </rPr>
      <t>Qualification_Transceiver_Inventory WIKI page</t>
    </r>
  </si>
  <si>
    <t>Rules-platform</t>
  </si>
  <si>
    <t>Rules-transceivers</t>
  </si>
  <si>
    <t>Rules-Platform-Export</t>
  </si>
  <si>
    <t>Last release</t>
  </si>
  <si>
    <t>What platforms are supported by what release.</t>
  </si>
  <si>
    <t>Data about platforms that is exported to be used by SVT scripts.</t>
  </si>
  <si>
    <t>A list of all transceivers and the SVT/JIRA tests that should be run.</t>
  </si>
  <si>
    <t>yes</t>
  </si>
  <si>
    <t>board id to  not show v2 in 'show system.</t>
  </si>
  <si>
    <t>S
5.4.4-0.3</t>
  </si>
  <si>
    <t>AT-SP25SR/I</t>
  </si>
  <si>
    <t>25G</t>
  </si>
  <si>
    <t>AT-SP25LR/I</t>
  </si>
  <si>
    <t>AT-SP25TW1</t>
  </si>
  <si>
    <t>2821222-3</t>
  </si>
  <si>
    <t>hdrgdfg</t>
  </si>
  <si>
    <t>TP529</t>
  </si>
  <si>
    <t>AT-IE560-12GSX</t>
  </si>
  <si>
    <t>port1.0.1-1.0.8</t>
  </si>
  <si>
    <t>port1.0.9-1.0.12</t>
  </si>
  <si>
    <t>IE560-12GSX 8 x100/1000X SFP, 4 x 1G/10G SFP+</t>
  </si>
  <si>
    <r>
      <rPr>
        <u/>
        <sz val="16"/>
        <rFont val="Arial"/>
        <family val="2"/>
      </rPr>
      <t>Description of the rules sheets</t>
    </r>
    <r>
      <rPr>
        <u/>
        <sz val="16"/>
        <color rgb="FF0000FF"/>
        <rFont val="Arial"/>
        <family val="2"/>
      </rPr>
      <t xml:space="preserve"> : https://wiki.atlnz.lc/awpwiki/index.php/Transceiver_Qualification_Rules</t>
    </r>
  </si>
  <si>
    <t>D2</t>
  </si>
  <si>
    <t>S
5.4.7-1.5</t>
  </si>
  <si>
    <t>S
5.4.7-1.6</t>
  </si>
  <si>
    <t>S
5.4.8-0.1</t>
  </si>
  <si>
    <t>S
5.4.8A-1.2</t>
  </si>
  <si>
    <t>SBx908 Gen 3</t>
  </si>
  <si>
    <t>AT-XEM3-8CQ</t>
  </si>
  <si>
    <t>SBx90xGEN3</t>
  </si>
  <si>
    <t>AT-SBx908 GEN3</t>
  </si>
  <si>
    <t>Still updating info.</t>
  </si>
  <si>
    <t>port1.{}.1-1.{}.29</t>
  </si>
  <si>
    <t>To test</t>
  </si>
  <si>
    <t>AT-XEM3-12YS</t>
  </si>
  <si>
    <t>AT-XEM3-2DQ</t>
  </si>
  <si>
    <t>XEM3-8CQ</t>
  </si>
  <si>
    <t>400G QSFPDD</t>
  </si>
  <si>
    <t>25G SFP+</t>
  </si>
  <si>
    <t>12 port SFP28 w/ MACSec, 10G SFP+, 25G SFP28</t>
  </si>
  <si>
    <t>8 port QSFP28 w/ MACSec</t>
  </si>
  <si>
    <t>2 port QSFP-DD w/ MACSec</t>
  </si>
  <si>
    <t>AT-SBx908</t>
  </si>
  <si>
    <t>QSFDD</t>
  </si>
  <si>
    <t>testing</t>
  </si>
  <si>
    <t>For new lines - copy above line to get format - then check live cell for formulars and drag + paste.
 add matching lines in sheet Rules-Platform-Export</t>
  </si>
  <si>
    <t>SBx908 GEN3</t>
  </si>
  <si>
    <t>waiting project
start</t>
  </si>
  <si>
    <t xml:space="preserve">
SBx908 Gen3</t>
  </si>
  <si>
    <t>VCS
Supported
(future)</t>
  </si>
  <si>
    <t>Not supported yet</t>
  </si>
  <si>
    <t>TP536</t>
  </si>
  <si>
    <t>SBx908 
GEN2</t>
  </si>
  <si>
    <t>SBx908 
GEN3</t>
  </si>
  <si>
    <t>XEM3-12YS
(10G SFP)</t>
  </si>
  <si>
    <t>S
5.5.3-1.4</t>
  </si>
  <si>
    <t>F
5.5.3-1.4
S
5.5.2-0.1</t>
  </si>
  <si>
    <t>XEM3-8CQ
(40G QSFP)</t>
  </si>
  <si>
    <t>S
5.5.4-1.2</t>
  </si>
  <si>
    <t>AT-SP25TW3</t>
  </si>
  <si>
    <t>2821223-6</t>
  </si>
  <si>
    <t>A10589G244300017</t>
  </si>
  <si>
    <t>A-0</t>
  </si>
  <si>
    <t>IE360-12GTX</t>
  </si>
  <si>
    <t>A10604G240300017</t>
  </si>
  <si>
    <t>AT-SPLX40/I</t>
  </si>
  <si>
    <t>checked</t>
  </si>
  <si>
    <t>wrong</t>
  </si>
  <si>
    <t xml:space="preserve">IE220-6GHX </t>
  </si>
  <si>
    <t>X4-1</t>
  </si>
  <si>
    <t>A10509G230100012</t>
  </si>
  <si>
    <t>AT-SPBD10/I-13</t>
  </si>
  <si>
    <t>AT-SPBD10/I-14</t>
  </si>
  <si>
    <t>this golden unit is superceded by x530-28gsx</t>
  </si>
  <si>
    <t>x230
GS970M
SH230</t>
  </si>
  <si>
    <t>A10391G214900009</t>
  </si>
  <si>
    <t>G2AUG707T</t>
  </si>
  <si>
    <t>IE560-12GSX
(1G SFP)</t>
  </si>
  <si>
    <t>IE360-12GHX
IE360-12GTX
(1G SFP)</t>
  </si>
  <si>
    <t>IE360 no VCS</t>
  </si>
  <si>
    <t xml:space="preserve"> 4 unit VCS</t>
  </si>
  <si>
    <t>IE560-12GSX\
(10G port)</t>
  </si>
  <si>
    <t>IE560-12GSX
(1G port)</t>
  </si>
  <si>
    <t>IE360-12GHX
IE360-12GTX
(10G port)</t>
  </si>
  <si>
    <t>not 
VCS</t>
  </si>
  <si>
    <t>4 unit VCS</t>
  </si>
  <si>
    <t>TP553</t>
  </si>
  <si>
    <t>TP552</t>
  </si>
  <si>
    <t>S
5.5.4-0.3</t>
  </si>
  <si>
    <t>S
5.5.5-0.1</t>
  </si>
  <si>
    <t>S
5.5.4-1.5</t>
  </si>
  <si>
    <t>S
5.5.4-0.2</t>
  </si>
  <si>
    <t>IE360-12GHX
IE360-12GTX
(10G SFP+)</t>
  </si>
  <si>
    <t>IE560-12GSX
(10G SFP+)</t>
  </si>
  <si>
    <t>100G QSFP</t>
  </si>
  <si>
    <t>100G QSFP28</t>
  </si>
  <si>
    <t>port1.{}.1-1.{}.9</t>
  </si>
  <si>
    <t>AT-QSFPDD-SR8</t>
  </si>
  <si>
    <t>2323767-1</t>
  </si>
  <si>
    <t>2323767-4</t>
  </si>
  <si>
    <t>AT-QSFPDD-1CU</t>
  </si>
  <si>
    <t>AT-QSFPDD-2.5CU</t>
  </si>
  <si>
    <r>
      <t xml:space="preserve">S
5.5.0-2.3
</t>
    </r>
    <r>
      <rPr>
        <sz val="8"/>
        <color rgb="FF000000"/>
        <rFont val="Calibri"/>
        <family val="2"/>
      </rPr>
      <t>(SBx908-GEN2)</t>
    </r>
  </si>
  <si>
    <t>to do</t>
  </si>
  <si>
    <t>S1348-100</t>
  </si>
  <si>
    <t>00</t>
  </si>
  <si>
    <t>DM-317-100-ALT</t>
  </si>
  <si>
    <t>5.5.5-0.1
CR-86947</t>
  </si>
  <si>
    <t>S
5.5.5-0.2</t>
  </si>
  <si>
    <t>X4</t>
  </si>
  <si>
    <t>98DX3550M Alleycat5X</t>
  </si>
  <si>
    <t>PT0-S1-4103S-I</t>
  </si>
  <si>
    <t>0001</t>
  </si>
  <si>
    <t>SE240-52GHXm, 48 x 10/100/1000/2.5G/5G ports(PoE out) and 4 SFP/SFP+ (2 switch chips)</t>
  </si>
  <si>
    <t>SE240-26GHXm, 24 x 10/100/1000/2.5G/5G(PoE out) ports and 2 SFP/SFP+</t>
  </si>
  <si>
    <t>SE240-18GHXm, 16 x 10/100/1000/2.5G/5G(PoE out) ports and 2 SFP/SFP+</t>
  </si>
  <si>
    <t>SE240-10GHXm, 8 x 10/100/1000/2.5G/5G(PoE out) ports and 2 SFP/SFP+</t>
  </si>
  <si>
    <t>SE240-10GTXm, 8 x 10/100/1000/2.5G/5G ports and 2 SFP/SFP+</t>
  </si>
  <si>
    <t>SE240-18GTXm, 16 x 10/100/1000/2.5G/5G ports and 2 SFP/SFP+</t>
  </si>
  <si>
    <t>SE240-26GTXm, 24 x 10/100/1000/2.5G/5G ports and 2 SFP/SFP+</t>
  </si>
  <si>
    <t>SE240-52GTXm, 48 x 10/100/1000/2.5G/5G ports and 4 SFP/SFP+ (2 switch chips)</t>
  </si>
  <si>
    <t>TP569</t>
  </si>
  <si>
    <t>waiting product</t>
  </si>
  <si>
    <t>TBA</t>
  </si>
  <si>
    <t>waiting
product</t>
  </si>
  <si>
    <t>x560-28YSQ
(25G Base)
x560-56YSQ
(25G Base)</t>
  </si>
  <si>
    <t>TP570</t>
  </si>
  <si>
    <t>TP571</t>
  </si>
  <si>
    <t>TP573</t>
  </si>
  <si>
    <t>x560-28YSQ
(100G Base)
x560-56YSQ
(100G Base)</t>
  </si>
  <si>
    <t>AT-SPEX</t>
  </si>
  <si>
    <t>AT-SPEX/E-90</t>
  </si>
  <si>
    <t>AT-SPEX/E</t>
  </si>
  <si>
    <t>Waiting for plugable</t>
  </si>
  <si>
    <t>x250-28XHm, 24 x 100M/1/2.5/5/10GT (POE++ out) + 4 x 10G SFP+</t>
  </si>
  <si>
    <t>98DX4550M Marvell AC5P</t>
  </si>
  <si>
    <t>x540L-28XHm, 24 x 100M/1/2.5/5/10GT (POE++ out) + 4 x 10G SFP+</t>
  </si>
  <si>
    <t>S
5.5.0-3</t>
  </si>
  <si>
    <t>x980-32DQ</t>
  </si>
  <si>
    <t>x980-32DQ
(400G)</t>
  </si>
  <si>
    <t xml:space="preserve">x980-32DQ
(400G Base)
</t>
  </si>
  <si>
    <t>x980</t>
  </si>
  <si>
    <t>waiting platform</t>
  </si>
  <si>
    <t>AT-SP10TM/I</t>
  </si>
  <si>
    <t>Board 577</t>
  </si>
  <si>
    <t>Board 590</t>
  </si>
  <si>
    <t>Board 524</t>
  </si>
  <si>
    <t>Board 581</t>
  </si>
  <si>
    <t>Board 648</t>
  </si>
  <si>
    <t>Board 491</t>
  </si>
  <si>
    <t>Board 562</t>
  </si>
  <si>
    <t>Board 492</t>
  </si>
  <si>
    <t>Board 389</t>
  </si>
  <si>
    <t>Board 548</t>
  </si>
  <si>
    <t>Board 548-487</t>
  </si>
  <si>
    <t>Board 548-559</t>
  </si>
  <si>
    <t>Board 483-487</t>
  </si>
  <si>
    <t>Board 483-559</t>
  </si>
  <si>
    <t>Board 612-616</t>
  </si>
  <si>
    <t>Board 379-446</t>
  </si>
  <si>
    <t>Board 379-447</t>
  </si>
  <si>
    <t>Board 379</t>
  </si>
  <si>
    <t>Board 379-561</t>
  </si>
  <si>
    <t>Board 379-352</t>
  </si>
  <si>
    <t>Board 425</t>
  </si>
  <si>
    <t>Board 606</t>
  </si>
  <si>
    <t>Board 542</t>
  </si>
  <si>
    <t>Board 631</t>
  </si>
  <si>
    <t>Board 455</t>
  </si>
  <si>
    <t>Board 508</t>
  </si>
  <si>
    <t>Board 543</t>
  </si>
  <si>
    <t>Board 406</t>
  </si>
  <si>
    <t>Board 400</t>
  </si>
  <si>
    <t>Board 632</t>
  </si>
  <si>
    <t>X5</t>
  </si>
  <si>
    <t>superceded by X5</t>
  </si>
  <si>
    <t>x960</t>
  </si>
  <si>
    <t>A10590G252600003</t>
  </si>
  <si>
    <t>IE560-12GSX</t>
  </si>
  <si>
    <t>Board 626</t>
  </si>
  <si>
    <t>AT-SPBD40a/I-13</t>
  </si>
  <si>
    <t>AT-SPBD40a/I-14</t>
  </si>
  <si>
    <t>X</t>
  </si>
  <si>
    <t>AT-SP10ER40a/E</t>
  </si>
  <si>
    <t>AT-x560-28YSQ</t>
  </si>
  <si>
    <t>x560-28YSQ, 24 x 1/10/25G SFP28, 4 x 40/100G QSFP28</t>
  </si>
  <si>
    <t>98DX4580M AC5P-XL</t>
  </si>
  <si>
    <t>88X6142P</t>
  </si>
  <si>
    <t>port1.0.25-1.0.37</t>
  </si>
  <si>
    <t>AT-SPLX10a/I</t>
  </si>
  <si>
    <t>AT-x980-32CQ</t>
  </si>
  <si>
    <t>x980-32CQ, 32 x 40/100G QSFP28</t>
  </si>
  <si>
    <t>98CX8522 (Falcon)</t>
  </si>
  <si>
    <t>port1.0.1-1.0.125</t>
  </si>
  <si>
    <t>S
5.5.5-2.1</t>
  </si>
  <si>
    <t>S
5.5.3-1.1</t>
  </si>
  <si>
    <t>x230L-17/26GT
SH/x230-10GP (10PS)
SH/x230-18GP/GT (18/18PS)
SH/x230-28GP/GT (28/28PS)
GS970M(28PS/18PS/10PS/28/18)
(1G SFP)</t>
  </si>
  <si>
    <t>x220-28GT/GP/GS
GS980M (28/28PS)
x220-52GT/GP
x230-52GP/GT
GS980M (52/52PS)
(1G Uplink)</t>
  </si>
  <si>
    <t>S
5.5.4-0.4</t>
  </si>
  <si>
    <t>S
5.5.3-0.3</t>
  </si>
  <si>
    <t>S
5.5.5-0.5</t>
  </si>
  <si>
    <t>S
5.5.4-1.4</t>
  </si>
  <si>
    <t>S
5.5.5-1.0</t>
  </si>
  <si>
    <t>x230v2</t>
  </si>
  <si>
    <t>AT-x230-10GTv2</t>
  </si>
  <si>
    <t>x230-10GTv2, 8xGigabit, 2xSFP, Broadcom5334x</t>
  </si>
  <si>
    <t>AT-x230-10GPv2</t>
  </si>
  <si>
    <t>x230-10GPv2, 8xGigabit POE+, 2xSFP, Broadcom5334x</t>
  </si>
  <si>
    <t>AT-x230L-17GTv2</t>
  </si>
  <si>
    <t>x230L-17GTv2, 16xGigabit, 1xSFP, Broadcom5334x</t>
  </si>
  <si>
    <t>AT-x230-18GTv2</t>
  </si>
  <si>
    <t>x230-18GTv2, 16xGigabit, 2xSFP, Broadcom5334x</t>
  </si>
  <si>
    <t>AT-x230-18GPv2</t>
  </si>
  <si>
    <t>x230-18GPv2, 16xGigabit POE+, 2xSFP, Broadcom5334x</t>
  </si>
  <si>
    <t>AT-x230L-26GTv2</t>
  </si>
  <si>
    <t>x230L-26GTv2, 24xGigabit, 2xSFP, Broadcom5334x</t>
  </si>
  <si>
    <t>AT-x230-28GTv2</t>
  </si>
  <si>
    <t>x230-28GTv2, 24xGigabit, 4xSFP, Broadcom5334x</t>
  </si>
  <si>
    <t>AT-x230-28GPv2</t>
  </si>
  <si>
    <t>x230-28GPv2, 24xGigabit PoE+, 4xSFP, Broadcom5334x</t>
  </si>
  <si>
    <t>tbd</t>
  </si>
  <si>
    <t>AT-x230-28GSv2</t>
  </si>
  <si>
    <t>x230-28GSv2, 28xSFP</t>
  </si>
  <si>
    <t>98DX3235 (AlleyCat3)</t>
  </si>
  <si>
    <t>AT-x230-52GTv2</t>
  </si>
  <si>
    <t>x230-52GTv2, 48xGigabit, 4xSFP</t>
  </si>
  <si>
    <t>x230v2-52</t>
  </si>
  <si>
    <t>98DX3236 (AlleyCat3)</t>
  </si>
  <si>
    <t>AT-x230-52GPv2</t>
  </si>
  <si>
    <t>x230-52GPv2, 48xGigabit PoE+, 4xSFP</t>
  </si>
  <si>
    <t>PHY</t>
  </si>
  <si>
    <t>1G PHY UPLINK</t>
  </si>
  <si>
    <t>ns</t>
  </si>
  <si>
    <t>.</t>
  </si>
  <si>
    <t>x230-v2 1G PHY UPLINK</t>
  </si>
  <si>
    <t>x230 V2</t>
  </si>
  <si>
    <t xml:space="preserve">
x230L-17GTv2/26GTv2 
x230-10GTv2/GPv2
x230-18GPv2/GTv2
x230-28GPv2/GT)v2
(1G PHY UPLINK)</t>
  </si>
  <si>
    <t>waiting 
results</t>
  </si>
  <si>
    <t>25G SFP28</t>
  </si>
  <si>
    <t>25G BASE</t>
  </si>
  <si>
    <t>x250-52XHm, 48 x 100M/1/2.5/5/10GT (POE++ out) + 4 x 10G SFP+</t>
  </si>
  <si>
    <t xml:space="preserve">98DX4570M Marvell AC5P-XL </t>
  </si>
  <si>
    <t>1-2127934-8</t>
  </si>
  <si>
    <t>AT-x980-32DQ</t>
  </si>
  <si>
    <t>x980-32DQ, 32 x 100/400G QSFP-DD, 2 x 10G SFP+</t>
  </si>
  <si>
    <t>98CX8580 (Falcon)</t>
  </si>
  <si>
    <t>port1.0.1-1.0.249</t>
  </si>
  <si>
    <t>port1.0.257-1.0.258</t>
  </si>
  <si>
    <t>S
5.5.5-2.2</t>
  </si>
  <si>
    <t>waiting
pluggable</t>
  </si>
  <si>
    <t>A0</t>
  </si>
  <si>
    <t>FTCD8613E2PCMA1Y</t>
  </si>
  <si>
    <t>port1.0.49, port1.0.53, port1.0.57, port1.0.61</t>
  </si>
  <si>
    <t xml:space="preserve"> A10012A191800060 B</t>
  </si>
  <si>
    <t>A10640A250300023 A</t>
  </si>
  <si>
    <t>5.5.1-1.2</t>
  </si>
  <si>
    <t>A10534A250200012</t>
  </si>
  <si>
    <t>A10511A252700027</t>
  </si>
  <si>
    <t>A10599A250300011</t>
  </si>
  <si>
    <t>TP532</t>
  </si>
  <si>
    <t>XEM3-12YS
(10G SFP28)</t>
  </si>
  <si>
    <t>98CX8540 (Marvell Falcon)</t>
  </si>
  <si>
    <t>88X5243P</t>
  </si>
  <si>
    <t>88X7121P</t>
  </si>
  <si>
    <t>AT-SBx908 GEN3, 8 x XEM3 slots</t>
  </si>
  <si>
    <t>98DX4570M Marvell AC5P-XL</t>
  </si>
  <si>
    <t>x540L-28XS, 28 x 10G SFP+</t>
  </si>
  <si>
    <t>x250-52XTm, 48 x 100M/1/2.5/5/10GT + 4 x 10G SFP+</t>
  </si>
  <si>
    <t>Board 693</t>
  </si>
  <si>
    <t>TestPplan result link</t>
  </si>
  <si>
    <t>TestPlan result link</t>
  </si>
  <si>
    <t>S
5.5.3-1.0</t>
  </si>
  <si>
    <t>S
5.5.3-0.6</t>
  </si>
  <si>
    <t>S
5.5.5.0.5</t>
  </si>
  <si>
    <t>testing
now</t>
  </si>
  <si>
    <t>A10689A254700031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</si>
</sst>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quot;x908 GEN2 XEM2-1CQ&quot;"/>
  </numFmts>
  <fonts count="80">
    <font>
      <sz val="11"/>
      <color rgb="FF000000"/>
      <name val="Calibri"/>
      <family val="2"/>
      <charset val="1"/>
    </font>
    <font>
      <sz val="11"/>
      <color rgb="FF339966"/>
      <name val="Calibri"/>
      <family val="2"/>
      <charset val="1"/>
    </font>
    <font>
      <b/>
      <sz val="18"/>
      <color rgb="FF000000"/>
      <name val="Calibri"/>
      <family val="2"/>
      <charset val="1"/>
    </font>
    <font>
      <sz val="16"/>
      <color rgb="FF000000"/>
      <name val="Calibri"/>
      <family val="2"/>
      <charset val="1"/>
    </font>
    <font>
      <u/>
      <sz val="16"/>
      <color rgb="FF0000FF"/>
      <name val="Arial"/>
      <family val="2"/>
      <charset val="1"/>
    </font>
    <font>
      <u/>
      <sz val="10"/>
      <color rgb="FF0000FF"/>
      <name val="Arial"/>
      <family val="2"/>
      <charset val="1"/>
    </font>
    <font>
      <b/>
      <sz val="11"/>
      <color rgb="FF000000"/>
      <name val="Calibri"/>
      <family val="2"/>
      <charset val="1"/>
    </font>
    <font>
      <b/>
      <sz val="14"/>
      <name val="Arial"/>
      <family val="2"/>
      <charset val="1"/>
    </font>
    <font>
      <b/>
      <sz val="10"/>
      <name val="Arial"/>
      <family val="2"/>
      <charset val="1"/>
    </font>
    <font>
      <b/>
      <sz val="14"/>
      <color rgb="FF000000"/>
      <name val="Calibri"/>
      <family val="2"/>
      <charset val="1"/>
    </font>
    <font>
      <b/>
      <sz val="12"/>
      <name val="Arial"/>
      <family val="2"/>
      <charset val="1"/>
    </font>
    <font>
      <sz val="12"/>
      <name val="Arial"/>
      <family val="2"/>
      <charset val="1"/>
    </font>
    <font>
      <b/>
      <sz val="8"/>
      <name val="Arial"/>
      <family val="2"/>
      <charset val="1"/>
    </font>
    <font>
      <b/>
      <u/>
      <sz val="8"/>
      <color rgb="FF0000FF"/>
      <name val="Arial"/>
      <family val="2"/>
      <charset val="1"/>
    </font>
    <font>
      <sz val="10"/>
      <name val="Arial"/>
      <family val="2"/>
      <charset val="1"/>
    </font>
    <font>
      <b/>
      <sz val="8"/>
      <color rgb="FF0000FF"/>
      <name val="Arial"/>
      <family val="2"/>
      <charset val="1"/>
    </font>
    <font>
      <u/>
      <sz val="10"/>
      <color rgb="FF008000"/>
      <name val="Arial"/>
      <family val="2"/>
      <charset val="1"/>
    </font>
    <font>
      <b/>
      <sz val="10"/>
      <color rgb="FFFFFFFF"/>
      <name val="Arial"/>
      <family val="2"/>
      <charset val="1"/>
    </font>
    <font>
      <sz val="10"/>
      <color rgb="FFFF0000"/>
      <name val="Arial"/>
      <family val="2"/>
      <charset val="1"/>
    </font>
    <font>
      <sz val="11"/>
      <name val="Calibri"/>
      <family val="2"/>
      <charset val="1"/>
    </font>
    <font>
      <b/>
      <sz val="9"/>
      <color rgb="FF000000"/>
      <name val="Tahoma"/>
      <family val="2"/>
      <charset val="1"/>
    </font>
    <font>
      <sz val="9"/>
      <color rgb="FF000000"/>
      <name val="Tahoma"/>
      <family val="2"/>
      <charset val="1"/>
    </font>
    <font>
      <b/>
      <sz val="8"/>
      <color rgb="FFFF0000"/>
      <name val="Arial"/>
      <family val="2"/>
      <charset val="1"/>
    </font>
    <font>
      <u/>
      <sz val="10"/>
      <color rgb="FF339966"/>
      <name val="Arial"/>
      <family val="2"/>
      <charset val="1"/>
    </font>
    <font>
      <sz val="10"/>
      <color rgb="FF008000"/>
      <name val="Arial"/>
      <family val="2"/>
      <charset val="1"/>
    </font>
    <font>
      <sz val="10"/>
      <color rgb="FF0000FF"/>
      <name val="Arial"/>
      <family val="2"/>
      <charset val="1"/>
    </font>
    <font>
      <u/>
      <sz val="10"/>
      <color rgb="FFFF0000"/>
      <name val="Arial"/>
      <family val="2"/>
      <charset val="1"/>
    </font>
    <font>
      <b/>
      <sz val="10"/>
      <color rgb="FFFF0000"/>
      <name val="Arial"/>
      <family val="2"/>
      <charset val="1"/>
    </font>
    <font>
      <u/>
      <sz val="11"/>
      <color rgb="FF0000FF"/>
      <name val="Calibri"/>
      <family val="2"/>
      <charset val="1"/>
    </font>
    <font>
      <sz val="11"/>
      <color rgb="FF800080"/>
      <name val="Calibri"/>
      <family val="2"/>
      <charset val="1"/>
    </font>
    <font>
      <sz val="8"/>
      <color rgb="FF000000"/>
      <name val="Tahoma"/>
      <family val="2"/>
      <charset val="1"/>
    </font>
    <font>
      <sz val="11"/>
      <color rgb="FFFF0000"/>
      <name val="Calibri"/>
      <family val="2"/>
      <charset val="1"/>
    </font>
    <font>
      <b/>
      <sz val="11"/>
      <color rgb="FFFFFFFF"/>
      <name val="Calibri"/>
      <family val="2"/>
      <charset val="1"/>
    </font>
    <font>
      <u/>
      <sz val="10"/>
      <name val="Arial"/>
      <family val="2"/>
      <charset val="1"/>
    </font>
    <font>
      <b/>
      <sz val="11"/>
      <color rgb="FF3C3C3C"/>
      <name val="Calibri"/>
      <family val="2"/>
      <charset val="1"/>
    </font>
    <font>
      <sz val="11"/>
      <color rgb="FF000000"/>
      <name val="Arial"/>
      <family val="2"/>
      <charset val="1"/>
    </font>
    <font>
      <sz val="11"/>
      <color rgb="FF4C4C4C"/>
      <name val="Calibri"/>
      <family val="2"/>
      <charset val="1"/>
    </font>
    <font>
      <b/>
      <sz val="11"/>
      <color rgb="FF000000"/>
      <name val="Tahoma"/>
      <family val="2"/>
      <charset val="1"/>
    </font>
    <font>
      <sz val="10"/>
      <color rgb="FF000000"/>
      <name val="Arial Unicode MS"/>
      <charset val="1"/>
    </font>
    <font>
      <b/>
      <sz val="22"/>
      <color rgb="FF000000"/>
      <name val="Calibri"/>
      <family val="2"/>
      <charset val="1"/>
    </font>
    <font>
      <sz val="11"/>
      <color rgb="FF000000"/>
      <name val="Tahoma"/>
      <family val="2"/>
      <charset val="1"/>
    </font>
    <font>
      <b/>
      <sz val="16"/>
      <name val="Arial"/>
      <family val="2"/>
      <charset val="1"/>
    </font>
    <font>
      <b/>
      <sz val="11"/>
      <name val="Arial"/>
      <family val="2"/>
      <charset val="1"/>
    </font>
    <font>
      <b/>
      <u/>
      <sz val="10"/>
      <color rgb="FF0000FF"/>
      <name val="Arial"/>
      <family val="2"/>
      <charset val="1"/>
    </font>
    <font>
      <u/>
      <sz val="8"/>
      <color rgb="FF0000FF"/>
      <name val="Arial"/>
      <family val="2"/>
      <charset val="1"/>
    </font>
    <font>
      <sz val="8"/>
      <name val="Arial"/>
      <family val="2"/>
      <charset val="1"/>
    </font>
    <font>
      <u/>
      <sz val="10"/>
      <color rgb="FF000000"/>
      <name val="Arial"/>
      <family val="2"/>
      <charset val="1"/>
    </font>
    <font>
      <u/>
      <sz val="10"/>
      <color rgb="FF0000FF"/>
      <name val="Monotype Corsiva"/>
      <family val="4"/>
      <charset val="1"/>
    </font>
    <font>
      <sz val="11"/>
      <color rgb="FF000000"/>
      <name val="Noto Sans CJK SC"/>
      <family val="2"/>
      <charset val="1"/>
    </font>
    <font>
      <sz val="6"/>
      <name val="Arial"/>
      <family val="2"/>
      <charset val="1"/>
    </font>
    <font>
      <sz val="8"/>
      <color rgb="FFFFFFFF"/>
      <name val="Tahoma"/>
      <family val="2"/>
      <charset val="1"/>
    </font>
    <font>
      <sz val="10"/>
      <color rgb="FF000000"/>
      <name val="Tahoma"/>
      <family val="2"/>
      <charset val="1"/>
    </font>
    <font>
      <b/>
      <sz val="12"/>
      <color rgb="FF000000"/>
      <name val="Arial"/>
      <family val="2"/>
      <charset val="1"/>
    </font>
    <font>
      <sz val="9"/>
      <color rgb="FF000000"/>
      <name val="Arial"/>
      <family val="2"/>
      <charset val="1"/>
    </font>
    <font>
      <b/>
      <sz val="9"/>
      <color rgb="FF000000"/>
      <name val="Arial"/>
      <family val="2"/>
      <charset val="1"/>
    </font>
    <font>
      <sz val="7"/>
      <color rgb="FF000000"/>
      <name val="Times New Roman"/>
      <family val="1"/>
      <charset val="1"/>
    </font>
    <font>
      <b/>
      <i/>
      <sz val="9"/>
      <color rgb="FF000000"/>
      <name val="Arial"/>
      <family val="2"/>
      <charset val="1"/>
    </font>
    <font>
      <sz val="10"/>
      <color rgb="FF000000"/>
      <name val="Arial"/>
      <family val="2"/>
      <charset val="1"/>
    </font>
    <font>
      <i/>
      <sz val="9"/>
      <color rgb="FF000000"/>
      <name val="Arial"/>
      <family val="2"/>
      <charset val="1"/>
    </font>
    <font>
      <b/>
      <sz val="11"/>
      <color rgb="FF000000"/>
      <name val="Arial"/>
      <family val="2"/>
      <charset val="1"/>
    </font>
    <font>
      <sz val="9"/>
      <color rgb="FFFF0000"/>
      <name val="Arial"/>
      <family val="2"/>
      <charset val="1"/>
    </font>
    <font>
      <u/>
      <sz val="10"/>
      <color rgb="FF000000"/>
      <name val="Monotype Corsiva"/>
      <family val="4"/>
      <charset val="1"/>
    </font>
    <font>
      <sz val="10"/>
      <color rgb="FF000000"/>
      <name val="Monotype Corsiva"/>
      <family val="4"/>
      <charset val="1"/>
    </font>
    <font>
      <sz val="11"/>
      <color rgb="FF000000"/>
      <name val="Calibri"/>
      <family val="2"/>
      <charset val="1"/>
    </font>
    <font>
      <sz val="8"/>
      <name val="Calibri"/>
      <family val="2"/>
      <charset val="1"/>
    </font>
    <font>
      <sz val="10"/>
      <color rgb="FFFFFFFF"/>
      <name val="Arial"/>
      <family val="2"/>
    </font>
    <font>
      <sz val="9"/>
      <color indexed="81"/>
      <name val="Tahoma"/>
      <family val="2"/>
    </font>
    <font>
      <b/>
      <sz val="9"/>
      <color indexed="81"/>
      <name val="Tahoma"/>
      <family val="2"/>
    </font>
    <font>
      <sz val="20"/>
      <color rgb="FFFF0000"/>
      <name val="Calibri"/>
      <family val="2"/>
    </font>
    <font>
      <sz val="11"/>
      <color rgb="FF9C5700"/>
      <name val="Calibri"/>
      <family val="2"/>
      <scheme val="minor"/>
    </font>
    <font>
      <b/>
      <strike/>
      <sz val="8"/>
      <name val="Arial"/>
      <family val="2"/>
    </font>
    <font>
      <sz val="11"/>
      <color rgb="FF000000"/>
      <name val="Calibri"/>
      <family val="2"/>
    </font>
    <font>
      <sz val="8"/>
      <color rgb="FF000000"/>
      <name val="Calibri"/>
      <family val="2"/>
    </font>
    <font>
      <sz val="9"/>
      <color rgb="FF000000"/>
      <name val="Calibri"/>
      <family val="2"/>
      <charset val="1"/>
    </font>
    <font>
      <b/>
      <sz val="11"/>
      <color rgb="FF000000"/>
      <name val="Calibri"/>
      <family val="2"/>
    </font>
    <font>
      <b/>
      <sz val="11"/>
      <name val="Arial"/>
      <family val="2"/>
    </font>
    <font>
      <u/>
      <sz val="16"/>
      <color rgb="FF0000FF"/>
      <name val="Arial"/>
      <family val="2"/>
    </font>
    <font>
      <u/>
      <sz val="16"/>
      <name val="Arial"/>
      <family val="2"/>
    </font>
    <font>
      <sz val="11"/>
      <color theme="0" tint="-0.14999847407452621"/>
      <name val="Calibri"/>
      <family val="2"/>
      <charset val="1"/>
    </font>
    <font>
      <b/>
      <sz val="10"/>
      <name val="Arial"/>
      <family val="2"/>
    </font>
  </fonts>
  <fills count="37">
    <fill>
      <patternFill patternType="none"/>
    </fill>
    <fill>
      <patternFill patternType="gray125"/>
    </fill>
    <fill>
      <patternFill patternType="solid">
        <fgColor rgb="FFFF99CC"/>
        <bgColor rgb="FFFF8080"/>
      </patternFill>
    </fill>
    <fill>
      <patternFill patternType="solid">
        <fgColor rgb="FFFFFFFF"/>
        <bgColor rgb="FFE7E6E6"/>
      </patternFill>
    </fill>
    <fill>
      <patternFill patternType="solid">
        <fgColor rgb="FFFFFF00"/>
        <bgColor rgb="FFFFFF66"/>
      </patternFill>
    </fill>
    <fill>
      <patternFill patternType="solid">
        <fgColor rgb="FF00CCFF"/>
        <bgColor rgb="FF00B0F0"/>
      </patternFill>
    </fill>
    <fill>
      <patternFill patternType="solid">
        <fgColor rgb="FFFF0000"/>
        <bgColor rgb="FF993300"/>
      </patternFill>
    </fill>
    <fill>
      <patternFill patternType="solid">
        <fgColor rgb="FFFFFF99"/>
        <bgColor rgb="FFFFFF66"/>
      </patternFill>
    </fill>
    <fill>
      <patternFill patternType="solid">
        <fgColor rgb="FFA9D18E"/>
        <bgColor rgb="FFBFBFBF"/>
      </patternFill>
    </fill>
    <fill>
      <patternFill patternType="solid">
        <fgColor rgb="FFED7D31"/>
        <bgColor rgb="FFFF6600"/>
      </patternFill>
    </fill>
    <fill>
      <patternFill patternType="solid">
        <fgColor rgb="FFFFE699"/>
        <bgColor rgb="FFFFFF99"/>
      </patternFill>
    </fill>
    <fill>
      <patternFill patternType="solid">
        <fgColor rgb="FF969696"/>
        <bgColor rgb="FFA6A6A6"/>
      </patternFill>
    </fill>
    <fill>
      <patternFill patternType="solid">
        <fgColor rgb="FF000000"/>
        <bgColor rgb="FF003300"/>
      </patternFill>
    </fill>
    <fill>
      <patternFill patternType="solid">
        <fgColor rgb="FFC0C0C0"/>
        <bgColor rgb="FFBFBFBF"/>
      </patternFill>
    </fill>
    <fill>
      <patternFill patternType="solid">
        <fgColor rgb="FFFFCC99"/>
        <bgColor rgb="FFFFE699"/>
      </patternFill>
    </fill>
    <fill>
      <patternFill patternType="solid">
        <fgColor rgb="FFFF8080"/>
        <bgColor rgb="FFED7D31"/>
      </patternFill>
    </fill>
    <fill>
      <patternFill patternType="solid">
        <fgColor rgb="FF99CCFF"/>
        <bgColor rgb="FFC0C0C0"/>
      </patternFill>
    </fill>
    <fill>
      <patternFill patternType="solid">
        <fgColor rgb="FF808080"/>
        <bgColor rgb="FF969696"/>
      </patternFill>
    </fill>
    <fill>
      <patternFill patternType="solid">
        <fgColor rgb="FF800080"/>
        <bgColor rgb="FF800080"/>
      </patternFill>
    </fill>
    <fill>
      <patternFill patternType="solid">
        <fgColor rgb="FF00FF00"/>
        <bgColor rgb="FF00FFFF"/>
      </patternFill>
    </fill>
    <fill>
      <patternFill patternType="solid">
        <fgColor rgb="FFA6A6A6"/>
        <bgColor rgb="FF969696"/>
      </patternFill>
    </fill>
    <fill>
      <patternFill patternType="solid">
        <fgColor rgb="FFFFCC00"/>
        <bgColor rgb="FFFFC000"/>
      </patternFill>
    </fill>
    <fill>
      <patternFill patternType="solid">
        <fgColor rgb="FFBFBFBF"/>
        <bgColor rgb="FFC0C0C0"/>
      </patternFill>
    </fill>
    <fill>
      <patternFill patternType="solid">
        <fgColor rgb="FFFFC000"/>
        <bgColor rgb="FFFFFF66"/>
      </patternFill>
    </fill>
    <fill>
      <patternFill patternType="solid">
        <fgColor theme="0" tint="-0.249977111117893"/>
        <bgColor rgb="FFC0C0C0"/>
      </patternFill>
    </fill>
    <fill>
      <patternFill patternType="solid">
        <fgColor theme="0"/>
        <bgColor rgb="FFC0C0C0"/>
      </patternFill>
    </fill>
    <fill>
      <patternFill patternType="solid">
        <fgColor theme="0"/>
        <bgColor indexed="64"/>
      </patternFill>
    </fill>
    <fill>
      <patternFill patternType="solid">
        <fgColor rgb="FFFFEB9C"/>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14999847407452621"/>
        <bgColor rgb="FF969696"/>
      </patternFill>
    </fill>
    <fill>
      <patternFill patternType="solid">
        <fgColor theme="9" tint="0.39997558519241921"/>
        <bgColor indexed="64"/>
      </patternFill>
    </fill>
  </fills>
  <borders count="158">
    <border>
      <left/>
      <right/>
      <top/>
      <bottom/>
      <diagonal/>
    </border>
    <border>
      <left style="thin">
        <color rgb="FF3C3C3C"/>
      </left>
      <right style="thin">
        <color rgb="FF3C3C3C"/>
      </right>
      <top style="thin">
        <color rgb="FF3C3C3C"/>
      </top>
      <bottom style="thin">
        <color rgb="FF3C3C3C"/>
      </bottom>
      <diagonal/>
    </border>
    <border>
      <left style="thin">
        <color rgb="FF4C4C4C"/>
      </left>
      <right style="thin">
        <color rgb="FF4C4C4C"/>
      </right>
      <top style="thin">
        <color rgb="FF4C4C4C"/>
      </top>
      <bottom style="thin">
        <color rgb="FF4C4C4C"/>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right/>
      <top style="thin">
        <color rgb="FF4C4C4C"/>
      </top>
      <bottom style="thin">
        <color rgb="FF4C4C4C"/>
      </bottom>
      <diagonal/>
    </border>
    <border>
      <left style="thin">
        <color rgb="FF3C3C3C"/>
      </left>
      <right/>
      <top style="medium">
        <color rgb="FF3C3C3C"/>
      </top>
      <bottom/>
      <diagonal/>
    </border>
    <border>
      <left style="thin">
        <color rgb="FF3C3C3C"/>
      </left>
      <right style="thin">
        <color rgb="FF3C3C3C"/>
      </right>
      <top style="medium">
        <color rgb="FF3C3C3C"/>
      </top>
      <bottom/>
      <diagonal/>
    </border>
    <border>
      <left/>
      <right style="thin">
        <color rgb="FF4C4C4C"/>
      </right>
      <top style="thin">
        <color rgb="FF4C4C4C"/>
      </top>
      <bottom style="thin">
        <color rgb="FF4C4C4C"/>
      </bottom>
      <diagonal/>
    </border>
    <border>
      <left style="thin">
        <color rgb="FF4C4C4C"/>
      </left>
      <right style="thin">
        <color rgb="FF4C4C4C"/>
      </right>
      <top/>
      <bottom style="thin">
        <color rgb="FF4C4C4C"/>
      </bottom>
      <diagonal/>
    </border>
    <border>
      <left/>
      <right style="thin">
        <color rgb="FF4C4C4C"/>
      </right>
      <top/>
      <bottom style="thin">
        <color rgb="FF4C4C4C"/>
      </bottom>
      <diagonal/>
    </border>
    <border>
      <left style="thin">
        <color rgb="FF3A3935"/>
      </left>
      <right style="thin">
        <color rgb="FF3A3935"/>
      </right>
      <top style="thin">
        <color rgb="FF3A3935"/>
      </top>
      <bottom style="thin">
        <color rgb="FF3A3935"/>
      </bottom>
      <diagonal/>
    </border>
    <border>
      <left style="thin">
        <color rgb="FF4C4C4C"/>
      </left>
      <right/>
      <top/>
      <bottom style="thin">
        <color rgb="FF4C4C4C"/>
      </bottom>
      <diagonal/>
    </border>
    <border>
      <left/>
      <right style="thin">
        <color rgb="FF3A3935"/>
      </right>
      <top/>
      <bottom/>
      <diagonal/>
    </border>
    <border>
      <left style="thin">
        <color rgb="FF3C3C3C"/>
      </left>
      <right style="thin">
        <color rgb="FF3C3C3C"/>
      </right>
      <top/>
      <bottom style="thin">
        <color rgb="FF3C3C3C"/>
      </bottom>
      <diagonal/>
    </border>
    <border>
      <left style="medium">
        <color rgb="FF3C3C3C"/>
      </left>
      <right style="thin">
        <color rgb="FF3A3935"/>
      </right>
      <top/>
      <bottom style="thin">
        <color rgb="FF3A3935"/>
      </bottom>
      <diagonal/>
    </border>
    <border>
      <left style="thin">
        <color rgb="FF3A3935"/>
      </left>
      <right/>
      <top/>
      <bottom/>
      <diagonal/>
    </border>
    <border>
      <left/>
      <right style="thin">
        <color rgb="FF3A3935"/>
      </right>
      <top/>
      <bottom style="thin">
        <color rgb="FF3A3935"/>
      </bottom>
      <diagonal/>
    </border>
    <border>
      <left style="thin">
        <color rgb="FF3A3935"/>
      </left>
      <right style="thin">
        <color rgb="FF3A3935"/>
      </right>
      <top/>
      <bottom style="thin">
        <color rgb="FF3A3935"/>
      </bottom>
      <diagonal/>
    </border>
    <border>
      <left style="thin">
        <color rgb="FF4C4C4C"/>
      </left>
      <right style="thin">
        <color rgb="FF4C4C4C"/>
      </right>
      <top style="thin">
        <color rgb="FF4C4C4C"/>
      </top>
      <bottom/>
      <diagonal/>
    </border>
    <border>
      <left style="thin">
        <color rgb="FF3A3935"/>
      </left>
      <right style="thin">
        <color rgb="FF3A3935"/>
      </right>
      <top style="thin">
        <color rgb="FF3A3935"/>
      </top>
      <bottom/>
      <diagonal/>
    </border>
    <border>
      <left style="thin">
        <color rgb="FF4C4C4C"/>
      </left>
      <right/>
      <top style="thin">
        <color rgb="FF4C4C4C"/>
      </top>
      <bottom style="thin">
        <color rgb="FF4C4C4C"/>
      </bottom>
      <diagonal/>
    </border>
    <border>
      <left/>
      <right style="thin">
        <color rgb="FF3A3935"/>
      </right>
      <top style="thin">
        <color rgb="FF3A3935"/>
      </top>
      <bottom style="thin">
        <color rgb="FF3A3935"/>
      </bottom>
      <diagonal/>
    </border>
    <border>
      <left style="medium">
        <color rgb="FF3C3C3C"/>
      </left>
      <right style="thin">
        <color rgb="FF3A3935"/>
      </right>
      <top style="thin">
        <color rgb="FF3A3935"/>
      </top>
      <bottom style="thin">
        <color rgb="FF3A3935"/>
      </bottom>
      <diagonal/>
    </border>
    <border>
      <left style="thin">
        <color rgb="FF3A3935"/>
      </left>
      <right/>
      <top style="thin">
        <color rgb="FF3A3935"/>
      </top>
      <bottom/>
      <diagonal/>
    </border>
    <border>
      <left/>
      <right style="thin">
        <color rgb="FF3A3935"/>
      </right>
      <top style="thin">
        <color rgb="FF3A3935"/>
      </top>
      <bottom/>
      <diagonal/>
    </border>
    <border>
      <left style="medium">
        <color rgb="FF3C3C3C"/>
      </left>
      <right style="thin">
        <color rgb="FF3A3935"/>
      </right>
      <top style="thin">
        <color rgb="FF3A3935"/>
      </top>
      <bottom/>
      <diagonal/>
    </border>
    <border>
      <left/>
      <right style="thin">
        <color rgb="FF4C4C4C"/>
      </right>
      <top style="thin">
        <color rgb="FF4C4C4C"/>
      </top>
      <bottom/>
      <diagonal/>
    </border>
    <border>
      <left style="thin">
        <color rgb="FF4C4C4C"/>
      </left>
      <right style="thin">
        <color rgb="FF4C4C4C"/>
      </right>
      <top/>
      <bottom/>
      <diagonal/>
    </border>
    <border>
      <left style="thin">
        <color rgb="FF4C4C4C"/>
      </left>
      <right/>
      <top style="thin">
        <color rgb="FF4C4C4C"/>
      </top>
      <bottom/>
      <diagonal/>
    </border>
    <border>
      <left style="thin">
        <color rgb="FF3C3C3C"/>
      </left>
      <right style="thin">
        <color rgb="FF3C3C3C"/>
      </right>
      <top style="thin">
        <color rgb="FF3C3C3C"/>
      </top>
      <bottom/>
      <diagonal/>
    </border>
    <border>
      <left style="thin">
        <color rgb="FF3A3935"/>
      </left>
      <right/>
      <top/>
      <bottom style="thin">
        <color rgb="FF3A3935"/>
      </bottom>
      <diagonal/>
    </border>
    <border>
      <left style="thin">
        <color rgb="FF3A3935"/>
      </left>
      <right style="medium">
        <color rgb="FF3A3935"/>
      </right>
      <top/>
      <bottom style="thin">
        <color rgb="FF3A3935"/>
      </bottom>
      <diagonal/>
    </border>
    <border>
      <left style="thin">
        <color rgb="FF3A3935"/>
      </left>
      <right/>
      <top style="thin">
        <color rgb="FF3A3935"/>
      </top>
      <bottom style="thin">
        <color rgb="FF3A3935"/>
      </bottom>
      <diagonal/>
    </border>
    <border>
      <left style="thin">
        <color rgb="FF3A3935"/>
      </left>
      <right style="medium">
        <color rgb="FF3A3935"/>
      </right>
      <top style="thin">
        <color rgb="FF3A3935"/>
      </top>
      <bottom style="thin">
        <color rgb="FF3A3935"/>
      </bottom>
      <diagonal/>
    </border>
    <border>
      <left/>
      <right/>
      <top/>
      <bottom style="thin">
        <color rgb="FF4C4C4C"/>
      </bottom>
      <diagonal/>
    </border>
    <border>
      <left style="thin">
        <color auto="1"/>
      </left>
      <right style="thin">
        <color auto="1"/>
      </right>
      <top/>
      <bottom/>
      <diagonal/>
    </border>
    <border>
      <left style="thin">
        <color rgb="FF4C4C4C"/>
      </left>
      <right style="medium">
        <color rgb="FF4C4C4C"/>
      </right>
      <top/>
      <bottom style="thin">
        <color rgb="FF4C4C4C"/>
      </bottom>
      <diagonal/>
    </border>
    <border>
      <left style="thin">
        <color rgb="FF3A3935"/>
      </left>
      <right/>
      <top style="medium">
        <color rgb="FF3A3935"/>
      </top>
      <bottom/>
      <diagonal/>
    </border>
    <border>
      <left style="thin">
        <color rgb="FF4C4C4C"/>
      </left>
      <right style="thin">
        <color rgb="FF4C4C4C"/>
      </right>
      <top style="thin">
        <color rgb="FF4C4C4C"/>
      </top>
      <bottom style="medium">
        <color rgb="FF4C4C4C"/>
      </bottom>
      <diagonal/>
    </border>
    <border>
      <left/>
      <right/>
      <top style="medium">
        <color rgb="FF3A3935"/>
      </top>
      <bottom/>
      <diagonal/>
    </border>
    <border>
      <left style="thin">
        <color auto="1"/>
      </left>
      <right style="thin">
        <color auto="1"/>
      </right>
      <top/>
      <bottom style="thin">
        <color auto="1"/>
      </bottom>
      <diagonal/>
    </border>
    <border>
      <left style="thin">
        <color rgb="FF3A3935"/>
      </left>
      <right style="thin">
        <color rgb="FF3A3935"/>
      </right>
      <top/>
      <bottom/>
      <diagonal/>
    </border>
    <border>
      <left style="medium">
        <color rgb="FF3C3C3C"/>
      </left>
      <right style="thin">
        <color rgb="FF3A3935"/>
      </right>
      <top/>
      <bottom/>
      <diagonal/>
    </border>
    <border>
      <left/>
      <right style="thin">
        <color rgb="FF3C3C3C"/>
      </right>
      <top style="thin">
        <color rgb="FF3C3C3C"/>
      </top>
      <bottom style="thin">
        <color rgb="FF3C3C3C"/>
      </bottom>
      <diagonal/>
    </border>
    <border>
      <left/>
      <right/>
      <top style="thin">
        <color rgb="FF3C3C3C"/>
      </top>
      <bottom style="thin">
        <color rgb="FF3C3C3C"/>
      </bottom>
      <diagonal/>
    </border>
    <border>
      <left style="thin">
        <color auto="1"/>
      </left>
      <right style="thin">
        <color auto="1"/>
      </right>
      <top style="thin">
        <color auto="1"/>
      </top>
      <bottom/>
      <diagonal/>
    </border>
    <border>
      <left style="thin">
        <color auto="1"/>
      </left>
      <right/>
      <top style="thin">
        <color auto="1"/>
      </top>
      <bottom/>
      <diagonal/>
    </border>
    <border>
      <left style="thin">
        <color rgb="FF4C4C4C"/>
      </left>
      <right/>
      <top/>
      <bottom/>
      <diagonal/>
    </border>
    <border>
      <left style="thin">
        <color rgb="FF3A3935"/>
      </left>
      <right style="medium">
        <color rgb="FF3A3935"/>
      </right>
      <top style="thin">
        <color rgb="FF3A3935"/>
      </top>
      <bottom/>
      <diagonal/>
    </border>
    <border>
      <left/>
      <right/>
      <top style="thin">
        <color rgb="FF3A3935"/>
      </top>
      <bottom style="thin">
        <color rgb="FF3A3935"/>
      </bottom>
      <diagonal/>
    </border>
    <border>
      <left style="thin">
        <color rgb="FF3C3C3C"/>
      </left>
      <right/>
      <top style="thin">
        <color rgb="FF3C3C3C"/>
      </top>
      <bottom style="thin">
        <color rgb="FF3C3C3C"/>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medium">
        <color auto="1"/>
      </right>
      <top style="medium">
        <color auto="1"/>
      </top>
      <bottom style="thin">
        <color auto="1"/>
      </bottom>
      <diagonal/>
    </border>
    <border>
      <left/>
      <right style="thin">
        <color rgb="FF4C4C4C"/>
      </right>
      <top style="medium">
        <color rgb="FF4C4C4C"/>
      </top>
      <bottom style="thin">
        <color rgb="FF4C4C4C"/>
      </bottom>
      <diagonal/>
    </border>
    <border>
      <left/>
      <right style="thin">
        <color rgb="FF4C4C4C"/>
      </right>
      <top style="thin">
        <color rgb="FF4C4C4C"/>
      </top>
      <bottom style="medium">
        <color rgb="FF4C4C4C"/>
      </bottom>
      <diagonal/>
    </border>
    <border>
      <left style="medium">
        <color auto="1"/>
      </left>
      <right style="medium">
        <color auto="1"/>
      </right>
      <top style="medium">
        <color auto="1"/>
      </top>
      <bottom/>
      <diagonal/>
    </border>
    <border>
      <left style="medium">
        <color auto="1"/>
      </left>
      <right/>
      <top style="medium">
        <color auto="1"/>
      </top>
      <bottom style="thin">
        <color auto="1"/>
      </bottom>
      <diagonal/>
    </border>
    <border>
      <left style="thin">
        <color rgb="FF4C4C4C"/>
      </left>
      <right/>
      <top style="medium">
        <color rgb="FF4C4C4C"/>
      </top>
      <bottom style="thin">
        <color rgb="FF4C4C4C"/>
      </bottom>
      <diagonal/>
    </border>
    <border>
      <left style="thin">
        <color rgb="FF4C4C4C"/>
      </left>
      <right/>
      <top style="thin">
        <color rgb="FF4C4C4C"/>
      </top>
      <bottom style="medium">
        <color rgb="FF4C4C4C"/>
      </bottom>
      <diagonal/>
    </border>
    <border>
      <left style="thin">
        <color rgb="FF4C4C4C"/>
      </left>
      <right style="thin">
        <color rgb="FF4C4C4C"/>
      </right>
      <top style="medium">
        <color rgb="FF4C4C4C"/>
      </top>
      <bottom/>
      <diagonal/>
    </border>
    <border>
      <left/>
      <right style="medium">
        <color rgb="FF4C4C4C"/>
      </right>
      <top style="medium">
        <color rgb="FF4C4C4C"/>
      </top>
      <bottom style="thin">
        <color rgb="FF4C4C4C"/>
      </bottom>
      <diagonal/>
    </border>
    <border>
      <left/>
      <right/>
      <top style="thin">
        <color rgb="FF4C4C4C"/>
      </top>
      <bottom/>
      <diagonal/>
    </border>
    <border>
      <left style="thin">
        <color rgb="FF4C4C4C"/>
      </left>
      <right style="medium">
        <color rgb="FF4C4C4C"/>
      </right>
      <top style="thin">
        <color rgb="FF4C4C4C"/>
      </top>
      <bottom/>
      <diagonal/>
    </border>
    <border>
      <left style="thin">
        <color rgb="FF4C4C4C"/>
      </left>
      <right style="medium">
        <color rgb="FF4C4C4C"/>
      </right>
      <top style="medium">
        <color rgb="FF4C4C4C"/>
      </top>
      <bottom style="thin">
        <color rgb="FF4C4C4C"/>
      </bottom>
      <diagonal/>
    </border>
    <border>
      <left/>
      <right style="medium">
        <color rgb="FF4C4C4C"/>
      </right>
      <top style="thin">
        <color rgb="FF4C4C4C"/>
      </top>
      <bottom style="thin">
        <color rgb="FF4C4C4C"/>
      </bottom>
      <diagonal/>
    </border>
    <border>
      <left style="thin">
        <color rgb="FF4C4C4C"/>
      </left>
      <right style="medium">
        <color rgb="FF4C4C4C"/>
      </right>
      <top style="thin">
        <color rgb="FF4C4C4C"/>
      </top>
      <bottom style="thin">
        <color rgb="FF4C4C4C"/>
      </bottom>
      <diagonal/>
    </border>
    <border>
      <left style="thin">
        <color rgb="FF4C4C4C"/>
      </left>
      <right style="medium">
        <color rgb="FF4C4C4C"/>
      </right>
      <top style="thin">
        <color rgb="FF4C4C4C"/>
      </top>
      <bottom style="medium">
        <color rgb="FF4C4C4C"/>
      </bottom>
      <diagonal/>
    </border>
    <border>
      <left/>
      <right style="medium">
        <color rgb="FF4C4C4C"/>
      </right>
      <top style="medium">
        <color rgb="FF4C4C4C"/>
      </top>
      <bottom style="medium">
        <color rgb="FF4C4C4C"/>
      </bottom>
      <diagonal/>
    </border>
    <border>
      <left style="medium">
        <color rgb="FF4C4C4C"/>
      </left>
      <right style="medium">
        <color rgb="FF4C4C4C"/>
      </right>
      <top style="medium">
        <color rgb="FF4C4C4C"/>
      </top>
      <bottom style="medium">
        <color rgb="FF4C4C4C"/>
      </bottom>
      <diagonal/>
    </border>
    <border>
      <left style="medium">
        <color rgb="FF4C4C4C"/>
      </left>
      <right style="medium">
        <color rgb="FF4C4C4C"/>
      </right>
      <top/>
      <bottom/>
      <diagonal/>
    </border>
    <border>
      <left/>
      <right/>
      <top style="medium">
        <color rgb="FF4C4C4C"/>
      </top>
      <bottom style="medium">
        <color rgb="FF4C4C4C"/>
      </bottom>
      <diagonal/>
    </border>
    <border>
      <left style="medium">
        <color rgb="FF4C4C4C"/>
      </left>
      <right style="thin">
        <color rgb="FF4C4C4C"/>
      </right>
      <top/>
      <bottom/>
      <diagonal/>
    </border>
    <border>
      <left style="thin">
        <color rgb="FF4C4C4C"/>
      </left>
      <right style="medium">
        <color rgb="FF4C4C4C"/>
      </right>
      <top/>
      <bottom/>
      <diagonal/>
    </border>
    <border>
      <left style="medium">
        <color rgb="FF4C4C4C"/>
      </left>
      <right style="thin">
        <color rgb="FF4C4C4C"/>
      </right>
      <top style="medium">
        <color rgb="FF4C4C4C"/>
      </top>
      <bottom/>
      <diagonal/>
    </border>
    <border>
      <left style="thin">
        <color rgb="FF4C4C4C"/>
      </left>
      <right style="medium">
        <color rgb="FF4C4C4C"/>
      </right>
      <top style="medium">
        <color rgb="FF4C4C4C"/>
      </top>
      <bottom/>
      <diagonal/>
    </border>
    <border>
      <left/>
      <right/>
      <top style="medium">
        <color rgb="FF4C4C4C"/>
      </top>
      <bottom/>
      <diagonal/>
    </border>
    <border>
      <left/>
      <right style="thin">
        <color rgb="FF4C4C4C"/>
      </right>
      <top style="medium">
        <color rgb="FF4C4C4C"/>
      </top>
      <bottom/>
      <diagonal/>
    </border>
    <border>
      <left/>
      <right style="medium">
        <color rgb="FF4C4C4C"/>
      </right>
      <top style="medium">
        <color rgb="FF4C4C4C"/>
      </top>
      <bottom/>
      <diagonal/>
    </border>
    <border>
      <left style="medium">
        <color auto="1"/>
      </left>
      <right style="thin">
        <color rgb="FF4C4C4C"/>
      </right>
      <top style="medium">
        <color auto="1"/>
      </top>
      <bottom style="thin">
        <color rgb="FF4C4C4C"/>
      </bottom>
      <diagonal/>
    </border>
    <border>
      <left style="thin">
        <color rgb="FF4C4C4C"/>
      </left>
      <right style="medium">
        <color auto="1"/>
      </right>
      <top style="medium">
        <color auto="1"/>
      </top>
      <bottom style="thin">
        <color rgb="FF4C4C4C"/>
      </bottom>
      <diagonal/>
    </border>
    <border>
      <left style="thin">
        <color rgb="FF4C4C4C"/>
      </left>
      <right style="thin">
        <color rgb="FF4C4C4C"/>
      </right>
      <top style="medium">
        <color auto="1"/>
      </top>
      <bottom style="thin">
        <color rgb="FF4C4C4C"/>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style="thin">
        <color rgb="FF4C4C4C"/>
      </bottom>
      <diagonal/>
    </border>
    <border>
      <left/>
      <right style="thin">
        <color rgb="FF4C4C4C"/>
      </right>
      <top style="medium">
        <color auto="1"/>
      </top>
      <bottom style="thin">
        <color rgb="FF4C4C4C"/>
      </bottom>
      <diagonal/>
    </border>
    <border>
      <left style="medium">
        <color auto="1"/>
      </left>
      <right style="thin">
        <color rgb="FF4C4C4C"/>
      </right>
      <top style="thin">
        <color rgb="FF4C4C4C"/>
      </top>
      <bottom style="thin">
        <color rgb="FF4C4C4C"/>
      </bottom>
      <diagonal/>
    </border>
    <border>
      <left style="thin">
        <color rgb="FF4C4C4C"/>
      </left>
      <right style="medium">
        <color auto="1"/>
      </right>
      <top style="thin">
        <color rgb="FF4C4C4C"/>
      </top>
      <bottom style="thin">
        <color rgb="FF4C4C4C"/>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bottom style="thin">
        <color rgb="FF4C4C4C"/>
      </bottom>
      <diagonal/>
    </border>
    <border>
      <left style="thin">
        <color rgb="FF4C4C4C"/>
      </left>
      <right style="medium">
        <color auto="1"/>
      </right>
      <top/>
      <bottom style="thin">
        <color rgb="FF4C4C4C"/>
      </bottom>
      <diagonal/>
    </border>
    <border>
      <left style="medium">
        <color auto="1"/>
      </left>
      <right style="medium">
        <color auto="1"/>
      </right>
      <top style="thin">
        <color rgb="FF4C4C4C"/>
      </top>
      <bottom style="thin">
        <color rgb="FF4C4C4C"/>
      </bottom>
      <diagonal/>
    </border>
    <border>
      <left/>
      <right style="medium">
        <color auto="1"/>
      </right>
      <top style="thin">
        <color rgb="FF4C4C4C"/>
      </top>
      <bottom style="thin">
        <color rgb="FF4C4C4C"/>
      </bottom>
      <diagonal/>
    </border>
    <border>
      <left style="medium">
        <color auto="1"/>
      </left>
      <right style="medium">
        <color auto="1"/>
      </right>
      <top/>
      <bottom/>
      <diagonal/>
    </border>
    <border>
      <left style="medium">
        <color auto="1"/>
      </left>
      <right style="thin">
        <color rgb="FF4C4C4C"/>
      </right>
      <top style="thin">
        <color rgb="FF4C4C4C"/>
      </top>
      <bottom/>
      <diagonal/>
    </border>
    <border>
      <left style="thin">
        <color rgb="FF4C4C4C"/>
      </left>
      <right style="medium">
        <color auto="1"/>
      </right>
      <top style="thin">
        <color rgb="FF4C4C4C"/>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thin">
        <color rgb="FF4C4C4C"/>
      </right>
      <top/>
      <bottom/>
      <diagonal/>
    </border>
    <border>
      <left style="medium">
        <color auto="1"/>
      </left>
      <right style="medium">
        <color auto="1"/>
      </right>
      <top style="thin">
        <color rgb="FF4C4C4C"/>
      </top>
      <bottom/>
      <diagonal/>
    </border>
    <border>
      <left style="medium">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medium">
        <color auto="1"/>
      </right>
      <top/>
      <bottom style="thin">
        <color auto="1"/>
      </bottom>
      <diagonal/>
    </border>
    <border>
      <left/>
      <right style="thin">
        <color auto="1"/>
      </right>
      <top/>
      <bottom style="thin">
        <color auto="1"/>
      </bottom>
      <diagonal/>
    </border>
    <border>
      <left/>
      <right/>
      <top/>
      <bottom style="medium">
        <color rgb="FF3A3935"/>
      </bottom>
      <diagonal/>
    </border>
    <border>
      <left/>
      <right/>
      <top style="thin">
        <color rgb="FF3A3935"/>
      </top>
      <bottom style="medium">
        <color rgb="FF3A3935"/>
      </bottom>
      <diagonal/>
    </border>
    <border>
      <left style="medium">
        <color rgb="FF3A3935"/>
      </left>
      <right/>
      <top style="medium">
        <color rgb="FF3A3935"/>
      </top>
      <bottom style="medium">
        <color rgb="FF3A3935"/>
      </bottom>
      <diagonal/>
    </border>
    <border>
      <left/>
      <right/>
      <top style="medium">
        <color rgb="FF3A3935"/>
      </top>
      <bottom style="medium">
        <color rgb="FF3A3935"/>
      </bottom>
      <diagonal/>
    </border>
    <border>
      <left style="medium">
        <color rgb="FF3A3935"/>
      </left>
      <right style="thin">
        <color rgb="FF3A3935"/>
      </right>
      <top/>
      <bottom style="thin">
        <color rgb="FF3A3935"/>
      </bottom>
      <diagonal/>
    </border>
    <border>
      <left style="thin">
        <color rgb="FF3A3935"/>
      </left>
      <right style="thin">
        <color rgb="FF3A3935"/>
      </right>
      <top style="medium">
        <color rgb="FF3A3935"/>
      </top>
      <bottom/>
      <diagonal/>
    </border>
    <border>
      <left style="thin">
        <color rgb="FF3A3935"/>
      </left>
      <right/>
      <top style="medium">
        <color rgb="FF3A3935"/>
      </top>
      <bottom style="thin">
        <color rgb="FF3A3935"/>
      </bottom>
      <diagonal/>
    </border>
    <border>
      <left style="thin">
        <color rgb="FF3A3935"/>
      </left>
      <right style="hair">
        <color rgb="FF3A3935"/>
      </right>
      <top style="hair">
        <color rgb="FF3A3935"/>
      </top>
      <bottom/>
      <diagonal/>
    </border>
    <border>
      <left style="thin">
        <color rgb="FF3A3935"/>
      </left>
      <right style="hair">
        <color rgb="FF3A3935"/>
      </right>
      <top style="hair">
        <color rgb="FF3A3935"/>
      </top>
      <bottom style="hair">
        <color rgb="FF3A3935"/>
      </bottom>
      <diagonal/>
    </border>
    <border>
      <left style="hair">
        <color rgb="FF3A3935"/>
      </left>
      <right style="thin">
        <color rgb="FF3A3935"/>
      </right>
      <top style="hair">
        <color rgb="FF3A3935"/>
      </top>
      <bottom style="hair">
        <color rgb="FF3A3935"/>
      </bottom>
      <diagonal/>
    </border>
    <border>
      <left style="thin">
        <color rgb="FF3A3935"/>
      </left>
      <right style="hair">
        <color rgb="FF3A3935"/>
      </right>
      <top/>
      <bottom style="hair">
        <color rgb="FF3A3935"/>
      </bottom>
      <diagonal/>
    </border>
    <border>
      <left style="thin">
        <color rgb="FF3A3935"/>
      </left>
      <right style="hair">
        <color rgb="FF3A3935"/>
      </right>
      <top/>
      <bottom style="thin">
        <color rgb="FF3A3935"/>
      </bottom>
      <diagonal/>
    </border>
    <border>
      <left style="hair">
        <color rgb="FF3A3935"/>
      </left>
      <right style="thin">
        <color rgb="FF3A3935"/>
      </right>
      <top/>
      <bottom style="hair">
        <color rgb="FF3A3935"/>
      </bottom>
      <diagonal/>
    </border>
    <border>
      <left style="medium">
        <color rgb="FF3C3C3C"/>
      </left>
      <right style="medium">
        <color rgb="FF3C3C3C"/>
      </right>
      <top style="medium">
        <color rgb="FF3C3C3C"/>
      </top>
      <bottom style="medium">
        <color rgb="FF3C3C3C"/>
      </bottom>
      <diagonal/>
    </border>
    <border>
      <left/>
      <right style="medium">
        <color rgb="FF3C3C3C"/>
      </right>
      <top style="medium">
        <color rgb="FF3C3C3C"/>
      </top>
      <bottom style="medium">
        <color rgb="FF3C3C3C"/>
      </bottom>
      <diagonal/>
    </border>
    <border>
      <left style="medium">
        <color rgb="FF3C3C3C"/>
      </left>
      <right style="medium">
        <color rgb="FF3C3C3C"/>
      </right>
      <top/>
      <bottom style="medium">
        <color rgb="FF3C3C3C"/>
      </bottom>
      <diagonal/>
    </border>
    <border>
      <left/>
      <right style="medium">
        <color rgb="FF3C3C3C"/>
      </right>
      <top/>
      <bottom style="medium">
        <color rgb="FF3C3C3C"/>
      </bottom>
      <diagonal/>
    </border>
    <border>
      <left style="medium">
        <color rgb="FF3C3C3C"/>
      </left>
      <right style="thin">
        <color rgb="FF3C3C3C"/>
      </right>
      <top style="medium">
        <color rgb="FF3C3C3C"/>
      </top>
      <bottom style="thin">
        <color rgb="FF3C3C3C"/>
      </bottom>
      <diagonal/>
    </border>
    <border>
      <left style="thin">
        <color rgb="FF3C3C3C"/>
      </left>
      <right style="thin">
        <color rgb="FF3C3C3C"/>
      </right>
      <top style="medium">
        <color rgb="FF3C3C3C"/>
      </top>
      <bottom style="thin">
        <color rgb="FF3C3C3C"/>
      </bottom>
      <diagonal/>
    </border>
    <border>
      <left style="thin">
        <color rgb="FF3C3C3C"/>
      </left>
      <right style="medium">
        <color rgb="FF3C3C3C"/>
      </right>
      <top style="medium">
        <color rgb="FF3C3C3C"/>
      </top>
      <bottom style="thin">
        <color rgb="FF3C3C3C"/>
      </bottom>
      <diagonal/>
    </border>
    <border>
      <left style="medium">
        <color rgb="FF3C3C3C"/>
      </left>
      <right style="thin">
        <color rgb="FF3C3C3C"/>
      </right>
      <top style="thin">
        <color rgb="FF3C3C3C"/>
      </top>
      <bottom style="thin">
        <color rgb="FF3C3C3C"/>
      </bottom>
      <diagonal/>
    </border>
    <border>
      <left style="thin">
        <color rgb="FF3C3C3C"/>
      </left>
      <right style="medium">
        <color rgb="FF3C3C3C"/>
      </right>
      <top style="thin">
        <color rgb="FF3C3C3C"/>
      </top>
      <bottom style="thin">
        <color rgb="FF3C3C3C"/>
      </bottom>
      <diagonal/>
    </border>
    <border>
      <left style="medium">
        <color rgb="FF3C3C3C"/>
      </left>
      <right style="thin">
        <color rgb="FF3C3C3C"/>
      </right>
      <top style="thin">
        <color rgb="FF3C3C3C"/>
      </top>
      <bottom style="medium">
        <color rgb="FF3C3C3C"/>
      </bottom>
      <diagonal/>
    </border>
    <border>
      <left style="thin">
        <color rgb="FF3C3C3C"/>
      </left>
      <right style="thin">
        <color rgb="FF3C3C3C"/>
      </right>
      <top style="thin">
        <color rgb="FF3C3C3C"/>
      </top>
      <bottom style="medium">
        <color rgb="FF3C3C3C"/>
      </bottom>
      <diagonal/>
    </border>
    <border>
      <left style="thin">
        <color rgb="FF3C3C3C"/>
      </left>
      <right style="medium">
        <color rgb="FF3C3C3C"/>
      </right>
      <top style="thin">
        <color rgb="FF3C3C3C"/>
      </top>
      <bottom style="medium">
        <color rgb="FF3C3C3C"/>
      </bottom>
      <diagonal/>
    </border>
    <border>
      <left style="medium">
        <color rgb="FF3C3C3C"/>
      </left>
      <right/>
      <top/>
      <bottom/>
      <diagonal/>
    </border>
    <border>
      <left style="thin">
        <color rgb="FF3A3935"/>
      </left>
      <right/>
      <top/>
      <bottom style="medium">
        <color rgb="FF3A3935"/>
      </bottom>
      <diagonal/>
    </border>
    <border>
      <left style="thin">
        <color rgb="FF3A3935"/>
      </left>
      <right style="thin">
        <color rgb="FF3A3935"/>
      </right>
      <top style="medium">
        <color rgb="FF3A3935"/>
      </top>
      <bottom style="thin">
        <color rgb="FF3A3935"/>
      </bottom>
      <diagonal/>
    </border>
    <border>
      <left/>
      <right style="thin">
        <color rgb="FF3A3935"/>
      </right>
      <top style="medium">
        <color rgb="FF3A3935"/>
      </top>
      <bottom style="thin">
        <color rgb="FF3A3935"/>
      </bottom>
      <diagonal/>
    </border>
    <border>
      <left/>
      <right/>
      <top style="thin">
        <color rgb="FF3A3935"/>
      </top>
      <bottom/>
      <diagonal/>
    </border>
    <border>
      <left style="thin">
        <color rgb="FF3A3935"/>
      </left>
      <right style="hair">
        <color rgb="FF3A3935"/>
      </right>
      <top style="thin">
        <color rgb="FF3A3935"/>
      </top>
      <bottom style="thin">
        <color rgb="FF3A3935"/>
      </bottom>
      <diagonal/>
    </border>
    <border>
      <left/>
      <right/>
      <top/>
      <bottom style="thin">
        <color rgb="FF3A3935"/>
      </bottom>
      <diagonal/>
    </border>
    <border>
      <left style="medium">
        <color auto="1"/>
      </left>
      <right/>
      <top style="medium">
        <color rgb="FF4C4C4C"/>
      </top>
      <bottom style="thin">
        <color auto="1"/>
      </bottom>
      <diagonal/>
    </border>
    <border>
      <left style="thin">
        <color auto="1"/>
      </left>
      <right/>
      <top/>
      <bottom/>
      <diagonal/>
    </border>
    <border>
      <left/>
      <right style="thin">
        <color auto="1"/>
      </right>
      <top/>
      <bottom/>
      <diagonal/>
    </border>
    <border>
      <left/>
      <right/>
      <top style="thin">
        <color auto="1"/>
      </top>
      <bottom style="thin">
        <color auto="1"/>
      </bottom>
      <diagonal/>
    </border>
    <border>
      <left style="thin">
        <color rgb="FF4C4C4C"/>
      </left>
      <right/>
      <top style="medium">
        <color auto="1"/>
      </top>
      <bottom style="thin">
        <color rgb="FF4C4C4C"/>
      </bottom>
      <diagonal/>
    </border>
    <border>
      <left style="medium">
        <color auto="1"/>
      </left>
      <right/>
      <top/>
      <bottom style="thin">
        <color rgb="FF4C4C4C"/>
      </bottom>
      <diagonal/>
    </border>
    <border>
      <left/>
      <right/>
      <top style="medium">
        <color rgb="FF4C4C4C"/>
      </top>
      <bottom style="thin">
        <color rgb="FF4C4C4C"/>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bottom style="medium">
        <color auto="1"/>
      </bottom>
      <diagonal/>
    </border>
  </borders>
  <cellStyleXfs count="8">
    <xf numFmtId="0" fontId="0" fillId="0" borderId="0"/>
    <xf numFmtId="0" fontId="6" fillId="0" borderId="0" applyNumberFormat="0" applyFill="0" applyBorder="0" applyAlignment="0" applyProtection="0"/>
    <xf numFmtId="0" fontId="5" fillId="0" borderId="0" applyBorder="0" applyProtection="0"/>
    <xf numFmtId="0" fontId="63" fillId="0" borderId="0"/>
    <xf numFmtId="0" fontId="1" fillId="0" borderId="0">
      <alignment horizontal="center"/>
    </xf>
    <xf numFmtId="0" fontId="29" fillId="2" borderId="0" applyBorder="0" applyProtection="0"/>
    <xf numFmtId="0" fontId="34" fillId="3" borderId="1" applyProtection="0"/>
    <xf numFmtId="0" fontId="69" fillId="27" borderId="0" applyNumberFormat="0" applyBorder="0" applyAlignment="0" applyProtection="0"/>
  </cellStyleXfs>
  <cellXfs count="1036">
    <xf numFmtId="0" fontId="0" fillId="0" borderId="0" xfId="0"/>
    <xf numFmtId="0" fontId="10" fillId="7" borderId="3" xfId="0" applyFont="1" applyFill="1" applyBorder="1" applyAlignment="1">
      <alignment horizontal="center" vertical="center" wrapText="1"/>
    </xf>
    <xf numFmtId="0" fontId="10" fillId="4" borderId="5" xfId="2" applyFont="1" applyFill="1" applyBorder="1" applyAlignment="1" applyProtection="1">
      <alignment horizontal="center" wrapText="1"/>
    </xf>
    <xf numFmtId="0" fontId="3" fillId="0" borderId="0" xfId="0" applyFont="1"/>
    <xf numFmtId="0" fontId="3" fillId="0" borderId="2" xfId="0" applyFont="1" applyBorder="1" applyAlignment="1">
      <alignment wrapText="1"/>
    </xf>
    <xf numFmtId="0" fontId="3" fillId="0" borderId="2" xfId="0" applyFont="1" applyBorder="1"/>
    <xf numFmtId="0" fontId="4" fillId="0" borderId="2" xfId="2" applyFont="1" applyBorder="1" applyAlignment="1" applyProtection="1">
      <alignment horizontal="center"/>
    </xf>
    <xf numFmtId="0" fontId="6" fillId="4" borderId="2" xfId="0" applyFont="1" applyFill="1" applyBorder="1" applyAlignment="1">
      <alignment horizontal="left" wrapText="1"/>
    </xf>
    <xf numFmtId="0" fontId="6" fillId="4" borderId="2" xfId="0" applyFont="1" applyFill="1" applyBorder="1"/>
    <xf numFmtId="0" fontId="6" fillId="0" borderId="0" xfId="0" applyFont="1"/>
    <xf numFmtId="0" fontId="0" fillId="0" borderId="2" xfId="0" applyBorder="1"/>
    <xf numFmtId="0" fontId="0" fillId="0" borderId="2" xfId="0" applyBorder="1" applyAlignment="1">
      <alignment wrapText="1"/>
    </xf>
    <xf numFmtId="0" fontId="5" fillId="0" borderId="0" xfId="2" applyBorder="1" applyProtection="1"/>
    <xf numFmtId="0" fontId="6" fillId="4" borderId="2" xfId="0" applyFont="1" applyFill="1" applyBorder="1" applyAlignment="1">
      <alignment horizontal="left"/>
    </xf>
    <xf numFmtId="0" fontId="6" fillId="0" borderId="2" xfId="0" applyFont="1" applyBorder="1" applyAlignment="1">
      <alignment horizontal="left"/>
    </xf>
    <xf numFmtId="0" fontId="0" fillId="0" borderId="0" xfId="0" applyAlignment="1">
      <alignment horizontal="center"/>
    </xf>
    <xf numFmtId="0" fontId="7" fillId="0" borderId="0" xfId="0" applyFont="1" applyAlignment="1">
      <alignment horizontal="left" vertical="top"/>
    </xf>
    <xf numFmtId="0" fontId="7" fillId="0" borderId="0" xfId="0" applyFont="1" applyAlignment="1">
      <alignment horizontal="center" vertical="top"/>
    </xf>
    <xf numFmtId="0" fontId="8" fillId="0" borderId="0" xfId="0" applyFont="1" applyAlignment="1">
      <alignment vertical="center"/>
    </xf>
    <xf numFmtId="0" fontId="8" fillId="0" borderId="0" xfId="0" applyFont="1" applyAlignment="1">
      <alignment horizontal="center" vertical="center"/>
    </xf>
    <xf numFmtId="0" fontId="9" fillId="4" borderId="0" xfId="0" applyFont="1" applyFill="1"/>
    <xf numFmtId="0" fontId="9" fillId="5" borderId="0" xfId="0" applyFont="1" applyFill="1"/>
    <xf numFmtId="0" fontId="9" fillId="6" borderId="0" xfId="0" applyFont="1" applyFill="1" applyAlignment="1">
      <alignment horizontal="center"/>
    </xf>
    <xf numFmtId="0" fontId="10" fillId="4" borderId="5" xfId="0" applyFont="1" applyFill="1" applyBorder="1" applyAlignment="1">
      <alignment horizontal="center" wrapText="1"/>
    </xf>
    <xf numFmtId="0" fontId="10" fillId="9" borderId="7" xfId="0" applyFont="1" applyFill="1" applyBorder="1" applyAlignment="1">
      <alignment horizontal="center" wrapText="1"/>
    </xf>
    <xf numFmtId="0" fontId="10" fillId="9" borderId="8" xfId="0" applyFont="1" applyFill="1" applyBorder="1" applyAlignment="1">
      <alignment horizontal="center" wrapText="1"/>
    </xf>
    <xf numFmtId="0" fontId="10" fillId="9" borderId="5" xfId="0" applyFont="1" applyFill="1" applyBorder="1" applyAlignment="1">
      <alignment horizontal="center" wrapText="1"/>
    </xf>
    <xf numFmtId="0" fontId="12" fillId="7" borderId="2" xfId="0" applyFont="1" applyFill="1" applyBorder="1" applyAlignment="1">
      <alignment horizontal="center" wrapText="1"/>
    </xf>
    <xf numFmtId="0" fontId="13" fillId="7" borderId="9" xfId="2" applyFont="1" applyFill="1" applyBorder="1" applyAlignment="1" applyProtection="1">
      <alignment horizontal="center" wrapText="1"/>
    </xf>
    <xf numFmtId="0" fontId="13" fillId="7" borderId="2" xfId="2" applyFont="1" applyFill="1" applyBorder="1" applyAlignment="1" applyProtection="1">
      <alignment horizontal="center" wrapText="1"/>
    </xf>
    <xf numFmtId="0" fontId="14" fillId="0" borderId="0" xfId="0" applyFont="1" applyAlignment="1">
      <alignment wrapText="1"/>
    </xf>
    <xf numFmtId="0" fontId="12" fillId="4" borderId="5" xfId="0" applyFont="1" applyFill="1" applyBorder="1" applyAlignment="1">
      <alignment horizontal="center" wrapText="1"/>
    </xf>
    <xf numFmtId="0" fontId="12" fillId="9" borderId="7" xfId="0" applyFont="1" applyFill="1" applyBorder="1" applyAlignment="1">
      <alignment horizontal="center" wrapText="1"/>
    </xf>
    <xf numFmtId="0" fontId="12" fillId="9" borderId="5" xfId="0" applyFont="1" applyFill="1" applyBorder="1" applyAlignment="1">
      <alignment horizontal="center" wrapText="1"/>
    </xf>
    <xf numFmtId="0" fontId="12" fillId="9" borderId="5" xfId="2" applyFont="1" applyFill="1" applyBorder="1" applyAlignment="1" applyProtection="1">
      <alignment horizontal="center" wrapText="1"/>
    </xf>
    <xf numFmtId="0" fontId="12" fillId="10" borderId="5" xfId="2" applyFont="1" applyFill="1" applyBorder="1" applyAlignment="1" applyProtection="1">
      <alignment horizontal="center" wrapText="1"/>
    </xf>
    <xf numFmtId="0" fontId="12" fillId="4" borderId="5" xfId="2" applyFont="1" applyFill="1" applyBorder="1" applyAlignment="1" applyProtection="1">
      <alignment horizontal="center" wrapText="1"/>
    </xf>
    <xf numFmtId="0" fontId="12" fillId="9" borderId="8" xfId="0" applyFont="1" applyFill="1" applyBorder="1" applyAlignment="1">
      <alignment horizontal="center" wrapText="1"/>
    </xf>
    <xf numFmtId="0" fontId="15" fillId="9" borderId="5" xfId="0" applyFont="1" applyFill="1" applyBorder="1" applyAlignment="1">
      <alignment horizontal="center" wrapText="1"/>
    </xf>
    <xf numFmtId="0" fontId="5" fillId="0" borderId="10" xfId="2" applyBorder="1" applyProtection="1"/>
    <xf numFmtId="49" fontId="14" fillId="0" borderId="11" xfId="2" applyNumberFormat="1" applyFont="1" applyBorder="1" applyAlignment="1" applyProtection="1">
      <alignment horizontal="center"/>
    </xf>
    <xf numFmtId="0" fontId="14" fillId="0" borderId="11" xfId="2" applyFont="1" applyBorder="1" applyAlignment="1" applyProtection="1">
      <alignment horizontal="center"/>
    </xf>
    <xf numFmtId="0" fontId="5" fillId="8" borderId="10" xfId="2" applyFill="1" applyBorder="1" applyAlignment="1" applyProtection="1">
      <alignment horizontal="center"/>
    </xf>
    <xf numFmtId="0" fontId="16" fillId="0" borderId="10" xfId="2" applyFont="1" applyBorder="1" applyAlignment="1" applyProtection="1">
      <alignment horizontal="center" vertical="top"/>
    </xf>
    <xf numFmtId="0" fontId="16" fillId="0" borderId="13" xfId="2" applyFont="1" applyBorder="1" applyAlignment="1" applyProtection="1">
      <alignment horizontal="center" vertical="top"/>
    </xf>
    <xf numFmtId="0" fontId="16" fillId="5" borderId="2" xfId="2" applyFont="1" applyFill="1" applyBorder="1" applyAlignment="1" applyProtection="1">
      <alignment horizontal="center" vertical="top"/>
    </xf>
    <xf numFmtId="0" fontId="16" fillId="0" borderId="2" xfId="2" applyFont="1" applyBorder="1" applyAlignment="1" applyProtection="1">
      <alignment horizontal="center" vertical="top"/>
    </xf>
    <xf numFmtId="0" fontId="16" fillId="0" borderId="14" xfId="2" applyFont="1" applyBorder="1" applyAlignment="1" applyProtection="1">
      <alignment horizontal="center" vertical="top"/>
    </xf>
    <xf numFmtId="0" fontId="18" fillId="12" borderId="15" xfId="2" applyFont="1" applyFill="1" applyBorder="1" applyAlignment="1" applyProtection="1">
      <alignment horizontal="center" vertical="center"/>
    </xf>
    <xf numFmtId="0" fontId="16" fillId="0" borderId="16" xfId="2" applyFont="1" applyBorder="1" applyAlignment="1" applyProtection="1">
      <alignment horizontal="center" vertical="top"/>
    </xf>
    <xf numFmtId="0" fontId="16" fillId="0" borderId="17" xfId="2" applyFont="1" applyBorder="1" applyAlignment="1" applyProtection="1">
      <alignment horizontal="center" vertical="top"/>
    </xf>
    <xf numFmtId="0" fontId="16" fillId="6" borderId="2" xfId="2" applyFont="1" applyFill="1" applyBorder="1" applyAlignment="1" applyProtection="1">
      <alignment horizontal="center" vertical="top"/>
    </xf>
    <xf numFmtId="0" fontId="0" fillId="12" borderId="2" xfId="0" applyFill="1" applyBorder="1" applyAlignment="1">
      <alignment horizontal="center"/>
    </xf>
    <xf numFmtId="0" fontId="14" fillId="12" borderId="2" xfId="2" applyFont="1" applyFill="1" applyBorder="1" applyAlignment="1" applyProtection="1">
      <alignment horizontal="center" vertical="top"/>
    </xf>
    <xf numFmtId="0" fontId="14" fillId="0" borderId="18" xfId="2" applyFont="1" applyBorder="1" applyAlignment="1" applyProtection="1">
      <alignment horizontal="center" vertical="top"/>
    </xf>
    <xf numFmtId="0" fontId="14" fillId="0" borderId="19" xfId="2" applyFont="1" applyBorder="1" applyAlignment="1" applyProtection="1">
      <alignment horizontal="center" vertical="top"/>
    </xf>
    <xf numFmtId="0" fontId="5" fillId="0" borderId="19" xfId="2" applyBorder="1" applyAlignment="1" applyProtection="1">
      <alignment horizontal="center" vertical="top"/>
    </xf>
    <xf numFmtId="0" fontId="16" fillId="6" borderId="19" xfId="2" applyFont="1" applyFill="1" applyBorder="1" applyAlignment="1" applyProtection="1">
      <alignment horizontal="center"/>
    </xf>
    <xf numFmtId="0" fontId="5" fillId="0" borderId="2" xfId="2" applyBorder="1" applyProtection="1"/>
    <xf numFmtId="0" fontId="14" fillId="0" borderId="9" xfId="2" applyFont="1" applyBorder="1" applyAlignment="1" applyProtection="1">
      <alignment horizontal="center"/>
    </xf>
    <xf numFmtId="0" fontId="16" fillId="0" borderId="20" xfId="2" applyFont="1" applyBorder="1" applyAlignment="1" applyProtection="1">
      <alignment horizontal="center" vertical="top"/>
    </xf>
    <xf numFmtId="0" fontId="17" fillId="11" borderId="21" xfId="2" applyFont="1" applyFill="1" applyBorder="1" applyAlignment="1" applyProtection="1">
      <alignment horizontal="center" vertical="top"/>
    </xf>
    <xf numFmtId="0" fontId="16" fillId="0" borderId="22" xfId="2" applyFont="1" applyBorder="1" applyAlignment="1" applyProtection="1">
      <alignment horizontal="center" vertical="top"/>
    </xf>
    <xf numFmtId="0" fontId="16" fillId="5" borderId="2" xfId="2" applyFont="1" applyFill="1" applyBorder="1" applyAlignment="1" applyProtection="1">
      <alignment horizontal="center"/>
    </xf>
    <xf numFmtId="0" fontId="16" fillId="0" borderId="23" xfId="2" applyFont="1" applyBorder="1" applyAlignment="1" applyProtection="1">
      <alignment horizontal="center" vertical="top"/>
    </xf>
    <xf numFmtId="0" fontId="18" fillId="12" borderId="1" xfId="2" applyFont="1" applyFill="1" applyBorder="1" applyAlignment="1" applyProtection="1">
      <alignment horizontal="center" vertical="center"/>
    </xf>
    <xf numFmtId="0" fontId="16" fillId="0" borderId="24" xfId="2" applyFont="1" applyBorder="1" applyAlignment="1" applyProtection="1">
      <alignment horizontal="center"/>
    </xf>
    <xf numFmtId="0" fontId="16" fillId="0" borderId="25" xfId="2" applyFont="1" applyBorder="1" applyAlignment="1" applyProtection="1">
      <alignment horizontal="center" vertical="top"/>
    </xf>
    <xf numFmtId="0" fontId="16" fillId="6" borderId="2" xfId="2" applyFont="1" applyFill="1" applyBorder="1" applyAlignment="1" applyProtection="1">
      <alignment horizontal="center"/>
    </xf>
    <xf numFmtId="0" fontId="14" fillId="0" borderId="23" xfId="2" applyFont="1" applyBorder="1" applyAlignment="1" applyProtection="1">
      <alignment horizontal="center" vertical="top"/>
    </xf>
    <xf numFmtId="0" fontId="14" fillId="0" borderId="12" xfId="2" applyFont="1" applyBorder="1" applyAlignment="1" applyProtection="1">
      <alignment horizontal="center" vertical="top"/>
    </xf>
    <xf numFmtId="0" fontId="5" fillId="0" borderId="12" xfId="2" applyBorder="1" applyAlignment="1" applyProtection="1">
      <alignment horizontal="center" vertical="top"/>
    </xf>
    <xf numFmtId="0" fontId="16" fillId="6" borderId="12" xfId="2" applyFont="1" applyFill="1" applyBorder="1" applyAlignment="1" applyProtection="1">
      <alignment horizontal="center"/>
    </xf>
    <xf numFmtId="0" fontId="5" fillId="0" borderId="5" xfId="2" applyBorder="1" applyAlignment="1" applyProtection="1">
      <alignment horizontal="center" vertical="top" wrapText="1"/>
    </xf>
    <xf numFmtId="0" fontId="17" fillId="11" borderId="12" xfId="2" applyFont="1" applyFill="1" applyBorder="1" applyAlignment="1" applyProtection="1">
      <alignment horizontal="center" vertical="top"/>
    </xf>
    <xf numFmtId="0" fontId="16" fillId="0" borderId="20" xfId="2" applyFont="1" applyBorder="1" applyAlignment="1" applyProtection="1">
      <alignment horizontal="center" vertical="top" wrapText="1"/>
    </xf>
    <xf numFmtId="0" fontId="16" fillId="0" borderId="26" xfId="2" applyFont="1" applyBorder="1" applyAlignment="1" applyProtection="1">
      <alignment horizontal="center" vertical="top"/>
    </xf>
    <xf numFmtId="0" fontId="16" fillId="0" borderId="27" xfId="2" applyFont="1" applyBorder="1" applyAlignment="1" applyProtection="1">
      <alignment horizontal="center"/>
    </xf>
    <xf numFmtId="0" fontId="14" fillId="0" borderId="26" xfId="2" applyFont="1" applyBorder="1" applyAlignment="1" applyProtection="1">
      <alignment horizontal="center" vertical="top"/>
    </xf>
    <xf numFmtId="0" fontId="14" fillId="0" borderId="21" xfId="2" applyFont="1" applyBorder="1" applyAlignment="1" applyProtection="1">
      <alignment horizontal="center" vertical="top"/>
    </xf>
    <xf numFmtId="0" fontId="16" fillId="0" borderId="5" xfId="2" applyFont="1" applyBorder="1" applyAlignment="1" applyProtection="1">
      <alignment horizontal="center" vertical="top" wrapText="1"/>
    </xf>
    <xf numFmtId="0" fontId="17" fillId="11" borderId="19" xfId="2" applyFont="1" applyFill="1" applyBorder="1" applyAlignment="1" applyProtection="1">
      <alignment horizontal="center" vertical="top"/>
    </xf>
    <xf numFmtId="0" fontId="16" fillId="0" borderId="27" xfId="2" applyFont="1" applyBorder="1" applyAlignment="1" applyProtection="1">
      <alignment horizontal="center" vertical="top"/>
    </xf>
    <xf numFmtId="0" fontId="0" fillId="12" borderId="2" xfId="0" applyFill="1" applyBorder="1" applyAlignment="1">
      <alignment horizontal="center" vertical="top"/>
    </xf>
    <xf numFmtId="0" fontId="5" fillId="0" borderId="12" xfId="2" applyBorder="1" applyAlignment="1" applyProtection="1">
      <alignment horizontal="center"/>
    </xf>
    <xf numFmtId="0" fontId="16" fillId="6" borderId="12" xfId="2" applyFont="1" applyFill="1" applyBorder="1" applyAlignment="1" applyProtection="1">
      <alignment horizontal="center" vertical="top"/>
    </xf>
    <xf numFmtId="0" fontId="5" fillId="0" borderId="20" xfId="2" applyBorder="1" applyProtection="1"/>
    <xf numFmtId="0" fontId="14" fillId="0" borderId="28" xfId="2" applyFont="1" applyBorder="1" applyAlignment="1" applyProtection="1">
      <alignment horizontal="center"/>
    </xf>
    <xf numFmtId="0" fontId="5" fillId="8" borderId="29" xfId="2" applyFill="1" applyBorder="1" applyAlignment="1" applyProtection="1">
      <alignment horizontal="center"/>
    </xf>
    <xf numFmtId="0" fontId="16" fillId="0" borderId="30" xfId="2" applyFont="1" applyBorder="1" applyAlignment="1" applyProtection="1">
      <alignment horizontal="center" vertical="top"/>
    </xf>
    <xf numFmtId="0" fontId="16" fillId="5" borderId="20" xfId="2" applyFont="1" applyFill="1" applyBorder="1" applyAlignment="1" applyProtection="1">
      <alignment horizontal="center" vertical="top"/>
    </xf>
    <xf numFmtId="0" fontId="18" fillId="12" borderId="31" xfId="2" applyFont="1" applyFill="1" applyBorder="1" applyAlignment="1" applyProtection="1">
      <alignment horizontal="center" vertical="center"/>
    </xf>
    <xf numFmtId="0" fontId="16" fillId="6" borderId="20" xfId="2" applyFont="1" applyFill="1" applyBorder="1" applyAlignment="1" applyProtection="1">
      <alignment horizontal="center" vertical="top"/>
    </xf>
    <xf numFmtId="0" fontId="0" fillId="12" borderId="20" xfId="0" applyFill="1" applyBorder="1" applyAlignment="1">
      <alignment horizontal="center"/>
    </xf>
    <xf numFmtId="0" fontId="14" fillId="12" borderId="20" xfId="2" applyFont="1" applyFill="1" applyBorder="1" applyAlignment="1" applyProtection="1">
      <alignment horizontal="center" vertical="top"/>
    </xf>
    <xf numFmtId="0" fontId="0" fillId="12" borderId="20" xfId="0" applyFill="1" applyBorder="1" applyAlignment="1">
      <alignment horizontal="center" vertical="top"/>
    </xf>
    <xf numFmtId="0" fontId="5" fillId="0" borderId="21" xfId="2" applyBorder="1" applyAlignment="1" applyProtection="1">
      <alignment horizontal="center"/>
    </xf>
    <xf numFmtId="0" fontId="16" fillId="6" borderId="21" xfId="2" applyFont="1" applyFill="1" applyBorder="1" applyAlignment="1" applyProtection="1">
      <alignment horizontal="center" vertical="top"/>
    </xf>
    <xf numFmtId="0" fontId="6" fillId="13" borderId="5" xfId="0" applyFont="1" applyFill="1" applyBorder="1"/>
    <xf numFmtId="0" fontId="19" fillId="13" borderId="5" xfId="0" applyFont="1" applyFill="1" applyBorder="1" applyAlignment="1">
      <alignment horizontal="center"/>
    </xf>
    <xf numFmtId="0" fontId="5" fillId="8" borderId="5" xfId="2" applyFill="1" applyBorder="1" applyAlignment="1" applyProtection="1">
      <alignment horizontal="center"/>
    </xf>
    <xf numFmtId="0" fontId="0" fillId="13" borderId="5" xfId="0" applyFill="1" applyBorder="1" applyAlignment="1">
      <alignment horizontal="center"/>
    </xf>
    <xf numFmtId="0" fontId="5" fillId="13" borderId="0" xfId="2" applyFill="1" applyBorder="1" applyAlignment="1" applyProtection="1">
      <alignment horizontal="center" vertical="top"/>
    </xf>
    <xf numFmtId="0" fontId="0" fillId="0" borderId="10" xfId="0" applyBorder="1"/>
    <xf numFmtId="0" fontId="14" fillId="14" borderId="18" xfId="2" applyFont="1" applyFill="1" applyBorder="1" applyAlignment="1" applyProtection="1">
      <alignment horizontal="center"/>
    </xf>
    <xf numFmtId="0" fontId="16" fillId="4" borderId="10" xfId="2" applyFont="1" applyFill="1" applyBorder="1" applyAlignment="1" applyProtection="1">
      <alignment horizontal="center" vertical="top"/>
    </xf>
    <xf numFmtId="0" fontId="5" fillId="15" borderId="19" xfId="2" applyFill="1" applyBorder="1" applyAlignment="1" applyProtection="1">
      <alignment horizontal="center" vertical="top"/>
    </xf>
    <xf numFmtId="0" fontId="5" fillId="15" borderId="32" xfId="2" applyFill="1" applyBorder="1" applyAlignment="1" applyProtection="1">
      <alignment horizontal="center" vertical="top"/>
    </xf>
    <xf numFmtId="0" fontId="16" fillId="5" borderId="10" xfId="2" applyFont="1" applyFill="1" applyBorder="1" applyAlignment="1" applyProtection="1">
      <alignment horizontal="center"/>
    </xf>
    <xf numFmtId="0" fontId="5" fillId="15" borderId="18" xfId="2" applyFill="1" applyBorder="1" applyAlignment="1" applyProtection="1">
      <alignment horizontal="center" vertical="top"/>
    </xf>
    <xf numFmtId="0" fontId="5" fillId="15" borderId="33" xfId="2" applyFill="1" applyBorder="1" applyAlignment="1" applyProtection="1">
      <alignment horizontal="center" vertical="top"/>
    </xf>
    <xf numFmtId="0" fontId="5" fillId="6" borderId="10" xfId="2" applyFill="1" applyBorder="1" applyAlignment="1" applyProtection="1">
      <alignment horizontal="center" vertical="top"/>
    </xf>
    <xf numFmtId="0" fontId="5" fillId="15" borderId="10" xfId="2" applyFill="1" applyBorder="1" applyAlignment="1" applyProtection="1">
      <alignment horizontal="center" vertical="top"/>
    </xf>
    <xf numFmtId="0" fontId="0" fillId="15" borderId="10" xfId="0" applyFill="1" applyBorder="1"/>
    <xf numFmtId="0" fontId="0" fillId="15" borderId="19" xfId="0" applyFill="1" applyBorder="1"/>
    <xf numFmtId="0" fontId="5" fillId="6" borderId="19" xfId="2" applyFill="1" applyBorder="1" applyAlignment="1" applyProtection="1">
      <alignment horizontal="center" vertical="top"/>
    </xf>
    <xf numFmtId="0" fontId="0" fillId="15" borderId="12" xfId="0" applyFill="1" applyBorder="1" applyAlignment="1">
      <alignment horizontal="center"/>
    </xf>
    <xf numFmtId="0" fontId="14" fillId="14" borderId="23" xfId="2" applyFont="1" applyFill="1" applyBorder="1" applyAlignment="1" applyProtection="1">
      <alignment horizontal="center"/>
    </xf>
    <xf numFmtId="0" fontId="16" fillId="4" borderId="2" xfId="2" applyFont="1" applyFill="1" applyBorder="1" applyAlignment="1" applyProtection="1">
      <alignment horizontal="center" vertical="top"/>
    </xf>
    <xf numFmtId="0" fontId="5" fillId="15" borderId="12" xfId="2" applyFill="1" applyBorder="1" applyAlignment="1" applyProtection="1">
      <alignment horizontal="center" vertical="top"/>
    </xf>
    <xf numFmtId="0" fontId="5" fillId="15" borderId="34" xfId="2" applyFill="1" applyBorder="1" applyAlignment="1" applyProtection="1">
      <alignment horizontal="center" vertical="top"/>
    </xf>
    <xf numFmtId="0" fontId="5" fillId="15" borderId="23" xfId="2" applyFill="1" applyBorder="1" applyAlignment="1" applyProtection="1">
      <alignment horizontal="center" vertical="top"/>
    </xf>
    <xf numFmtId="0" fontId="5" fillId="15" borderId="35" xfId="2" applyFill="1" applyBorder="1" applyAlignment="1" applyProtection="1">
      <alignment horizontal="center" vertical="top"/>
    </xf>
    <xf numFmtId="0" fontId="5" fillId="6" borderId="2" xfId="2" applyFill="1" applyBorder="1" applyAlignment="1" applyProtection="1">
      <alignment horizontal="center" vertical="top"/>
    </xf>
    <xf numFmtId="0" fontId="5" fillId="15" borderId="2" xfId="2" applyFill="1" applyBorder="1" applyAlignment="1" applyProtection="1">
      <alignment horizontal="center" vertical="top"/>
    </xf>
    <xf numFmtId="0" fontId="0" fillId="15" borderId="2" xfId="0" applyFill="1" applyBorder="1"/>
    <xf numFmtId="0" fontId="0" fillId="15" borderId="12" xfId="0" applyFill="1" applyBorder="1"/>
    <xf numFmtId="0" fontId="5" fillId="6" borderId="12" xfId="2" applyFill="1" applyBorder="1" applyAlignment="1" applyProtection="1">
      <alignment horizontal="center" vertical="top"/>
    </xf>
    <xf numFmtId="0" fontId="19" fillId="14" borderId="23" xfId="0" applyFont="1" applyFill="1" applyBorder="1" applyAlignment="1">
      <alignment horizontal="center"/>
    </xf>
    <xf numFmtId="0" fontId="0" fillId="15" borderId="34" xfId="0" applyFill="1" applyBorder="1" applyAlignment="1">
      <alignment horizontal="center"/>
    </xf>
    <xf numFmtId="0" fontId="0" fillId="15" borderId="23" xfId="0" applyFill="1" applyBorder="1" applyAlignment="1">
      <alignment horizontal="center"/>
    </xf>
    <xf numFmtId="0" fontId="0" fillId="15" borderId="35" xfId="0" applyFill="1" applyBorder="1" applyAlignment="1">
      <alignment horizontal="center"/>
    </xf>
    <xf numFmtId="0" fontId="0" fillId="6" borderId="2" xfId="0" applyFill="1" applyBorder="1" applyAlignment="1">
      <alignment horizontal="center"/>
    </xf>
    <xf numFmtId="0" fontId="0" fillId="15" borderId="2" xfId="0" applyFill="1" applyBorder="1" applyAlignment="1">
      <alignment horizontal="center"/>
    </xf>
    <xf numFmtId="0" fontId="0" fillId="6" borderId="12" xfId="0" applyFill="1" applyBorder="1" applyAlignment="1">
      <alignment horizontal="center"/>
    </xf>
    <xf numFmtId="0" fontId="10" fillId="4" borderId="38" xfId="0" applyFont="1" applyFill="1" applyBorder="1" applyAlignment="1">
      <alignment horizontal="center"/>
    </xf>
    <xf numFmtId="0" fontId="10" fillId="4" borderId="13" xfId="0" applyFont="1" applyFill="1" applyBorder="1" applyAlignment="1">
      <alignment horizontal="center"/>
    </xf>
    <xf numFmtId="0" fontId="12" fillId="4" borderId="39" xfId="0" applyFont="1" applyFill="1" applyBorder="1" applyAlignment="1">
      <alignment horizontal="center" wrapText="1"/>
    </xf>
    <xf numFmtId="0" fontId="12" fillId="4" borderId="2" xfId="0" applyFont="1" applyFill="1" applyBorder="1" applyAlignment="1">
      <alignment horizontal="center" wrapText="1"/>
    </xf>
    <xf numFmtId="0" fontId="12" fillId="9" borderId="40" xfId="0" applyFont="1" applyFill="1" applyBorder="1" applyAlignment="1">
      <alignment horizontal="center" wrapText="1"/>
    </xf>
    <xf numFmtId="0" fontId="12" fillId="4" borderId="41" xfId="0" applyFont="1" applyFill="1" applyBorder="1" applyAlignment="1">
      <alignment horizontal="center" wrapText="1"/>
    </xf>
    <xf numFmtId="0" fontId="15" fillId="4" borderId="39" xfId="0" applyFont="1" applyFill="1" applyBorder="1" applyAlignment="1">
      <alignment horizontal="center" wrapText="1"/>
    </xf>
    <xf numFmtId="0" fontId="15" fillId="4" borderId="2" xfId="0" applyFont="1" applyFill="1" applyBorder="1" applyAlignment="1">
      <alignment horizontal="center" wrapText="1"/>
    </xf>
    <xf numFmtId="0" fontId="12" fillId="4" borderId="40" xfId="2" applyFont="1" applyFill="1" applyBorder="1" applyAlignment="1" applyProtection="1">
      <alignment horizontal="center" wrapText="1"/>
    </xf>
    <xf numFmtId="0" fontId="15" fillId="9" borderId="0" xfId="0" applyFont="1" applyFill="1" applyAlignment="1">
      <alignment horizontal="center" wrapText="1"/>
    </xf>
    <xf numFmtId="0" fontId="16" fillId="0" borderId="11" xfId="2" applyFont="1" applyBorder="1" applyAlignment="1" applyProtection="1">
      <alignment horizontal="center" vertical="top"/>
    </xf>
    <xf numFmtId="0" fontId="0" fillId="0" borderId="42" xfId="0" applyBorder="1" applyAlignment="1">
      <alignment horizontal="center"/>
    </xf>
    <xf numFmtId="0" fontId="5" fillId="0" borderId="19" xfId="2" applyBorder="1" applyAlignment="1" applyProtection="1">
      <alignment horizontal="center" vertical="top" wrapText="1"/>
    </xf>
    <xf numFmtId="0" fontId="5" fillId="0" borderId="10" xfId="2" applyBorder="1" applyAlignment="1" applyProtection="1">
      <alignment horizontal="center" vertical="top"/>
    </xf>
    <xf numFmtId="0" fontId="23" fillId="0" borderId="10" xfId="2" applyFont="1" applyBorder="1" applyAlignment="1" applyProtection="1">
      <alignment horizontal="center"/>
    </xf>
    <xf numFmtId="0" fontId="24" fillId="0" borderId="10" xfId="2" applyFont="1" applyBorder="1" applyAlignment="1" applyProtection="1">
      <alignment horizontal="center" vertical="top"/>
    </xf>
    <xf numFmtId="0" fontId="16" fillId="0" borderId="10" xfId="2" applyFont="1" applyBorder="1" applyAlignment="1" applyProtection="1">
      <alignment horizontal="center" vertical="center"/>
    </xf>
    <xf numFmtId="0" fontId="16" fillId="0" borderId="43" xfId="2" applyFont="1" applyBorder="1" applyAlignment="1" applyProtection="1">
      <alignment horizontal="center" vertical="center"/>
    </xf>
    <xf numFmtId="0" fontId="16" fillId="0" borderId="44" xfId="2" applyFont="1" applyBorder="1" applyAlignment="1" applyProtection="1">
      <alignment horizontal="center"/>
    </xf>
    <xf numFmtId="0" fontId="25" fillId="12" borderId="21" xfId="2" applyFont="1" applyFill="1" applyBorder="1" applyAlignment="1" applyProtection="1">
      <alignment horizontal="center" vertical="center"/>
    </xf>
    <xf numFmtId="0" fontId="16" fillId="0" borderId="21" xfId="2" applyFont="1" applyBorder="1" applyAlignment="1" applyProtection="1">
      <alignment horizontal="center" vertical="top"/>
    </xf>
    <xf numFmtId="0" fontId="5" fillId="0" borderId="26" xfId="2" applyBorder="1" applyAlignment="1" applyProtection="1">
      <alignment horizontal="center"/>
    </xf>
    <xf numFmtId="0" fontId="0" fillId="0" borderId="21" xfId="0" applyBorder="1" applyAlignment="1">
      <alignment horizontal="center" vertical="top"/>
    </xf>
    <xf numFmtId="0" fontId="16" fillId="6" borderId="43" xfId="2" applyFont="1" applyFill="1" applyBorder="1" applyAlignment="1" applyProtection="1">
      <alignment horizontal="center" vertical="top"/>
    </xf>
    <xf numFmtId="0" fontId="5" fillId="0" borderId="43" xfId="2" applyBorder="1" applyAlignment="1" applyProtection="1">
      <alignment horizontal="center"/>
    </xf>
    <xf numFmtId="0" fontId="16" fillId="0" borderId="0" xfId="2" applyFont="1" applyBorder="1" applyAlignment="1" applyProtection="1">
      <alignment horizontal="center" vertical="top"/>
    </xf>
    <xf numFmtId="0" fontId="16" fillId="0" borderId="9" xfId="2" applyFont="1" applyBorder="1" applyAlignment="1" applyProtection="1">
      <alignment horizontal="center" vertical="top"/>
    </xf>
    <xf numFmtId="0" fontId="0" fillId="0" borderId="5" xfId="0" applyBorder="1" applyAlignment="1">
      <alignment horizontal="center"/>
    </xf>
    <xf numFmtId="0" fontId="5" fillId="0" borderId="12" xfId="2" applyBorder="1" applyAlignment="1" applyProtection="1">
      <alignment horizontal="center" vertical="top" wrapText="1"/>
    </xf>
    <xf numFmtId="0" fontId="5" fillId="0" borderId="2" xfId="2" applyBorder="1" applyAlignment="1" applyProtection="1">
      <alignment horizontal="center" vertical="top"/>
    </xf>
    <xf numFmtId="0" fontId="23" fillId="0" borderId="2" xfId="2" applyFont="1" applyBorder="1" applyAlignment="1" applyProtection="1">
      <alignment horizontal="center"/>
    </xf>
    <xf numFmtId="0" fontId="24" fillId="0" borderId="2" xfId="2" applyFont="1" applyBorder="1" applyAlignment="1" applyProtection="1">
      <alignment horizontal="center" vertical="top"/>
    </xf>
    <xf numFmtId="0" fontId="16" fillId="0" borderId="2" xfId="2" applyFont="1" applyBorder="1" applyAlignment="1" applyProtection="1">
      <alignment horizontal="center" vertical="center"/>
    </xf>
    <xf numFmtId="0" fontId="16" fillId="0" borderId="21" xfId="2" applyFont="1" applyBorder="1" applyAlignment="1" applyProtection="1">
      <alignment horizontal="center" vertical="center"/>
    </xf>
    <xf numFmtId="0" fontId="26" fillId="0" borderId="2" xfId="2" applyFont="1" applyBorder="1" applyAlignment="1" applyProtection="1">
      <alignment horizontal="center" vertical="top"/>
    </xf>
    <xf numFmtId="0" fontId="18" fillId="12" borderId="21" xfId="2" applyFont="1" applyFill="1" applyBorder="1" applyAlignment="1" applyProtection="1">
      <alignment horizontal="center" vertical="center"/>
    </xf>
    <xf numFmtId="0" fontId="25" fillId="16" borderId="21" xfId="2" applyFont="1" applyFill="1" applyBorder="1" applyAlignment="1" applyProtection="1">
      <alignment horizontal="center" vertical="center"/>
    </xf>
    <xf numFmtId="0" fontId="5" fillId="0" borderId="23" xfId="2" applyBorder="1" applyAlignment="1" applyProtection="1">
      <alignment horizontal="center" vertical="top"/>
    </xf>
    <xf numFmtId="0" fontId="0" fillId="0" borderId="9" xfId="0" applyBorder="1" applyAlignment="1">
      <alignment horizontal="center"/>
    </xf>
    <xf numFmtId="0" fontId="25" fillId="12" borderId="0" xfId="2" applyFont="1" applyFill="1" applyBorder="1" applyAlignment="1" applyProtection="1">
      <alignment horizontal="center" vertical="center"/>
    </xf>
    <xf numFmtId="0" fontId="5" fillId="0" borderId="21" xfId="2" applyBorder="1" applyAlignment="1" applyProtection="1">
      <alignment horizontal="center" vertical="top"/>
    </xf>
    <xf numFmtId="0" fontId="5" fillId="0" borderId="0" xfId="2" applyBorder="1" applyAlignment="1" applyProtection="1">
      <alignment horizontal="center" vertical="top"/>
    </xf>
    <xf numFmtId="0" fontId="18" fillId="12" borderId="0" xfId="2" applyFont="1" applyFill="1" applyBorder="1" applyAlignment="1" applyProtection="1">
      <alignment horizontal="center" vertical="center"/>
    </xf>
    <xf numFmtId="0" fontId="25" fillId="16" borderId="0" xfId="2" applyFont="1" applyFill="1" applyBorder="1" applyAlignment="1" applyProtection="1">
      <alignment horizontal="center" vertical="center"/>
    </xf>
    <xf numFmtId="0" fontId="16" fillId="0" borderId="45" xfId="2" applyFont="1" applyBorder="1" applyAlignment="1" applyProtection="1">
      <alignment horizontal="center" vertical="top"/>
    </xf>
    <xf numFmtId="0" fontId="16" fillId="0" borderId="46" xfId="2" applyFont="1" applyBorder="1" applyAlignment="1" applyProtection="1">
      <alignment horizontal="center" vertical="top"/>
    </xf>
    <xf numFmtId="0" fontId="25" fillId="16" borderId="26" xfId="2" applyFont="1" applyFill="1" applyBorder="1" applyAlignment="1" applyProtection="1">
      <alignment horizontal="center" vertical="center"/>
    </xf>
    <xf numFmtId="0" fontId="25" fillId="16" borderId="25" xfId="2" applyFont="1" applyFill="1" applyBorder="1" applyAlignment="1" applyProtection="1">
      <alignment horizontal="center" vertical="center"/>
    </xf>
    <xf numFmtId="0" fontId="25" fillId="17" borderId="23" xfId="2" applyFont="1" applyFill="1" applyBorder="1" applyAlignment="1" applyProtection="1">
      <alignment horizontal="center" vertical="center"/>
    </xf>
    <xf numFmtId="0" fontId="25" fillId="17" borderId="12" xfId="2" applyFont="1" applyFill="1" applyBorder="1" applyAlignment="1" applyProtection="1">
      <alignment horizontal="center" vertical="center"/>
    </xf>
    <xf numFmtId="0" fontId="24" fillId="0" borderId="0" xfId="2" applyFont="1" applyBorder="1" applyAlignment="1" applyProtection="1">
      <alignment horizontal="center" vertical="top"/>
    </xf>
    <xf numFmtId="0" fontId="16" fillId="0" borderId="28" xfId="2" applyFont="1" applyBorder="1" applyAlignment="1" applyProtection="1">
      <alignment horizontal="center" vertical="top"/>
    </xf>
    <xf numFmtId="0" fontId="5" fillId="8" borderId="13" xfId="2" applyFill="1" applyBorder="1" applyAlignment="1" applyProtection="1">
      <alignment horizontal="center"/>
    </xf>
    <xf numFmtId="0" fontId="0" fillId="0" borderId="12" xfId="0" applyBorder="1" applyAlignment="1">
      <alignment horizontal="center" vertical="top"/>
    </xf>
    <xf numFmtId="0" fontId="25" fillId="5" borderId="2" xfId="2" applyFont="1" applyFill="1" applyBorder="1" applyAlignment="1" applyProtection="1">
      <alignment horizontal="center" vertical="center"/>
    </xf>
    <xf numFmtId="0" fontId="16" fillId="0" borderId="12" xfId="2" applyFont="1" applyBorder="1" applyAlignment="1" applyProtection="1">
      <alignment horizontal="center" vertical="top"/>
    </xf>
    <xf numFmtId="0" fontId="25" fillId="6" borderId="2" xfId="2" applyFont="1" applyFill="1" applyBorder="1" applyAlignment="1" applyProtection="1">
      <alignment horizontal="center" vertical="center"/>
    </xf>
    <xf numFmtId="0" fontId="26" fillId="0" borderId="23" xfId="2" applyFont="1" applyBorder="1" applyAlignment="1" applyProtection="1">
      <alignment horizontal="center" vertical="top"/>
    </xf>
    <xf numFmtId="0" fontId="25" fillId="6" borderId="21" xfId="2" applyFont="1" applyFill="1" applyBorder="1" applyAlignment="1" applyProtection="1">
      <alignment horizontal="center" vertical="center"/>
    </xf>
    <xf numFmtId="0" fontId="16" fillId="0" borderId="2" xfId="2" applyFont="1" applyBorder="1" applyAlignment="1" applyProtection="1">
      <alignment horizontal="center" vertical="top" wrapText="1"/>
    </xf>
    <xf numFmtId="0" fontId="16" fillId="0" borderId="10" xfId="2" applyFont="1" applyBorder="1" applyAlignment="1" applyProtection="1">
      <alignment horizontal="center" vertical="top" wrapText="1"/>
    </xf>
    <xf numFmtId="0" fontId="16" fillId="0" borderId="22" xfId="2" applyFont="1" applyBorder="1" applyAlignment="1" applyProtection="1">
      <alignment horizontal="center" vertical="top" wrapText="1"/>
    </xf>
    <xf numFmtId="0" fontId="16" fillId="0" borderId="9" xfId="2" applyFont="1" applyBorder="1" applyAlignment="1" applyProtection="1">
      <alignment horizontal="center" vertical="top" wrapText="1"/>
    </xf>
    <xf numFmtId="0" fontId="5" fillId="0" borderId="22" xfId="2" applyBorder="1" applyAlignment="1" applyProtection="1">
      <alignment horizontal="center" vertical="top"/>
    </xf>
    <xf numFmtId="0" fontId="23" fillId="0" borderId="2" xfId="2" applyFont="1" applyBorder="1" applyProtection="1"/>
    <xf numFmtId="0" fontId="16" fillId="0" borderId="9" xfId="2" applyFont="1" applyBorder="1" applyAlignment="1" applyProtection="1">
      <alignment horizontal="center" vertical="center"/>
    </xf>
    <xf numFmtId="0" fontId="27" fillId="0" borderId="0" xfId="2" applyFont="1" applyBorder="1" applyAlignment="1" applyProtection="1">
      <alignment horizontal="center" vertical="top"/>
    </xf>
    <xf numFmtId="0" fontId="27" fillId="11" borderId="21" xfId="2" applyFont="1" applyFill="1" applyBorder="1" applyAlignment="1" applyProtection="1">
      <alignment horizontal="center" vertical="top"/>
    </xf>
    <xf numFmtId="0" fontId="27" fillId="11" borderId="25" xfId="2" applyFont="1" applyFill="1" applyBorder="1" applyAlignment="1" applyProtection="1">
      <alignment horizontal="center" vertical="top"/>
    </xf>
    <xf numFmtId="0" fontId="0" fillId="0" borderId="12" xfId="0" applyBorder="1" applyAlignment="1">
      <alignment vertical="top"/>
    </xf>
    <xf numFmtId="0" fontId="5" fillId="0" borderId="26" xfId="2" applyBorder="1" applyAlignment="1" applyProtection="1">
      <alignment horizontal="center" vertical="top"/>
    </xf>
    <xf numFmtId="0" fontId="5" fillId="0" borderId="30" xfId="2" applyBorder="1" applyAlignment="1" applyProtection="1">
      <alignment horizontal="center" vertical="top"/>
    </xf>
    <xf numFmtId="0" fontId="0" fillId="0" borderId="47" xfId="0" applyBorder="1" applyAlignment="1">
      <alignment horizontal="center"/>
    </xf>
    <xf numFmtId="0" fontId="23" fillId="0" borderId="20" xfId="2" applyFont="1" applyBorder="1" applyAlignment="1" applyProtection="1">
      <alignment horizontal="center"/>
    </xf>
    <xf numFmtId="0" fontId="16" fillId="0" borderId="29" xfId="2" applyFont="1" applyBorder="1" applyAlignment="1" applyProtection="1">
      <alignment horizontal="center" vertical="top"/>
    </xf>
    <xf numFmtId="0" fontId="16" fillId="0" borderId="12" xfId="2" applyFont="1" applyBorder="1" applyAlignment="1" applyProtection="1">
      <alignment horizontal="center" vertical="center"/>
    </xf>
    <xf numFmtId="0" fontId="16" fillId="0" borderId="34" xfId="2" applyFont="1" applyBorder="1" applyAlignment="1" applyProtection="1">
      <alignment horizontal="center" vertical="top"/>
    </xf>
    <xf numFmtId="0" fontId="16" fillId="5" borderId="9" xfId="2" applyFont="1" applyFill="1" applyBorder="1" applyAlignment="1" applyProtection="1">
      <alignment horizontal="center"/>
    </xf>
    <xf numFmtId="0" fontId="27" fillId="11" borderId="12" xfId="2" applyFont="1" applyFill="1" applyBorder="1" applyAlignment="1" applyProtection="1">
      <alignment horizontal="center" vertical="top"/>
    </xf>
    <xf numFmtId="0" fontId="16" fillId="6" borderId="0" xfId="2" applyFont="1" applyFill="1" applyBorder="1" applyAlignment="1" applyProtection="1">
      <alignment horizontal="center"/>
    </xf>
    <xf numFmtId="0" fontId="5" fillId="0" borderId="5" xfId="2" applyBorder="1" applyAlignment="1" applyProtection="1">
      <alignment horizontal="center" vertical="top"/>
    </xf>
    <xf numFmtId="0" fontId="16" fillId="0" borderId="5" xfId="2" applyFont="1" applyBorder="1" applyAlignment="1" applyProtection="1">
      <alignment horizontal="center" vertical="top"/>
    </xf>
    <xf numFmtId="0" fontId="23" fillId="0" borderId="5" xfId="2" applyFont="1" applyBorder="1" applyAlignment="1" applyProtection="1">
      <alignment horizontal="center"/>
    </xf>
    <xf numFmtId="0" fontId="26" fillId="0" borderId="5" xfId="2" applyFont="1" applyBorder="1" applyAlignment="1" applyProtection="1">
      <alignment horizontal="center" vertical="top"/>
    </xf>
    <xf numFmtId="0" fontId="16" fillId="0" borderId="5" xfId="2" applyFont="1" applyBorder="1" applyAlignment="1" applyProtection="1">
      <alignment horizontal="center" vertical="center"/>
    </xf>
    <xf numFmtId="0" fontId="0" fillId="12" borderId="12" xfId="0" applyFill="1" applyBorder="1" applyAlignment="1">
      <alignment horizontal="center" vertical="top"/>
    </xf>
    <xf numFmtId="0" fontId="0" fillId="12" borderId="34" xfId="0" applyFill="1" applyBorder="1" applyAlignment="1">
      <alignment horizontal="center" vertical="top"/>
    </xf>
    <xf numFmtId="0" fontId="25" fillId="0" borderId="12" xfId="2" applyFont="1" applyBorder="1" applyAlignment="1" applyProtection="1">
      <alignment horizontal="center"/>
    </xf>
    <xf numFmtId="0" fontId="5" fillId="0" borderId="12" xfId="2" applyBorder="1" applyAlignment="1" applyProtection="1">
      <alignment vertical="top"/>
    </xf>
    <xf numFmtId="0" fontId="5" fillId="0" borderId="20" xfId="2" applyBorder="1" applyAlignment="1" applyProtection="1">
      <alignment horizontal="center" vertical="top"/>
    </xf>
    <xf numFmtId="0" fontId="5" fillId="0" borderId="29" xfId="2" applyBorder="1" applyAlignment="1" applyProtection="1">
      <alignment horizontal="center" vertical="top"/>
    </xf>
    <xf numFmtId="0" fontId="0" fillId="0" borderId="48" xfId="0" applyBorder="1" applyAlignment="1">
      <alignment horizontal="center"/>
    </xf>
    <xf numFmtId="0" fontId="5" fillId="0" borderId="47" xfId="2" applyBorder="1" applyAlignment="1" applyProtection="1">
      <alignment horizontal="center" vertical="top"/>
    </xf>
    <xf numFmtId="0" fontId="16" fillId="0" borderId="47" xfId="2" applyFont="1" applyBorder="1" applyAlignment="1" applyProtection="1">
      <alignment horizontal="center" vertical="top"/>
    </xf>
    <xf numFmtId="0" fontId="24" fillId="0" borderId="20" xfId="2" applyFont="1" applyBorder="1" applyAlignment="1" applyProtection="1">
      <alignment horizontal="center" vertical="top"/>
    </xf>
    <xf numFmtId="0" fontId="18" fillId="12" borderId="9" xfId="2" applyFont="1" applyFill="1" applyBorder="1" applyAlignment="1" applyProtection="1">
      <alignment horizontal="center" vertical="center"/>
    </xf>
    <xf numFmtId="0" fontId="18" fillId="12" borderId="2" xfId="2" applyFont="1" applyFill="1" applyBorder="1" applyAlignment="1" applyProtection="1">
      <alignment horizontal="center" vertical="center"/>
    </xf>
    <xf numFmtId="0" fontId="26" fillId="0" borderId="26" xfId="2" applyFont="1" applyBorder="1" applyAlignment="1" applyProtection="1">
      <alignment horizontal="center" vertical="top"/>
    </xf>
    <xf numFmtId="0" fontId="0" fillId="12" borderId="21" xfId="0" applyFill="1" applyBorder="1" applyAlignment="1">
      <alignment horizontal="center" vertical="top"/>
    </xf>
    <xf numFmtId="0" fontId="0" fillId="12" borderId="25" xfId="0" applyFill="1" applyBorder="1" applyAlignment="1">
      <alignment horizontal="center" vertical="top"/>
    </xf>
    <xf numFmtId="0" fontId="24" fillId="0" borderId="5" xfId="2" applyFont="1" applyBorder="1" applyAlignment="1" applyProtection="1">
      <alignment horizontal="center" vertical="top"/>
    </xf>
    <xf numFmtId="0" fontId="18" fillId="12" borderId="27" xfId="2" applyFont="1" applyFill="1" applyBorder="1" applyAlignment="1" applyProtection="1">
      <alignment horizontal="center" vertical="center"/>
    </xf>
    <xf numFmtId="0" fontId="26" fillId="0" borderId="25" xfId="2" applyFont="1" applyBorder="1" applyAlignment="1" applyProtection="1">
      <alignment horizontal="center" vertical="top"/>
    </xf>
    <xf numFmtId="0" fontId="0" fillId="17" borderId="23" xfId="0" applyFill="1" applyBorder="1" applyAlignment="1">
      <alignment horizontal="center"/>
    </xf>
    <xf numFmtId="0" fontId="25" fillId="17" borderId="12" xfId="2" applyFont="1" applyFill="1" applyBorder="1" applyAlignment="1" applyProtection="1">
      <alignment horizontal="center"/>
    </xf>
    <xf numFmtId="0" fontId="5" fillId="17" borderId="12" xfId="2" applyFill="1" applyBorder="1" applyAlignment="1" applyProtection="1">
      <alignment vertical="top"/>
    </xf>
    <xf numFmtId="0" fontId="5" fillId="8" borderId="49" xfId="2" applyFill="1" applyBorder="1" applyAlignment="1" applyProtection="1">
      <alignment horizontal="center"/>
    </xf>
    <xf numFmtId="0" fontId="17" fillId="11" borderId="47" xfId="2" applyFont="1" applyFill="1" applyBorder="1" applyAlignment="1" applyProtection="1">
      <alignment horizontal="center" vertical="top"/>
    </xf>
    <xf numFmtId="0" fontId="0" fillId="0" borderId="47" xfId="0" applyBorder="1"/>
    <xf numFmtId="0" fontId="16" fillId="5" borderId="28" xfId="2" applyFont="1" applyFill="1" applyBorder="1" applyAlignment="1" applyProtection="1">
      <alignment horizontal="center"/>
    </xf>
    <xf numFmtId="0" fontId="24" fillId="0" borderId="47" xfId="2" applyFont="1" applyBorder="1" applyAlignment="1" applyProtection="1">
      <alignment horizontal="center" vertical="top"/>
    </xf>
    <xf numFmtId="0" fontId="16" fillId="6" borderId="20" xfId="2" applyFont="1" applyFill="1" applyBorder="1" applyAlignment="1" applyProtection="1">
      <alignment horizontal="center"/>
    </xf>
    <xf numFmtId="0" fontId="16" fillId="6" borderId="21" xfId="2" applyFont="1" applyFill="1" applyBorder="1" applyAlignment="1" applyProtection="1">
      <alignment horizontal="center"/>
    </xf>
    <xf numFmtId="0" fontId="5" fillId="13" borderId="5" xfId="2" applyFill="1" applyBorder="1" applyAlignment="1" applyProtection="1">
      <alignment horizontal="center" vertical="top"/>
    </xf>
    <xf numFmtId="0" fontId="14" fillId="13" borderId="5" xfId="2" applyFont="1" applyFill="1" applyBorder="1" applyAlignment="1" applyProtection="1">
      <alignment horizontal="center" vertical="top"/>
    </xf>
    <xf numFmtId="0" fontId="0" fillId="0" borderId="5" xfId="0" applyBorder="1"/>
    <xf numFmtId="0" fontId="0" fillId="15" borderId="19" xfId="0" applyFill="1" applyBorder="1" applyAlignment="1">
      <alignment vertical="center"/>
    </xf>
    <xf numFmtId="0" fontId="19" fillId="15" borderId="19" xfId="0" applyFont="1" applyFill="1" applyBorder="1" applyAlignment="1">
      <alignment horizontal="center" vertical="center"/>
    </xf>
    <xf numFmtId="0" fontId="19" fillId="15" borderId="18" xfId="2" applyFont="1" applyFill="1" applyBorder="1" applyAlignment="1" applyProtection="1">
      <alignment horizontal="center" vertical="center"/>
    </xf>
    <xf numFmtId="0" fontId="19" fillId="15" borderId="19" xfId="2" applyFont="1" applyFill="1" applyBorder="1" applyAlignment="1" applyProtection="1">
      <alignment horizontal="center" vertical="center"/>
    </xf>
    <xf numFmtId="0" fontId="16" fillId="15" borderId="32" xfId="2" applyFont="1" applyFill="1" applyBorder="1" applyAlignment="1" applyProtection="1">
      <alignment horizontal="center" vertical="top"/>
    </xf>
    <xf numFmtId="0" fontId="19" fillId="15" borderId="18" xfId="2" applyFont="1" applyFill="1" applyBorder="1" applyAlignment="1" applyProtection="1">
      <alignment horizontal="center" vertical="top"/>
    </xf>
    <xf numFmtId="0" fontId="19" fillId="15" borderId="19" xfId="2" applyFont="1" applyFill="1" applyBorder="1" applyAlignment="1" applyProtection="1">
      <alignment horizontal="center" vertical="top"/>
    </xf>
    <xf numFmtId="0" fontId="19" fillId="15" borderId="32" xfId="2" applyFont="1" applyFill="1" applyBorder="1" applyAlignment="1" applyProtection="1">
      <alignment horizontal="center" vertical="top"/>
    </xf>
    <xf numFmtId="0" fontId="0" fillId="18" borderId="12" xfId="0" applyFill="1" applyBorder="1" applyAlignment="1">
      <alignment vertical="center"/>
    </xf>
    <xf numFmtId="0" fontId="19" fillId="18" borderId="12" xfId="0" applyFont="1" applyFill="1" applyBorder="1" applyAlignment="1">
      <alignment horizontal="center" vertical="center"/>
    </xf>
    <xf numFmtId="0" fontId="19" fillId="18" borderId="23" xfId="2" applyFont="1" applyFill="1" applyBorder="1" applyAlignment="1" applyProtection="1">
      <alignment horizontal="center" vertical="top"/>
    </xf>
    <xf numFmtId="0" fontId="19" fillId="18" borderId="12" xfId="2" applyFont="1" applyFill="1" applyBorder="1" applyAlignment="1" applyProtection="1">
      <alignment horizontal="center" vertical="top"/>
    </xf>
    <xf numFmtId="0" fontId="19" fillId="18" borderId="34" xfId="2" applyFont="1" applyFill="1" applyBorder="1" applyAlignment="1" applyProtection="1">
      <alignment horizontal="center" vertical="top"/>
    </xf>
    <xf numFmtId="0" fontId="28" fillId="18" borderId="23" xfId="2" applyFont="1" applyFill="1" applyBorder="1" applyAlignment="1" applyProtection="1">
      <alignment horizontal="center" vertical="top"/>
    </xf>
    <xf numFmtId="0" fontId="28" fillId="18" borderId="12" xfId="2" applyFont="1" applyFill="1" applyBorder="1" applyAlignment="1" applyProtection="1">
      <alignment horizontal="center" vertical="top"/>
    </xf>
    <xf numFmtId="0" fontId="28" fillId="18" borderId="34" xfId="2" applyFont="1" applyFill="1" applyBorder="1" applyAlignment="1" applyProtection="1">
      <alignment horizontal="center" vertical="top"/>
    </xf>
    <xf numFmtId="0" fontId="0" fillId="18" borderId="12" xfId="0" applyFill="1" applyBorder="1" applyAlignment="1">
      <alignment horizontal="left"/>
    </xf>
    <xf numFmtId="0" fontId="19" fillId="18" borderId="12" xfId="0" applyFont="1" applyFill="1" applyBorder="1" applyAlignment="1">
      <alignment horizontal="center"/>
    </xf>
    <xf numFmtId="0" fontId="28" fillId="18" borderId="35" xfId="2" applyFont="1" applyFill="1" applyBorder="1" applyAlignment="1" applyProtection="1">
      <alignment horizontal="center" vertical="top"/>
    </xf>
    <xf numFmtId="0" fontId="5" fillId="18" borderId="23" xfId="2" applyFill="1" applyBorder="1" applyAlignment="1" applyProtection="1">
      <alignment horizontal="center" vertical="top"/>
    </xf>
    <xf numFmtId="0" fontId="5" fillId="18" borderId="12" xfId="2" applyFill="1" applyBorder="1" applyAlignment="1" applyProtection="1">
      <alignment horizontal="center" vertical="top"/>
    </xf>
    <xf numFmtId="0" fontId="5" fillId="18" borderId="34" xfId="2" applyFill="1" applyBorder="1" applyAlignment="1" applyProtection="1">
      <alignment horizontal="center" vertical="top"/>
    </xf>
    <xf numFmtId="0" fontId="5" fillId="5" borderId="2" xfId="2" applyFill="1" applyBorder="1" applyAlignment="1" applyProtection="1">
      <alignment horizontal="center" vertical="top"/>
    </xf>
    <xf numFmtId="0" fontId="5" fillId="18" borderId="35" xfId="2" applyFill="1" applyBorder="1" applyAlignment="1" applyProtection="1">
      <alignment horizontal="center" vertical="top"/>
    </xf>
    <xf numFmtId="0" fontId="14" fillId="18" borderId="12" xfId="2" applyFont="1" applyFill="1" applyBorder="1" applyAlignment="1" applyProtection="1">
      <alignment horizontal="center" vertical="center"/>
    </xf>
    <xf numFmtId="0" fontId="14" fillId="18" borderId="23" xfId="2" applyFont="1" applyFill="1" applyBorder="1" applyAlignment="1" applyProtection="1">
      <alignment horizontal="center" vertical="top"/>
    </xf>
    <xf numFmtId="0" fontId="14" fillId="18" borderId="12" xfId="2" applyFont="1" applyFill="1" applyBorder="1" applyAlignment="1" applyProtection="1">
      <alignment horizontal="center" vertical="top"/>
    </xf>
    <xf numFmtId="0" fontId="14" fillId="18" borderId="34" xfId="2" applyFont="1" applyFill="1" applyBorder="1" applyAlignment="1" applyProtection="1">
      <alignment horizontal="center" vertical="top"/>
    </xf>
    <xf numFmtId="0" fontId="0" fillId="15" borderId="12" xfId="0" applyFill="1" applyBorder="1" applyAlignment="1">
      <alignment horizontal="left"/>
    </xf>
    <xf numFmtId="0" fontId="19" fillId="15" borderId="12" xfId="0" applyFont="1" applyFill="1" applyBorder="1" applyAlignment="1">
      <alignment horizontal="center"/>
    </xf>
    <xf numFmtId="0" fontId="0" fillId="19" borderId="12" xfId="0" applyFill="1" applyBorder="1" applyAlignment="1">
      <alignment horizontal="left"/>
    </xf>
    <xf numFmtId="0" fontId="19" fillId="19" borderId="12" xfId="0" applyFont="1" applyFill="1" applyBorder="1" applyAlignment="1">
      <alignment horizontal="center"/>
    </xf>
    <xf numFmtId="0" fontId="5" fillId="19" borderId="23" xfId="2" applyFill="1" applyBorder="1" applyAlignment="1" applyProtection="1">
      <alignment horizontal="center" vertical="top"/>
    </xf>
    <xf numFmtId="0" fontId="5" fillId="19" borderId="12" xfId="2" applyFill="1" applyBorder="1" applyAlignment="1" applyProtection="1">
      <alignment horizontal="center" vertical="top"/>
    </xf>
    <xf numFmtId="0" fontId="5" fillId="19" borderId="34" xfId="2" applyFill="1" applyBorder="1" applyAlignment="1" applyProtection="1">
      <alignment horizontal="center" vertical="top"/>
    </xf>
    <xf numFmtId="0" fontId="5" fillId="19" borderId="35" xfId="2" applyFill="1" applyBorder="1" applyAlignment="1" applyProtection="1">
      <alignment horizontal="center" vertical="top"/>
    </xf>
    <xf numFmtId="0" fontId="0" fillId="19" borderId="21" xfId="0" applyFill="1" applyBorder="1" applyAlignment="1">
      <alignment horizontal="left"/>
    </xf>
    <xf numFmtId="0" fontId="19" fillId="19" borderId="21" xfId="0" applyFont="1" applyFill="1" applyBorder="1" applyAlignment="1">
      <alignment horizontal="center"/>
    </xf>
    <xf numFmtId="0" fontId="5" fillId="19" borderId="26" xfId="2" applyFill="1" applyBorder="1" applyAlignment="1" applyProtection="1">
      <alignment horizontal="center" vertical="top"/>
    </xf>
    <xf numFmtId="0" fontId="5" fillId="19" borderId="21" xfId="2" applyFill="1" applyBorder="1" applyAlignment="1" applyProtection="1">
      <alignment horizontal="center" vertical="top"/>
    </xf>
    <xf numFmtId="0" fontId="5" fillId="19" borderId="25" xfId="2" applyFill="1" applyBorder="1" applyAlignment="1" applyProtection="1">
      <alignment horizontal="center" vertical="top"/>
    </xf>
    <xf numFmtId="0" fontId="5" fillId="19" borderId="50" xfId="2" applyFill="1" applyBorder="1" applyAlignment="1" applyProtection="1">
      <alignment horizontal="center" vertical="top"/>
    </xf>
    <xf numFmtId="0" fontId="27" fillId="11" borderId="18" xfId="2" applyFont="1" applyFill="1" applyBorder="1" applyAlignment="1" applyProtection="1">
      <alignment horizontal="center" vertical="top"/>
    </xf>
    <xf numFmtId="0" fontId="27" fillId="11" borderId="19" xfId="2" applyFont="1" applyFill="1" applyBorder="1" applyAlignment="1" applyProtection="1">
      <alignment horizontal="center" vertical="top"/>
    </xf>
    <xf numFmtId="0" fontId="16" fillId="6" borderId="10" xfId="2" applyFont="1" applyFill="1" applyBorder="1" applyAlignment="1" applyProtection="1">
      <alignment horizontal="center"/>
    </xf>
    <xf numFmtId="0" fontId="16" fillId="6" borderId="10" xfId="2" applyFont="1" applyFill="1" applyBorder="1" applyAlignment="1" applyProtection="1">
      <alignment horizontal="center" vertical="top"/>
    </xf>
    <xf numFmtId="0" fontId="25" fillId="17" borderId="18" xfId="2" applyFont="1" applyFill="1" applyBorder="1" applyAlignment="1" applyProtection="1">
      <alignment horizontal="center" vertical="center"/>
    </xf>
    <xf numFmtId="0" fontId="25" fillId="17" borderId="19" xfId="2" applyFont="1" applyFill="1" applyBorder="1" applyAlignment="1" applyProtection="1">
      <alignment horizontal="center" vertical="center"/>
    </xf>
    <xf numFmtId="0" fontId="5" fillId="0" borderId="43" xfId="2" applyBorder="1" applyAlignment="1" applyProtection="1">
      <alignment horizontal="center" vertical="top"/>
    </xf>
    <xf numFmtId="0" fontId="18" fillId="12" borderId="10" xfId="2" applyFont="1" applyFill="1" applyBorder="1" applyAlignment="1" applyProtection="1">
      <alignment horizontal="center" vertical="center"/>
    </xf>
    <xf numFmtId="0" fontId="16" fillId="0" borderId="22" xfId="2" applyFont="1" applyBorder="1" applyAlignment="1" applyProtection="1">
      <alignment horizontal="center" vertical="center"/>
    </xf>
    <xf numFmtId="0" fontId="0" fillId="14" borderId="12" xfId="0" applyFill="1" applyBorder="1"/>
    <xf numFmtId="0" fontId="14" fillId="14" borderId="2" xfId="2" applyFont="1" applyFill="1" applyBorder="1" applyAlignment="1" applyProtection="1">
      <alignment horizontal="center"/>
    </xf>
    <xf numFmtId="0" fontId="16" fillId="0" borderId="24" xfId="2" applyFont="1" applyBorder="1" applyAlignment="1" applyProtection="1">
      <alignment horizontal="center" vertical="top"/>
    </xf>
    <xf numFmtId="0" fontId="19" fillId="14" borderId="19" xfId="0" applyFont="1" applyFill="1" applyBorder="1" applyAlignment="1">
      <alignment horizontal="center"/>
    </xf>
    <xf numFmtId="0" fontId="5" fillId="4" borderId="2" xfId="2" applyFill="1" applyBorder="1" applyAlignment="1" applyProtection="1">
      <alignment horizontal="center" vertical="top"/>
    </xf>
    <xf numFmtId="0" fontId="5" fillId="15" borderId="23" xfId="2" applyFill="1" applyBorder="1" applyAlignment="1" applyProtection="1">
      <alignment horizontal="center"/>
    </xf>
    <xf numFmtId="0" fontId="5" fillId="15" borderId="12" xfId="2" applyFill="1" applyBorder="1" applyAlignment="1" applyProtection="1">
      <alignment horizontal="center"/>
    </xf>
    <xf numFmtId="0" fontId="5" fillId="15" borderId="34" xfId="2" applyFill="1" applyBorder="1" applyAlignment="1" applyProtection="1">
      <alignment horizontal="center"/>
    </xf>
    <xf numFmtId="0" fontId="19" fillId="14" borderId="12" xfId="0" applyFont="1" applyFill="1" applyBorder="1" applyAlignment="1">
      <alignment horizontal="center"/>
    </xf>
    <xf numFmtId="0" fontId="14" fillId="14" borderId="12" xfId="2" applyFont="1" applyFill="1" applyBorder="1" applyAlignment="1" applyProtection="1">
      <alignment horizontal="center"/>
    </xf>
    <xf numFmtId="0" fontId="0" fillId="4" borderId="2" xfId="0" applyFill="1" applyBorder="1" applyAlignment="1">
      <alignment horizontal="center"/>
    </xf>
    <xf numFmtId="0" fontId="0" fillId="5" borderId="2" xfId="0" applyFill="1" applyBorder="1" applyAlignment="1">
      <alignment horizontal="center"/>
    </xf>
    <xf numFmtId="0" fontId="0" fillId="4" borderId="2" xfId="0" applyFill="1" applyBorder="1"/>
    <xf numFmtId="0" fontId="0" fillId="15" borderId="51" xfId="0" applyFill="1" applyBorder="1" applyAlignment="1">
      <alignment horizontal="center"/>
    </xf>
    <xf numFmtId="0" fontId="29" fillId="0" borderId="0" xfId="5" applyFill="1" applyBorder="1" applyProtection="1"/>
    <xf numFmtId="0" fontId="0" fillId="15" borderId="12" xfId="0" applyFill="1" applyBorder="1" applyAlignment="1">
      <alignment vertical="top"/>
    </xf>
    <xf numFmtId="0" fontId="0" fillId="15" borderId="23" xfId="0" applyFill="1" applyBorder="1" applyAlignment="1">
      <alignment vertical="top"/>
    </xf>
    <xf numFmtId="0" fontId="0" fillId="15" borderId="34" xfId="0" applyFill="1" applyBorder="1"/>
    <xf numFmtId="0" fontId="0" fillId="14" borderId="12" xfId="0" applyFill="1" applyBorder="1" applyAlignment="1">
      <alignment horizontal="left"/>
    </xf>
    <xf numFmtId="0" fontId="16" fillId="4" borderId="2" xfId="2" applyFont="1" applyFill="1" applyBorder="1" applyAlignment="1" applyProtection="1">
      <alignment horizontal="center"/>
    </xf>
    <xf numFmtId="0" fontId="5" fillId="0" borderId="42" xfId="2" applyBorder="1" applyAlignment="1" applyProtection="1">
      <alignment horizontal="center" vertical="top"/>
    </xf>
    <xf numFmtId="164" fontId="5" fillId="4" borderId="2" xfId="2" applyNumberFormat="1" applyFill="1" applyBorder="1" applyAlignment="1" applyProtection="1">
      <alignment horizontal="center" vertical="top" wrapText="1"/>
    </xf>
    <xf numFmtId="164" fontId="5" fillId="5" borderId="2" xfId="2" applyNumberFormat="1" applyFill="1" applyBorder="1" applyAlignment="1" applyProtection="1">
      <alignment horizontal="center" vertical="top" wrapText="1"/>
    </xf>
    <xf numFmtId="164" fontId="5" fillId="15" borderId="23" xfId="2" applyNumberFormat="1" applyFill="1" applyBorder="1" applyAlignment="1" applyProtection="1">
      <alignment horizontal="center" vertical="top" wrapText="1"/>
    </xf>
    <xf numFmtId="164" fontId="5" fillId="15" borderId="12" xfId="2" applyNumberFormat="1" applyFill="1" applyBorder="1" applyAlignment="1" applyProtection="1">
      <alignment horizontal="center" vertical="top" wrapText="1"/>
    </xf>
    <xf numFmtId="164" fontId="5" fillId="15" borderId="34" xfId="2" applyNumberFormat="1" applyFill="1" applyBorder="1" applyAlignment="1" applyProtection="1">
      <alignment horizontal="center" vertical="top" wrapText="1"/>
    </xf>
    <xf numFmtId="164" fontId="5" fillId="6" borderId="2" xfId="2" applyNumberFormat="1" applyFill="1" applyBorder="1" applyAlignment="1" applyProtection="1">
      <alignment horizontal="center" vertical="top" wrapText="1"/>
    </xf>
    <xf numFmtId="0" fontId="0" fillId="15" borderId="12" xfId="0" applyFill="1" applyBorder="1" applyAlignment="1">
      <alignment horizontal="center" vertical="top"/>
    </xf>
    <xf numFmtId="164" fontId="5" fillId="6" borderId="12" xfId="2" applyNumberFormat="1" applyFill="1" applyBorder="1" applyAlignment="1" applyProtection="1">
      <alignment horizontal="center" vertical="top" wrapText="1"/>
    </xf>
    <xf numFmtId="0" fontId="14" fillId="15" borderId="12" xfId="2" applyFont="1" applyFill="1" applyBorder="1" applyAlignment="1" applyProtection="1">
      <alignment horizontal="center" vertical="top"/>
    </xf>
    <xf numFmtId="0" fontId="0" fillId="15" borderId="23" xfId="0" applyFill="1" applyBorder="1"/>
    <xf numFmtId="0" fontId="8" fillId="0" borderId="0" xfId="0" applyFont="1" applyAlignment="1">
      <alignment horizontal="center" vertical="top"/>
    </xf>
    <xf numFmtId="0" fontId="9" fillId="4" borderId="0" xfId="0" applyFont="1" applyFill="1" applyAlignment="1">
      <alignment horizontal="center"/>
    </xf>
    <xf numFmtId="0" fontId="10" fillId="9" borderId="5" xfId="2" applyFont="1" applyFill="1" applyBorder="1" applyAlignment="1" applyProtection="1">
      <alignment horizontal="center" wrapText="1"/>
    </xf>
    <xf numFmtId="0" fontId="23" fillId="0" borderId="19" xfId="2" applyFont="1" applyBorder="1" applyAlignment="1" applyProtection="1">
      <alignment horizontal="center" vertical="top"/>
    </xf>
    <xf numFmtId="0" fontId="23" fillId="0" borderId="42" xfId="2" applyFont="1" applyBorder="1" applyAlignment="1" applyProtection="1">
      <alignment horizontal="center" vertical="top"/>
    </xf>
    <xf numFmtId="0" fontId="23" fillId="0" borderId="18" xfId="2" applyFont="1" applyBorder="1" applyAlignment="1" applyProtection="1">
      <alignment horizontal="center" vertical="top"/>
    </xf>
    <xf numFmtId="0" fontId="24" fillId="0" borderId="19" xfId="2" applyFont="1" applyBorder="1" applyAlignment="1" applyProtection="1">
      <alignment horizontal="center" vertical="top"/>
    </xf>
    <xf numFmtId="0" fontId="5" fillId="0" borderId="17" xfId="2" applyBorder="1" applyAlignment="1" applyProtection="1">
      <alignment horizontal="center" vertical="top"/>
    </xf>
    <xf numFmtId="0" fontId="23" fillId="0" borderId="10" xfId="2" applyFont="1" applyBorder="1" applyAlignment="1" applyProtection="1">
      <alignment horizontal="center" vertical="top"/>
    </xf>
    <xf numFmtId="0" fontId="23" fillId="0" borderId="32" xfId="2" applyFont="1" applyBorder="1" applyAlignment="1" applyProtection="1">
      <alignment horizontal="center" vertical="top"/>
    </xf>
    <xf numFmtId="0" fontId="23" fillId="0" borderId="10" xfId="2" applyFont="1" applyBorder="1" applyProtection="1"/>
    <xf numFmtId="0" fontId="16" fillId="5" borderId="22" xfId="2" applyFont="1" applyFill="1" applyBorder="1" applyAlignment="1" applyProtection="1">
      <alignment horizontal="center" vertical="top"/>
    </xf>
    <xf numFmtId="0" fontId="23" fillId="0" borderId="12" xfId="2" applyFont="1" applyBorder="1" applyAlignment="1" applyProtection="1">
      <alignment horizontal="center" vertical="top"/>
    </xf>
    <xf numFmtId="0" fontId="23" fillId="0" borderId="23" xfId="2" applyFont="1" applyBorder="1" applyAlignment="1" applyProtection="1">
      <alignment horizontal="center" vertical="top"/>
    </xf>
    <xf numFmtId="0" fontId="24" fillId="0" borderId="12" xfId="2" applyFont="1" applyBorder="1" applyAlignment="1" applyProtection="1">
      <alignment horizontal="center" vertical="top"/>
    </xf>
    <xf numFmtId="0" fontId="5" fillId="0" borderId="25" xfId="2" applyBorder="1" applyAlignment="1" applyProtection="1">
      <alignment horizontal="center" vertical="top"/>
    </xf>
    <xf numFmtId="0" fontId="23" fillId="0" borderId="2" xfId="2" applyFont="1" applyBorder="1" applyAlignment="1" applyProtection="1">
      <alignment horizontal="center" vertical="top"/>
    </xf>
    <xf numFmtId="0" fontId="23" fillId="0" borderId="34" xfId="2" applyFont="1" applyBorder="1" applyAlignment="1" applyProtection="1">
      <alignment horizontal="center" vertical="top"/>
    </xf>
    <xf numFmtId="0" fontId="23" fillId="0" borderId="5" xfId="2" applyFont="1" applyBorder="1" applyAlignment="1" applyProtection="1">
      <alignment horizontal="center" vertical="top"/>
    </xf>
    <xf numFmtId="0" fontId="24" fillId="0" borderId="23" xfId="2" applyFont="1" applyBorder="1" applyAlignment="1" applyProtection="1">
      <alignment horizontal="center" vertical="top"/>
    </xf>
    <xf numFmtId="0" fontId="24" fillId="0" borderId="34" xfId="2" applyFont="1" applyBorder="1" applyAlignment="1" applyProtection="1">
      <alignment horizontal="center" vertical="top"/>
    </xf>
    <xf numFmtId="0" fontId="24" fillId="0" borderId="1" xfId="2" applyFont="1" applyBorder="1" applyAlignment="1" applyProtection="1">
      <alignment horizontal="center" vertical="top"/>
    </xf>
    <xf numFmtId="0" fontId="24" fillId="0" borderId="21" xfId="2" applyFont="1" applyBorder="1" applyAlignment="1" applyProtection="1">
      <alignment horizontal="center" vertical="top"/>
    </xf>
    <xf numFmtId="0" fontId="24" fillId="0" borderId="25" xfId="2" applyFont="1" applyBorder="1" applyAlignment="1" applyProtection="1">
      <alignment horizontal="center" vertical="top"/>
    </xf>
    <xf numFmtId="0" fontId="16" fillId="0" borderId="1" xfId="2" applyFont="1" applyBorder="1" applyAlignment="1" applyProtection="1">
      <alignment horizontal="center" vertical="top"/>
    </xf>
    <xf numFmtId="0" fontId="24" fillId="0" borderId="52" xfId="2" applyFont="1" applyBorder="1" applyAlignment="1" applyProtection="1">
      <alignment horizontal="center" vertical="top"/>
    </xf>
    <xf numFmtId="0" fontId="5" fillId="0" borderId="53" xfId="2" applyBorder="1" applyAlignment="1" applyProtection="1">
      <alignment horizontal="center" vertical="top" wrapText="1"/>
    </xf>
    <xf numFmtId="0" fontId="5" fillId="0" borderId="54" xfId="2" applyBorder="1" applyAlignment="1" applyProtection="1">
      <alignment horizontal="center" vertical="top" wrapText="1"/>
    </xf>
    <xf numFmtId="0" fontId="25" fillId="5" borderId="22" xfId="2" applyFont="1" applyFill="1" applyBorder="1" applyAlignment="1" applyProtection="1">
      <alignment horizontal="center" vertical="center"/>
    </xf>
    <xf numFmtId="0" fontId="24" fillId="0" borderId="31" xfId="2" applyFont="1" applyBorder="1" applyAlignment="1" applyProtection="1">
      <alignment horizontal="center" vertical="top"/>
    </xf>
    <xf numFmtId="0" fontId="5" fillId="0" borderId="22" xfId="2" applyBorder="1" applyProtection="1"/>
    <xf numFmtId="0" fontId="14" fillId="0" borderId="5" xfId="2" applyFont="1" applyBorder="1" applyAlignment="1" applyProtection="1">
      <alignment horizontal="center"/>
    </xf>
    <xf numFmtId="0" fontId="24" fillId="0" borderId="53" xfId="2" applyFont="1" applyBorder="1" applyAlignment="1" applyProtection="1">
      <alignment horizontal="center" vertical="top"/>
    </xf>
    <xf numFmtId="0" fontId="24" fillId="0" borderId="54" xfId="2" applyFont="1" applyBorder="1" applyAlignment="1" applyProtection="1">
      <alignment horizontal="center" vertical="top"/>
    </xf>
    <xf numFmtId="0" fontId="5" fillId="0" borderId="10" xfId="2" applyBorder="1" applyAlignment="1" applyProtection="1">
      <alignment horizontal="center" vertical="top" wrapText="1"/>
    </xf>
    <xf numFmtId="0" fontId="16" fillId="5" borderId="22" xfId="2" applyFont="1" applyFill="1" applyBorder="1" applyAlignment="1" applyProtection="1">
      <alignment horizontal="center"/>
    </xf>
    <xf numFmtId="0" fontId="5" fillId="0" borderId="13" xfId="2" applyBorder="1" applyAlignment="1" applyProtection="1">
      <alignment horizontal="center" vertical="top" wrapText="1"/>
    </xf>
    <xf numFmtId="0" fontId="17" fillId="20" borderId="12" xfId="2" applyFont="1" applyFill="1" applyBorder="1" applyAlignment="1" applyProtection="1">
      <alignment horizontal="center" vertical="top"/>
    </xf>
    <xf numFmtId="0" fontId="16" fillId="0" borderId="37" xfId="2" applyFont="1" applyBorder="1" applyAlignment="1" applyProtection="1">
      <alignment horizontal="center" vertical="top"/>
    </xf>
    <xf numFmtId="0" fontId="14" fillId="0" borderId="2" xfId="2" applyFont="1" applyBorder="1" applyProtection="1"/>
    <xf numFmtId="0" fontId="14" fillId="0" borderId="9" xfId="2" applyFont="1" applyBorder="1" applyProtection="1"/>
    <xf numFmtId="0" fontId="24" fillId="0" borderId="26" xfId="2" applyFont="1" applyBorder="1" applyAlignment="1" applyProtection="1">
      <alignment horizontal="center" vertical="top"/>
    </xf>
    <xf numFmtId="0" fontId="23" fillId="0" borderId="20" xfId="2" applyFont="1" applyBorder="1" applyAlignment="1" applyProtection="1">
      <alignment horizontal="center" vertical="top"/>
    </xf>
    <xf numFmtId="0" fontId="23" fillId="0" borderId="20" xfId="2" applyFont="1" applyBorder="1" applyProtection="1"/>
    <xf numFmtId="0" fontId="16" fillId="5" borderId="30" xfId="2" applyFont="1" applyFill="1" applyBorder="1" applyAlignment="1" applyProtection="1">
      <alignment horizontal="center"/>
    </xf>
    <xf numFmtId="0" fontId="6" fillId="11" borderId="5" xfId="0" applyFont="1" applyFill="1" applyBorder="1"/>
    <xf numFmtId="0" fontId="0" fillId="11" borderId="5" xfId="0" applyFill="1" applyBorder="1" applyAlignment="1">
      <alignment horizontal="center"/>
    </xf>
    <xf numFmtId="0" fontId="16" fillId="5" borderId="5" xfId="2" applyFont="1" applyFill="1" applyBorder="1" applyAlignment="1" applyProtection="1">
      <alignment horizontal="center"/>
    </xf>
    <xf numFmtId="0" fontId="5" fillId="0" borderId="5" xfId="2" applyBorder="1" applyProtection="1"/>
    <xf numFmtId="0" fontId="23" fillId="0" borderId="5" xfId="2" applyFont="1" applyBorder="1" applyProtection="1"/>
    <xf numFmtId="0" fontId="19" fillId="5" borderId="5" xfId="2" applyFont="1" applyFill="1" applyBorder="1" applyAlignment="1" applyProtection="1">
      <alignment horizontal="center" vertical="top"/>
    </xf>
    <xf numFmtId="0" fontId="14" fillId="15" borderId="5" xfId="2" applyFont="1" applyFill="1" applyBorder="1" applyAlignment="1" applyProtection="1">
      <alignment horizontal="center"/>
    </xf>
    <xf numFmtId="0" fontId="16" fillId="15" borderId="5" xfId="2" applyFont="1" applyFill="1" applyBorder="1" applyAlignment="1" applyProtection="1">
      <alignment horizontal="center"/>
    </xf>
    <xf numFmtId="0" fontId="16" fillId="15" borderId="5" xfId="2" applyFont="1" applyFill="1" applyBorder="1" applyAlignment="1" applyProtection="1">
      <alignment horizontal="center" vertical="top"/>
    </xf>
    <xf numFmtId="0" fontId="28" fillId="5" borderId="5" xfId="2" applyFont="1" applyFill="1" applyBorder="1" applyAlignment="1" applyProtection="1">
      <alignment horizontal="center" vertical="top"/>
    </xf>
    <xf numFmtId="0" fontId="14" fillId="21" borderId="5" xfId="2" applyFont="1" applyFill="1" applyBorder="1" applyAlignment="1" applyProtection="1">
      <alignment horizontal="center"/>
    </xf>
    <xf numFmtId="0" fontId="16" fillId="21" borderId="5" xfId="2" applyFont="1" applyFill="1" applyBorder="1" applyAlignment="1" applyProtection="1">
      <alignment horizontal="center"/>
    </xf>
    <xf numFmtId="0" fontId="16" fillId="21" borderId="5" xfId="2" applyFont="1" applyFill="1" applyBorder="1" applyAlignment="1" applyProtection="1">
      <alignment horizontal="center" vertical="top"/>
    </xf>
    <xf numFmtId="0" fontId="5" fillId="21" borderId="5" xfId="2" applyFill="1" applyBorder="1" applyAlignment="1" applyProtection="1">
      <alignment horizontal="center"/>
    </xf>
    <xf numFmtId="0" fontId="25" fillId="15" borderId="5" xfId="2" applyFont="1" applyFill="1" applyBorder="1" applyAlignment="1" applyProtection="1">
      <alignment horizontal="center" vertical="top"/>
    </xf>
    <xf numFmtId="0" fontId="6" fillId="11" borderId="5" xfId="0" applyFont="1" applyFill="1" applyBorder="1" applyAlignment="1">
      <alignment wrapText="1"/>
    </xf>
    <xf numFmtId="0" fontId="5" fillId="0" borderId="5" xfId="2" applyBorder="1" applyAlignment="1" applyProtection="1">
      <alignment horizontal="left" vertical="center"/>
    </xf>
    <xf numFmtId="0" fontId="14" fillId="0" borderId="5" xfId="2" applyFont="1" applyBorder="1" applyAlignment="1" applyProtection="1">
      <alignment horizontal="center" vertical="center"/>
    </xf>
    <xf numFmtId="0" fontId="5" fillId="8" borderId="5" xfId="2" applyFill="1" applyBorder="1" applyAlignment="1" applyProtection="1">
      <alignment horizontal="center" vertical="center"/>
    </xf>
    <xf numFmtId="0" fontId="0" fillId="0" borderId="5" xfId="0" applyBorder="1" applyAlignment="1">
      <alignment horizontal="center" vertical="center"/>
    </xf>
    <xf numFmtId="0" fontId="5" fillId="0" borderId="5" xfId="2" applyBorder="1" applyAlignment="1" applyProtection="1">
      <alignment horizontal="center" vertical="center" wrapText="1"/>
    </xf>
    <xf numFmtId="0" fontId="16" fillId="5" borderId="5" xfId="2" applyFont="1" applyFill="1" applyBorder="1" applyAlignment="1" applyProtection="1">
      <alignment horizontal="center" vertical="center"/>
    </xf>
    <xf numFmtId="0" fontId="0" fillId="0" borderId="0" xfId="0" applyAlignment="1">
      <alignment horizontal="center" vertical="center"/>
    </xf>
    <xf numFmtId="0" fontId="31" fillId="0" borderId="0" xfId="0" applyFont="1"/>
    <xf numFmtId="0" fontId="8" fillId="0" borderId="0" xfId="0" applyFont="1" applyAlignment="1">
      <alignment horizontal="left" vertical="top"/>
    </xf>
    <xf numFmtId="165" fontId="10" fillId="4" borderId="56" xfId="2" applyNumberFormat="1" applyFont="1" applyFill="1" applyBorder="1" applyAlignment="1" applyProtection="1">
      <alignment horizontal="center" vertical="center"/>
    </xf>
    <xf numFmtId="165" fontId="12" fillId="4" borderId="57" xfId="2" applyNumberFormat="1" applyFont="1" applyFill="1" applyBorder="1" applyAlignment="1" applyProtection="1">
      <alignment horizontal="center" vertical="center" wrapText="1"/>
    </xf>
    <xf numFmtId="0" fontId="0" fillId="0" borderId="10" xfId="0" applyBorder="1" applyAlignment="1">
      <alignment horizontal="center"/>
    </xf>
    <xf numFmtId="0" fontId="8" fillId="4" borderId="0" xfId="0" applyFont="1" applyFill="1" applyAlignment="1">
      <alignment horizontal="center" textRotation="90" wrapText="1"/>
    </xf>
    <xf numFmtId="0" fontId="10" fillId="4" borderId="5" xfId="2" applyFont="1" applyFill="1" applyBorder="1" applyAlignment="1" applyProtection="1">
      <alignment horizontal="center" vertical="center" wrapText="1"/>
    </xf>
    <xf numFmtId="0" fontId="10" fillId="9" borderId="56" xfId="2" applyFont="1" applyFill="1" applyBorder="1" applyAlignment="1" applyProtection="1">
      <alignment horizontal="center" vertical="center" wrapText="1"/>
    </xf>
    <xf numFmtId="0" fontId="12" fillId="9" borderId="57" xfId="2" applyFont="1" applyFill="1" applyBorder="1" applyAlignment="1" applyProtection="1">
      <alignment horizontal="center" wrapText="1"/>
    </xf>
    <xf numFmtId="0" fontId="24" fillId="0" borderId="10" xfId="2" applyFont="1" applyBorder="1" applyAlignment="1" applyProtection="1">
      <alignment horizontal="center" vertical="center"/>
    </xf>
    <xf numFmtId="0" fontId="5" fillId="0" borderId="10" xfId="2" applyBorder="1" applyAlignment="1" applyProtection="1">
      <alignment horizontal="center" vertical="center"/>
    </xf>
    <xf numFmtId="0" fontId="24" fillId="0" borderId="13" xfId="2" applyFont="1" applyBorder="1" applyAlignment="1" applyProtection="1">
      <alignment horizontal="center" vertical="center"/>
    </xf>
    <xf numFmtId="0" fontId="16" fillId="5" borderId="10" xfId="2" applyFont="1" applyFill="1" applyBorder="1" applyAlignment="1" applyProtection="1">
      <alignment horizontal="center" vertical="top"/>
    </xf>
    <xf numFmtId="0" fontId="0" fillId="0" borderId="2" xfId="0" applyBorder="1" applyAlignment="1">
      <alignment horizontal="center" vertical="top"/>
    </xf>
    <xf numFmtId="0" fontId="24" fillId="0" borderId="2" xfId="2" applyFont="1" applyBorder="1" applyAlignment="1" applyProtection="1">
      <alignment horizontal="center" vertical="center"/>
    </xf>
    <xf numFmtId="0" fontId="5" fillId="0" borderId="2" xfId="2" applyBorder="1" applyAlignment="1" applyProtection="1">
      <alignment horizontal="center" vertical="center"/>
    </xf>
    <xf numFmtId="0" fontId="24" fillId="0" borderId="22" xfId="2" applyFont="1" applyBorder="1" applyAlignment="1" applyProtection="1">
      <alignment horizontal="center" vertical="center"/>
    </xf>
    <xf numFmtId="0" fontId="24" fillId="0" borderId="9" xfId="2" applyFont="1" applyBorder="1" applyAlignment="1" applyProtection="1">
      <alignment horizontal="center" vertical="center"/>
    </xf>
    <xf numFmtId="0" fontId="24" fillId="0" borderId="2" xfId="2" applyFont="1" applyBorder="1" applyAlignment="1" applyProtection="1">
      <alignment horizontal="center" vertical="center" wrapText="1"/>
    </xf>
    <xf numFmtId="0" fontId="0" fillId="0" borderId="2" xfId="0" applyBorder="1" applyAlignment="1">
      <alignment horizontal="center"/>
    </xf>
    <xf numFmtId="0" fontId="6" fillId="22" borderId="5" xfId="0" applyFont="1" applyFill="1" applyBorder="1"/>
    <xf numFmtId="0" fontId="32" fillId="22" borderId="5" xfId="0" applyFont="1" applyFill="1" applyBorder="1" applyAlignment="1">
      <alignment vertical="top"/>
    </xf>
    <xf numFmtId="0" fontId="0" fillId="22" borderId="5" xfId="0" applyFill="1" applyBorder="1" applyAlignment="1">
      <alignment horizontal="center"/>
    </xf>
    <xf numFmtId="0" fontId="32" fillId="22" borderId="5" xfId="0" applyFont="1" applyFill="1" applyBorder="1" applyAlignment="1">
      <alignment horizontal="center" vertical="top"/>
    </xf>
    <xf numFmtId="0" fontId="0" fillId="0" borderId="5" xfId="0" applyBorder="1" applyAlignment="1">
      <alignment horizontal="center" vertical="top"/>
    </xf>
    <xf numFmtId="0" fontId="24" fillId="0" borderId="5" xfId="2" applyFont="1" applyBorder="1" applyAlignment="1" applyProtection="1">
      <alignment horizontal="center" vertical="center"/>
    </xf>
    <xf numFmtId="0" fontId="27" fillId="11" borderId="5" xfId="2" applyFont="1" applyFill="1" applyBorder="1" applyAlignment="1" applyProtection="1">
      <alignment horizontal="center" vertical="top"/>
    </xf>
    <xf numFmtId="0" fontId="16" fillId="5" borderId="5" xfId="2" applyFont="1" applyFill="1" applyBorder="1" applyAlignment="1" applyProtection="1">
      <alignment horizontal="center" vertical="top"/>
    </xf>
    <xf numFmtId="0" fontId="24" fillId="0" borderId="9" xfId="2" applyFont="1" applyBorder="1" applyAlignment="1" applyProtection="1">
      <alignment horizontal="center" vertical="top"/>
    </xf>
    <xf numFmtId="0" fontId="0" fillId="0" borderId="20" xfId="0" applyBorder="1" applyAlignment="1">
      <alignment horizontal="center"/>
    </xf>
    <xf numFmtId="0" fontId="14" fillId="0" borderId="0" xfId="2" applyFont="1" applyBorder="1" applyAlignment="1" applyProtection="1">
      <alignment horizontal="center" vertical="top"/>
    </xf>
    <xf numFmtId="0" fontId="14" fillId="0" borderId="0" xfId="2" applyFont="1" applyBorder="1" applyAlignment="1" applyProtection="1">
      <alignment horizontal="center" vertical="center"/>
    </xf>
    <xf numFmtId="0" fontId="33" fillId="0" borderId="0" xfId="2" applyFont="1" applyBorder="1" applyAlignment="1" applyProtection="1">
      <alignment horizontal="center" vertical="top"/>
    </xf>
    <xf numFmtId="0" fontId="26" fillId="0" borderId="12" xfId="2" applyFont="1" applyBorder="1" applyAlignment="1" applyProtection="1">
      <alignment horizontal="center" vertical="top"/>
    </xf>
    <xf numFmtId="0" fontId="0" fillId="0" borderId="0" xfId="0" applyAlignment="1">
      <alignment horizontal="left"/>
    </xf>
    <xf numFmtId="0" fontId="34" fillId="3" borderId="63" xfId="6" applyBorder="1" applyAlignment="1" applyProtection="1">
      <alignment horizontal="center"/>
    </xf>
    <xf numFmtId="0" fontId="34" fillId="3" borderId="0" xfId="6" applyBorder="1" applyAlignment="1" applyProtection="1">
      <alignment horizontal="center"/>
    </xf>
    <xf numFmtId="0" fontId="34" fillId="3" borderId="20" xfId="6" applyBorder="1" applyAlignment="1" applyProtection="1">
      <alignment vertical="center" wrapText="1"/>
    </xf>
    <xf numFmtId="0" fontId="34" fillId="3" borderId="20" xfId="6" applyBorder="1" applyAlignment="1" applyProtection="1">
      <alignment vertical="center"/>
    </xf>
    <xf numFmtId="0" fontId="34" fillId="3" borderId="20" xfId="6" applyBorder="1" applyAlignment="1" applyProtection="1">
      <alignment horizontal="center"/>
    </xf>
    <xf numFmtId="49" fontId="34" fillId="3" borderId="20" xfId="6" applyNumberFormat="1" applyBorder="1" applyAlignment="1" applyProtection="1">
      <alignment horizontal="center"/>
    </xf>
    <xf numFmtId="0" fontId="34" fillId="3" borderId="30" xfId="6" applyBorder="1" applyAlignment="1" applyProtection="1">
      <alignment horizontal="center"/>
    </xf>
    <xf numFmtId="0" fontId="34" fillId="3" borderId="28" xfId="6" applyBorder="1" applyAlignment="1" applyProtection="1">
      <alignment horizontal="center"/>
    </xf>
    <xf numFmtId="0" fontId="34" fillId="3" borderId="64" xfId="6" applyBorder="1" applyAlignment="1" applyProtection="1">
      <alignment horizontal="center"/>
    </xf>
    <xf numFmtId="0" fontId="34" fillId="3" borderId="65" xfId="6" applyBorder="1" applyAlignment="1" applyProtection="1">
      <alignment horizontal="center"/>
    </xf>
    <xf numFmtId="0" fontId="34" fillId="3" borderId="65" xfId="6" applyBorder="1" applyAlignment="1" applyProtection="1">
      <alignment horizontal="left"/>
    </xf>
    <xf numFmtId="0" fontId="35" fillId="13" borderId="2" xfId="0" applyFont="1" applyFill="1" applyBorder="1" applyAlignment="1">
      <alignment vertical="top"/>
    </xf>
    <xf numFmtId="49" fontId="35" fillId="13" borderId="2" xfId="0" applyNumberFormat="1" applyFont="1" applyFill="1" applyBorder="1" applyAlignment="1">
      <alignment vertical="top"/>
    </xf>
    <xf numFmtId="0" fontId="35" fillId="13" borderId="2" xfId="0" applyFont="1" applyFill="1" applyBorder="1" applyAlignment="1">
      <alignment horizontal="left" vertical="top"/>
    </xf>
    <xf numFmtId="0" fontId="35" fillId="4" borderId="2" xfId="0" applyFont="1" applyFill="1" applyBorder="1" applyAlignment="1">
      <alignment horizontal="left" vertical="top"/>
    </xf>
    <xf numFmtId="0" fontId="35" fillId="13" borderId="2" xfId="0" applyFont="1" applyFill="1" applyBorder="1" applyAlignment="1">
      <alignment horizontal="center" vertical="top"/>
    </xf>
    <xf numFmtId="0" fontId="35" fillId="13" borderId="36" xfId="0" applyFont="1" applyFill="1" applyBorder="1" applyAlignment="1">
      <alignment horizontal="center" vertical="top"/>
    </xf>
    <xf numFmtId="0" fontId="35" fillId="13" borderId="63" xfId="0" applyFont="1" applyFill="1" applyBorder="1" applyAlignment="1">
      <alignment vertical="top"/>
    </xf>
    <xf numFmtId="0" fontId="35" fillId="13" borderId="66" xfId="0" applyFont="1" applyFill="1" applyBorder="1" applyAlignment="1">
      <alignment vertical="top"/>
    </xf>
    <xf numFmtId="0" fontId="35" fillId="13" borderId="6" xfId="0" applyFont="1" applyFill="1" applyBorder="1" applyAlignment="1">
      <alignment horizontal="center" vertical="top"/>
    </xf>
    <xf numFmtId="0" fontId="35" fillId="13" borderId="67" xfId="0" applyFont="1" applyFill="1" applyBorder="1" applyAlignment="1">
      <alignment vertical="top"/>
    </xf>
    <xf numFmtId="0" fontId="35" fillId="13" borderId="68" xfId="0" applyFont="1" applyFill="1" applyBorder="1" applyAlignment="1">
      <alignment vertical="top"/>
    </xf>
    <xf numFmtId="0" fontId="35" fillId="0" borderId="2" xfId="0" applyFont="1" applyBorder="1" applyAlignment="1">
      <alignment vertical="top"/>
    </xf>
    <xf numFmtId="49" fontId="35" fillId="0" borderId="2" xfId="0" applyNumberFormat="1" applyFont="1" applyBorder="1" applyAlignment="1">
      <alignment vertical="top"/>
    </xf>
    <xf numFmtId="0" fontId="0" fillId="0" borderId="2" xfId="0" applyBorder="1" applyAlignment="1">
      <alignment horizontal="left"/>
    </xf>
    <xf numFmtId="0" fontId="0" fillId="4" borderId="2" xfId="0" applyFill="1" applyBorder="1" applyAlignment="1">
      <alignment horizontal="left"/>
    </xf>
    <xf numFmtId="0" fontId="35" fillId="0" borderId="2" xfId="0" applyFont="1" applyBorder="1" applyAlignment="1">
      <alignment horizontal="center" vertical="top"/>
    </xf>
    <xf numFmtId="0" fontId="35" fillId="0" borderId="6" xfId="0" applyFont="1" applyBorder="1" applyAlignment="1">
      <alignment horizontal="center" vertical="top"/>
    </xf>
    <xf numFmtId="0" fontId="35" fillId="0" borderId="67" xfId="0" applyFont="1" applyBorder="1" applyAlignment="1">
      <alignment vertical="top"/>
    </xf>
    <xf numFmtId="0" fontId="35" fillId="0" borderId="68" xfId="0" applyFont="1" applyBorder="1" applyAlignment="1">
      <alignment vertical="top"/>
    </xf>
    <xf numFmtId="0" fontId="35" fillId="0" borderId="2" xfId="0" applyFont="1" applyBorder="1" applyAlignment="1">
      <alignment horizontal="left" vertical="top"/>
    </xf>
    <xf numFmtId="0" fontId="0" fillId="0" borderId="6" xfId="0" applyBorder="1" applyAlignment="1">
      <alignment horizontal="center"/>
    </xf>
    <xf numFmtId="0" fontId="0" fillId="13" borderId="2" xfId="0" applyFill="1" applyBorder="1"/>
    <xf numFmtId="0" fontId="35" fillId="13" borderId="6" xfId="0" applyFont="1" applyFill="1" applyBorder="1" applyAlignment="1">
      <alignment vertical="top"/>
    </xf>
    <xf numFmtId="0" fontId="35" fillId="13" borderId="22" xfId="0" applyFont="1" applyFill="1" applyBorder="1" applyAlignment="1">
      <alignment vertical="top"/>
    </xf>
    <xf numFmtId="0" fontId="0" fillId="13" borderId="0" xfId="0" applyFill="1"/>
    <xf numFmtId="0" fontId="35" fillId="3" borderId="2" xfId="0" applyFont="1" applyFill="1" applyBorder="1" applyAlignment="1">
      <alignment vertical="top"/>
    </xf>
    <xf numFmtId="49" fontId="35" fillId="3" borderId="2" xfId="0" applyNumberFormat="1" applyFont="1" applyFill="1" applyBorder="1" applyAlignment="1">
      <alignment vertical="top"/>
    </xf>
    <xf numFmtId="0" fontId="35" fillId="3" borderId="2" xfId="0" applyFont="1" applyFill="1" applyBorder="1" applyAlignment="1">
      <alignment horizontal="left" vertical="top"/>
    </xf>
    <xf numFmtId="0" fontId="35" fillId="3" borderId="2" xfId="0" applyFont="1" applyFill="1" applyBorder="1" applyAlignment="1">
      <alignment horizontal="center" vertical="top"/>
    </xf>
    <xf numFmtId="0" fontId="35" fillId="3" borderId="6" xfId="0" applyFont="1" applyFill="1" applyBorder="1" applyAlignment="1">
      <alignment horizontal="center" vertical="top"/>
    </xf>
    <xf numFmtId="0" fontId="35" fillId="3" borderId="67" xfId="0" applyFont="1" applyFill="1" applyBorder="1" applyAlignment="1">
      <alignment vertical="top"/>
    </xf>
    <xf numFmtId="0" fontId="35" fillId="3" borderId="68" xfId="0" applyFont="1" applyFill="1" applyBorder="1" applyAlignment="1">
      <alignment vertical="top"/>
    </xf>
    <xf numFmtId="0" fontId="0" fillId="3" borderId="0" xfId="0" applyFill="1"/>
    <xf numFmtId="0" fontId="35" fillId="4" borderId="2" xfId="0" applyFont="1" applyFill="1" applyBorder="1" applyAlignment="1">
      <alignment vertical="top"/>
    </xf>
    <xf numFmtId="49" fontId="35" fillId="4" borderId="2" xfId="0" applyNumberFormat="1" applyFont="1" applyFill="1" applyBorder="1" applyAlignment="1">
      <alignment vertical="top"/>
    </xf>
    <xf numFmtId="0" fontId="35" fillId="4" borderId="2" xfId="0" applyFont="1" applyFill="1" applyBorder="1" applyAlignment="1">
      <alignment horizontal="center" vertical="top"/>
    </xf>
    <xf numFmtId="0" fontId="35" fillId="4" borderId="68" xfId="0" applyFont="1" applyFill="1" applyBorder="1" applyAlignment="1">
      <alignment vertical="top"/>
    </xf>
    <xf numFmtId="0" fontId="0" fillId="4" borderId="0" xfId="0" applyFill="1"/>
    <xf numFmtId="0" fontId="0" fillId="13" borderId="2" xfId="0" applyFill="1" applyBorder="1" applyAlignment="1">
      <alignment horizontal="left"/>
    </xf>
    <xf numFmtId="0" fontId="35" fillId="0" borderId="40" xfId="0" applyFont="1" applyBorder="1" applyAlignment="1">
      <alignment vertical="top"/>
    </xf>
    <xf numFmtId="49" fontId="35" fillId="0" borderId="40" xfId="0" applyNumberFormat="1" applyFont="1" applyBorder="1" applyAlignment="1">
      <alignment vertical="top"/>
    </xf>
    <xf numFmtId="0" fontId="35" fillId="0" borderId="69" xfId="0" applyFont="1" applyBorder="1" applyAlignment="1">
      <alignment vertical="top"/>
    </xf>
    <xf numFmtId="0" fontId="34" fillId="0" borderId="73" xfId="6" applyFill="1" applyBorder="1" applyAlignment="1" applyProtection="1">
      <alignment horizontal="center"/>
    </xf>
    <xf numFmtId="0" fontId="34" fillId="0" borderId="70" xfId="6" applyFill="1" applyBorder="1" applyAlignment="1" applyProtection="1">
      <alignment horizontal="center"/>
    </xf>
    <xf numFmtId="0" fontId="34" fillId="0" borderId="74" xfId="6" applyFill="1" applyBorder="1" applyAlignment="1" applyProtection="1">
      <alignment horizontal="left" vertical="center"/>
    </xf>
    <xf numFmtId="0" fontId="34" fillId="0" borderId="29" xfId="6" applyFill="1" applyBorder="1" applyAlignment="1" applyProtection="1">
      <alignment horizontal="left" vertical="center"/>
    </xf>
    <xf numFmtId="49" fontId="34" fillId="0" borderId="29" xfId="6" applyNumberFormat="1" applyFill="1" applyBorder="1" applyAlignment="1" applyProtection="1">
      <alignment horizontal="left" vertical="center"/>
    </xf>
    <xf numFmtId="0" fontId="34" fillId="0" borderId="49" xfId="6" applyFill="1" applyBorder="1" applyAlignment="1" applyProtection="1">
      <alignment horizontal="left" vertical="center"/>
    </xf>
    <xf numFmtId="0" fontId="34" fillId="0" borderId="75" xfId="6" applyFill="1" applyBorder="1" applyAlignment="1" applyProtection="1">
      <alignment horizontal="left"/>
    </xf>
    <xf numFmtId="0" fontId="34" fillId="0" borderId="75" xfId="6" applyFill="1" applyBorder="1" applyAlignment="1" applyProtection="1">
      <alignment horizontal="left" vertical="center"/>
    </xf>
    <xf numFmtId="0" fontId="34" fillId="0" borderId="76" xfId="6" applyFill="1" applyBorder="1" applyAlignment="1" applyProtection="1">
      <alignment horizontal="left" vertical="center" wrapText="1"/>
    </xf>
    <xf numFmtId="0" fontId="34" fillId="0" borderId="77" xfId="6" applyFill="1" applyBorder="1" applyAlignment="1" applyProtection="1">
      <alignment horizontal="left" vertical="center"/>
    </xf>
    <xf numFmtId="0" fontId="34" fillId="0" borderId="78" xfId="6" applyFill="1" applyBorder="1" applyAlignment="1" applyProtection="1">
      <alignment horizontal="left"/>
    </xf>
    <xf numFmtId="0" fontId="34" fillId="0" borderId="79" xfId="6" applyFill="1" applyBorder="1" applyAlignment="1" applyProtection="1">
      <alignment horizontal="left"/>
    </xf>
    <xf numFmtId="0" fontId="34" fillId="0" borderId="76" xfId="6" applyFill="1" applyBorder="1" applyAlignment="1" applyProtection="1">
      <alignment horizontal="left"/>
    </xf>
    <xf numFmtId="0" fontId="34" fillId="0" borderId="62" xfId="6" applyFill="1" applyBorder="1" applyAlignment="1" applyProtection="1">
      <alignment horizontal="left"/>
    </xf>
    <xf numFmtId="0" fontId="34" fillId="0" borderId="80" xfId="6" applyFill="1" applyBorder="1" applyAlignment="1" applyProtection="1">
      <alignment horizontal="left"/>
    </xf>
    <xf numFmtId="0" fontId="0" fillId="13" borderId="5" xfId="0" applyFill="1" applyBorder="1" applyAlignment="1">
      <alignment horizontal="left" vertical="top"/>
    </xf>
    <xf numFmtId="1" fontId="0" fillId="13" borderId="5" xfId="0" applyNumberFormat="1" applyFill="1" applyBorder="1" applyAlignment="1">
      <alignment horizontal="left" vertical="top"/>
    </xf>
    <xf numFmtId="0" fontId="0" fillId="13" borderId="54" xfId="0" applyFill="1" applyBorder="1" applyAlignment="1">
      <alignment horizontal="left" vertical="top"/>
    </xf>
    <xf numFmtId="0" fontId="0" fillId="13" borderId="81" xfId="0" applyFill="1" applyBorder="1" applyAlignment="1">
      <alignment horizontal="left" vertical="top"/>
    </xf>
    <xf numFmtId="0" fontId="0" fillId="13" borderId="82" xfId="0" applyFill="1" applyBorder="1" applyAlignment="1">
      <alignment horizontal="left" vertical="top"/>
    </xf>
    <xf numFmtId="0" fontId="0" fillId="13" borderId="83" xfId="0" applyFill="1" applyBorder="1" applyAlignment="1">
      <alignment horizontal="left" vertical="top"/>
    </xf>
    <xf numFmtId="0" fontId="0" fillId="13" borderId="84" xfId="0" applyFill="1" applyBorder="1" applyAlignment="1">
      <alignment horizontal="left" vertical="top"/>
    </xf>
    <xf numFmtId="0" fontId="0" fillId="13" borderId="85" xfId="0" applyFill="1" applyBorder="1" applyAlignment="1">
      <alignment horizontal="left"/>
    </xf>
    <xf numFmtId="0" fontId="0" fillId="13" borderId="85" xfId="0" applyFill="1" applyBorder="1" applyAlignment="1">
      <alignment horizontal="left" vertical="top"/>
    </xf>
    <xf numFmtId="0" fontId="0" fillId="13" borderId="86" xfId="0" applyFill="1" applyBorder="1" applyAlignment="1">
      <alignment horizontal="left" vertical="top"/>
    </xf>
    <xf numFmtId="0" fontId="0" fillId="13" borderId="87" xfId="0" applyFill="1" applyBorder="1" applyAlignment="1">
      <alignment horizontal="left" vertical="top"/>
    </xf>
    <xf numFmtId="0" fontId="0" fillId="13" borderId="89" xfId="0" applyFill="1" applyBorder="1" applyAlignment="1">
      <alignment horizontal="left" vertical="top"/>
    </xf>
    <xf numFmtId="0" fontId="0" fillId="13" borderId="90" xfId="0" applyFill="1" applyBorder="1" applyAlignment="1">
      <alignment horizontal="left" vertical="top"/>
    </xf>
    <xf numFmtId="0" fontId="0" fillId="13" borderId="2" xfId="0" applyFill="1" applyBorder="1" applyAlignment="1">
      <alignment horizontal="left" vertical="top"/>
    </xf>
    <xf numFmtId="0" fontId="0" fillId="13" borderId="91" xfId="0" applyFill="1" applyBorder="1" applyAlignment="1">
      <alignment horizontal="left" vertical="top"/>
    </xf>
    <xf numFmtId="0" fontId="0" fillId="13" borderId="5" xfId="0" applyFill="1" applyBorder="1" applyAlignment="1">
      <alignment horizontal="left"/>
    </xf>
    <xf numFmtId="0" fontId="0" fillId="13" borderId="92" xfId="0" applyFill="1" applyBorder="1" applyAlignment="1">
      <alignment horizontal="left" vertical="top"/>
    </xf>
    <xf numFmtId="0" fontId="0" fillId="13" borderId="93" xfId="0" applyFill="1" applyBorder="1" applyAlignment="1">
      <alignment horizontal="left" vertical="top"/>
    </xf>
    <xf numFmtId="0" fontId="0" fillId="13" borderId="95" xfId="0" applyFill="1" applyBorder="1" applyAlignment="1">
      <alignment horizontal="left" vertical="top"/>
    </xf>
    <xf numFmtId="0" fontId="0" fillId="13" borderId="10" xfId="0" applyFill="1" applyBorder="1" applyAlignment="1">
      <alignment horizontal="left" vertical="top"/>
    </xf>
    <xf numFmtId="0" fontId="0" fillId="13" borderId="94" xfId="0" applyFill="1" applyBorder="1" applyAlignment="1">
      <alignment horizontal="left" vertical="top"/>
    </xf>
    <xf numFmtId="0" fontId="0" fillId="22" borderId="5" xfId="0" applyFill="1" applyBorder="1" applyAlignment="1">
      <alignment horizontal="left" vertical="top"/>
    </xf>
    <xf numFmtId="1" fontId="0" fillId="22" borderId="5" xfId="0" applyNumberFormat="1" applyFill="1" applyBorder="1" applyAlignment="1">
      <alignment horizontal="left" vertical="top"/>
    </xf>
    <xf numFmtId="0" fontId="0" fillId="22" borderId="54" xfId="0" applyFill="1" applyBorder="1" applyAlignment="1">
      <alignment horizontal="left" vertical="top"/>
    </xf>
    <xf numFmtId="0" fontId="0" fillId="22" borderId="89" xfId="0" applyFill="1" applyBorder="1" applyAlignment="1">
      <alignment horizontal="left" vertical="top"/>
    </xf>
    <xf numFmtId="0" fontId="0" fillId="22" borderId="90" xfId="0" applyFill="1" applyBorder="1" applyAlignment="1">
      <alignment horizontal="left" vertical="top"/>
    </xf>
    <xf numFmtId="0" fontId="0" fillId="22" borderId="2" xfId="0" applyFill="1" applyBorder="1" applyAlignment="1">
      <alignment horizontal="left" vertical="top"/>
    </xf>
    <xf numFmtId="0" fontId="0" fillId="22" borderId="91" xfId="0" applyFill="1" applyBorder="1" applyAlignment="1">
      <alignment horizontal="left" vertical="top"/>
    </xf>
    <xf numFmtId="0" fontId="0" fillId="22" borderId="5" xfId="0" applyFill="1" applyBorder="1" applyAlignment="1">
      <alignment horizontal="left"/>
    </xf>
    <xf numFmtId="0" fontId="0" fillId="22" borderId="92" xfId="0" applyFill="1" applyBorder="1" applyAlignment="1">
      <alignment horizontal="left" vertical="top"/>
    </xf>
    <xf numFmtId="0" fontId="0" fillId="22" borderId="93" xfId="0" applyFill="1" applyBorder="1" applyAlignment="1">
      <alignment horizontal="left" vertical="top"/>
    </xf>
    <xf numFmtId="0" fontId="0" fillId="22" borderId="95" xfId="0" applyFill="1" applyBorder="1" applyAlignment="1">
      <alignment horizontal="left" vertical="top"/>
    </xf>
    <xf numFmtId="0" fontId="0" fillId="22" borderId="0" xfId="0" applyFill="1"/>
    <xf numFmtId="0" fontId="0" fillId="0" borderId="5" xfId="0" applyBorder="1" applyAlignment="1">
      <alignment horizontal="left" vertical="top"/>
    </xf>
    <xf numFmtId="1" fontId="0" fillId="0" borderId="5" xfId="0" applyNumberFormat="1" applyBorder="1" applyAlignment="1">
      <alignment horizontal="left" vertical="top"/>
    </xf>
    <xf numFmtId="0" fontId="0" fillId="0" borderId="54" xfId="0" applyBorder="1" applyAlignment="1">
      <alignment horizontal="left" vertical="top"/>
    </xf>
    <xf numFmtId="0" fontId="0" fillId="0" borderId="89" xfId="0" applyBorder="1" applyAlignment="1">
      <alignment horizontal="left" vertical="top"/>
    </xf>
    <xf numFmtId="0" fontId="0" fillId="0" borderId="90" xfId="0" applyBorder="1" applyAlignment="1">
      <alignment horizontal="left" vertical="top"/>
    </xf>
    <xf numFmtId="0" fontId="0" fillId="0" borderId="90" xfId="0" applyBorder="1" applyAlignment="1">
      <alignment horizontal="left"/>
    </xf>
    <xf numFmtId="0" fontId="0" fillId="0" borderId="91" xfId="0" applyBorder="1" applyAlignment="1">
      <alignment horizontal="left" vertical="top"/>
    </xf>
    <xf numFmtId="0" fontId="0" fillId="0" borderId="5" xfId="0" applyBorder="1" applyAlignment="1">
      <alignment horizontal="left"/>
    </xf>
    <xf numFmtId="0" fontId="0" fillId="0" borderId="92" xfId="0" applyBorder="1" applyAlignment="1">
      <alignment horizontal="left" vertical="top"/>
    </xf>
    <xf numFmtId="0" fontId="0" fillId="0" borderId="93" xfId="0" applyBorder="1" applyAlignment="1">
      <alignment horizontal="left" vertical="top"/>
    </xf>
    <xf numFmtId="0" fontId="0" fillId="0" borderId="95" xfId="0" applyBorder="1" applyAlignment="1">
      <alignment horizontal="left" vertical="top"/>
    </xf>
    <xf numFmtId="0" fontId="0" fillId="0" borderId="10" xfId="0" applyBorder="1" applyAlignment="1">
      <alignment horizontal="left" vertical="top"/>
    </xf>
    <xf numFmtId="0" fontId="0" fillId="0" borderId="94" xfId="0" applyBorder="1" applyAlignment="1">
      <alignment horizontal="left" vertical="top"/>
    </xf>
    <xf numFmtId="0" fontId="0" fillId="0" borderId="2" xfId="0" applyBorder="1" applyAlignment="1">
      <alignment horizontal="left" vertical="top"/>
    </xf>
    <xf numFmtId="0" fontId="0" fillId="13" borderId="92" xfId="0" applyFill="1" applyBorder="1" applyAlignment="1">
      <alignment horizontal="left"/>
    </xf>
    <xf numFmtId="1" fontId="19" fillId="13" borderId="5" xfId="0" applyNumberFormat="1" applyFont="1" applyFill="1" applyBorder="1" applyAlignment="1">
      <alignment horizontal="left"/>
    </xf>
    <xf numFmtId="0" fontId="0" fillId="13" borderId="9" xfId="0" applyFill="1" applyBorder="1" applyAlignment="1">
      <alignment horizontal="left" vertical="top"/>
    </xf>
    <xf numFmtId="0" fontId="0" fillId="13" borderId="96" xfId="0" applyFill="1" applyBorder="1" applyAlignment="1">
      <alignment horizontal="left" vertical="top"/>
    </xf>
    <xf numFmtId="49" fontId="19" fillId="13" borderId="5" xfId="0" applyNumberFormat="1" applyFont="1" applyFill="1" applyBorder="1" applyAlignment="1">
      <alignment horizontal="left"/>
    </xf>
    <xf numFmtId="0" fontId="31" fillId="13" borderId="5" xfId="0" applyFont="1" applyFill="1" applyBorder="1" applyAlignment="1">
      <alignment horizontal="left" vertical="top"/>
    </xf>
    <xf numFmtId="1" fontId="0" fillId="13" borderId="5" xfId="0" applyNumberFormat="1" applyFill="1" applyBorder="1" applyAlignment="1">
      <alignment horizontal="left"/>
    </xf>
    <xf numFmtId="0" fontId="0" fillId="0" borderId="9" xfId="0" applyBorder="1" applyAlignment="1">
      <alignment horizontal="left" vertical="top"/>
    </xf>
    <xf numFmtId="0" fontId="0" fillId="0" borderId="96" xfId="0" applyBorder="1" applyAlignment="1">
      <alignment horizontal="left" vertical="top"/>
    </xf>
    <xf numFmtId="0" fontId="19" fillId="0" borderId="5" xfId="0" applyFont="1" applyBorder="1" applyAlignment="1">
      <alignment horizontal="left"/>
    </xf>
    <xf numFmtId="49" fontId="19" fillId="0" borderId="5" xfId="0" applyNumberFormat="1" applyFont="1" applyBorder="1" applyAlignment="1">
      <alignment horizontal="left"/>
    </xf>
    <xf numFmtId="0" fontId="36" fillId="0" borderId="2" xfId="0" applyFont="1" applyBorder="1" applyAlignment="1">
      <alignment horizontal="left"/>
    </xf>
    <xf numFmtId="0" fontId="36" fillId="0" borderId="90" xfId="0" applyFont="1" applyBorder="1" applyAlignment="1">
      <alignment horizontal="left"/>
    </xf>
    <xf numFmtId="1" fontId="19" fillId="0" borderId="5" xfId="0" applyNumberFormat="1" applyFont="1" applyBorder="1" applyAlignment="1">
      <alignment horizontal="left"/>
    </xf>
    <xf numFmtId="0" fontId="36" fillId="22" borderId="2" xfId="0" applyFont="1" applyFill="1" applyBorder="1" applyAlignment="1">
      <alignment horizontal="left"/>
    </xf>
    <xf numFmtId="0" fontId="36" fillId="22" borderId="90" xfId="0" applyFont="1" applyFill="1" applyBorder="1" applyAlignment="1">
      <alignment horizontal="left"/>
    </xf>
    <xf numFmtId="0" fontId="0" fillId="22" borderId="2" xfId="0" applyFill="1" applyBorder="1" applyAlignment="1">
      <alignment horizontal="left"/>
    </xf>
    <xf numFmtId="0" fontId="0" fillId="22" borderId="90" xfId="0" applyFill="1" applyBorder="1" applyAlignment="1">
      <alignment horizontal="left"/>
    </xf>
    <xf numFmtId="0" fontId="0" fillId="22" borderId="9" xfId="0" applyFill="1" applyBorder="1" applyAlignment="1">
      <alignment horizontal="left" vertical="top"/>
    </xf>
    <xf numFmtId="0" fontId="0" fillId="22" borderId="96" xfId="0" applyFill="1" applyBorder="1" applyAlignment="1">
      <alignment horizontal="left" vertical="top"/>
    </xf>
    <xf numFmtId="49" fontId="19" fillId="22" borderId="5" xfId="0" applyNumberFormat="1" applyFont="1" applyFill="1" applyBorder="1" applyAlignment="1">
      <alignment horizontal="left"/>
    </xf>
    <xf numFmtId="1" fontId="0" fillId="22" borderId="5" xfId="0" applyNumberFormat="1" applyFill="1" applyBorder="1" applyAlignment="1">
      <alignment horizontal="left"/>
    </xf>
    <xf numFmtId="0" fontId="0" fillId="22" borderId="54" xfId="0" applyFill="1" applyBorder="1" applyAlignment="1">
      <alignment horizontal="left"/>
    </xf>
    <xf numFmtId="11" fontId="0" fillId="22" borderId="90" xfId="0" applyNumberFormat="1" applyFill="1" applyBorder="1" applyAlignment="1">
      <alignment horizontal="left" vertical="top"/>
    </xf>
    <xf numFmtId="0" fontId="31" fillId="0" borderId="5" xfId="0" applyFont="1" applyBorder="1" applyAlignment="1">
      <alignment horizontal="left" vertical="top"/>
    </xf>
    <xf numFmtId="0" fontId="31" fillId="22" borderId="5" xfId="0" applyFont="1" applyFill="1" applyBorder="1" applyAlignment="1">
      <alignment horizontal="left"/>
    </xf>
    <xf numFmtId="1" fontId="19" fillId="22" borderId="5" xfId="0" applyNumberFormat="1" applyFont="1" applyFill="1" applyBorder="1" applyAlignment="1">
      <alignment horizontal="left"/>
    </xf>
    <xf numFmtId="0" fontId="0" fillId="22" borderId="97" xfId="0" applyFill="1" applyBorder="1" applyAlignment="1">
      <alignment horizontal="left" vertical="top"/>
    </xf>
    <xf numFmtId="0" fontId="0" fillId="22" borderId="47" xfId="0" applyFill="1" applyBorder="1" applyAlignment="1">
      <alignment horizontal="left" vertical="top"/>
    </xf>
    <xf numFmtId="1" fontId="0" fillId="22" borderId="47" xfId="0" applyNumberFormat="1" applyFill="1" applyBorder="1" applyAlignment="1">
      <alignment horizontal="left" vertical="top"/>
    </xf>
    <xf numFmtId="0" fontId="0" fillId="22" borderId="48" xfId="0" applyFill="1" applyBorder="1" applyAlignment="1">
      <alignment horizontal="left" vertical="top"/>
    </xf>
    <xf numFmtId="0" fontId="0" fillId="22" borderId="98" xfId="0" applyFill="1" applyBorder="1" applyAlignment="1">
      <alignment horizontal="left" vertical="top"/>
    </xf>
    <xf numFmtId="0" fontId="0" fillId="22" borderId="99" xfId="0" applyFill="1" applyBorder="1" applyAlignment="1">
      <alignment horizontal="left" vertical="top"/>
    </xf>
    <xf numFmtId="0" fontId="0" fillId="22" borderId="20" xfId="0" applyFill="1" applyBorder="1" applyAlignment="1">
      <alignment horizontal="left" vertical="top"/>
    </xf>
    <xf numFmtId="0" fontId="0" fillId="22" borderId="100" xfId="0" applyFill="1" applyBorder="1" applyAlignment="1">
      <alignment horizontal="left" vertical="top"/>
    </xf>
    <xf numFmtId="0" fontId="0" fillId="22" borderId="47" xfId="0" applyFill="1" applyBorder="1" applyAlignment="1">
      <alignment horizontal="left"/>
    </xf>
    <xf numFmtId="0" fontId="0" fillId="22" borderId="101" xfId="0" applyFill="1" applyBorder="1" applyAlignment="1">
      <alignment horizontal="left" vertical="top"/>
    </xf>
    <xf numFmtId="0" fontId="0" fillId="22" borderId="103" xfId="0" applyFill="1" applyBorder="1" applyAlignment="1">
      <alignment horizontal="left" vertical="top"/>
    </xf>
    <xf numFmtId="0" fontId="0" fillId="0" borderId="5" xfId="0" applyBorder="1" applyAlignment="1">
      <alignment vertical="center"/>
    </xf>
    <xf numFmtId="0" fontId="0" fillId="0" borderId="91" xfId="0" applyBorder="1"/>
    <xf numFmtId="0" fontId="0" fillId="0" borderId="92" xfId="0" applyBorder="1"/>
    <xf numFmtId="0" fontId="0" fillId="0" borderId="104" xfId="0" applyBorder="1" applyAlignment="1">
      <alignment horizontal="left" vertical="top"/>
    </xf>
    <xf numFmtId="0" fontId="0" fillId="0" borderId="104" xfId="0" applyBorder="1"/>
    <xf numFmtId="0" fontId="0" fillId="0" borderId="42" xfId="0" applyBorder="1" applyAlignment="1">
      <alignment horizontal="left" vertical="top"/>
    </xf>
    <xf numFmtId="0" fontId="0" fillId="0" borderId="42" xfId="0" applyBorder="1" applyAlignment="1">
      <alignment vertical="center"/>
    </xf>
    <xf numFmtId="0" fontId="0" fillId="0" borderId="105" xfId="0" applyBorder="1" applyAlignment="1">
      <alignment horizontal="left" vertical="top"/>
    </xf>
    <xf numFmtId="0" fontId="0" fillId="0" borderId="106" xfId="0" applyBorder="1"/>
    <xf numFmtId="0" fontId="0" fillId="0" borderId="107" xfId="0" applyBorder="1" applyAlignment="1">
      <alignment horizontal="left" vertical="top"/>
    </xf>
    <xf numFmtId="0" fontId="0" fillId="0" borderId="42" xfId="0" applyBorder="1"/>
    <xf numFmtId="0" fontId="0" fillId="0" borderId="107" xfId="0" applyBorder="1"/>
    <xf numFmtId="0" fontId="0" fillId="0" borderId="106" xfId="0" applyBorder="1" applyAlignment="1">
      <alignment horizontal="left" vertical="top"/>
    </xf>
    <xf numFmtId="0" fontId="0" fillId="0" borderId="42" xfId="0" applyBorder="1" applyAlignment="1">
      <alignment horizontal="left"/>
    </xf>
    <xf numFmtId="0" fontId="0" fillId="0" borderId="108" xfId="0" applyBorder="1" applyAlignment="1">
      <alignment horizontal="left" vertical="top"/>
    </xf>
    <xf numFmtId="0" fontId="0" fillId="0" borderId="108" xfId="0" applyBorder="1"/>
    <xf numFmtId="49" fontId="0" fillId="0" borderId="0" xfId="0" applyNumberFormat="1"/>
    <xf numFmtId="49" fontId="38" fillId="0" borderId="0" xfId="0" applyNumberFormat="1" applyFont="1" applyAlignment="1">
      <alignment vertical="center"/>
    </xf>
    <xf numFmtId="0" fontId="39" fillId="0" borderId="0" xfId="0" applyFont="1"/>
    <xf numFmtId="0" fontId="37" fillId="0" borderId="0" xfId="0" applyFont="1" applyAlignment="1">
      <alignment horizontal="left"/>
    </xf>
    <xf numFmtId="0" fontId="40" fillId="0" borderId="0" xfId="0" applyFont="1" applyAlignment="1">
      <alignment horizontal="left"/>
    </xf>
    <xf numFmtId="0" fontId="0" fillId="0" borderId="0" xfId="0" applyAlignment="1">
      <alignment horizontal="right"/>
    </xf>
    <xf numFmtId="0" fontId="7" fillId="0" borderId="0" xfId="0" applyFont="1" applyAlignment="1">
      <alignment horizontal="left"/>
    </xf>
    <xf numFmtId="0" fontId="8" fillId="0" borderId="0" xfId="0" applyFont="1" applyAlignment="1">
      <alignment horizontal="left"/>
    </xf>
    <xf numFmtId="0" fontId="9" fillId="5" borderId="110" xfId="0" applyFont="1" applyFill="1" applyBorder="1" applyAlignment="1">
      <alignment horizontal="center"/>
    </xf>
    <xf numFmtId="0" fontId="9" fillId="6" borderId="111" xfId="0" applyFont="1" applyFill="1" applyBorder="1"/>
    <xf numFmtId="0" fontId="41" fillId="13" borderId="112" xfId="0" applyFont="1" applyFill="1" applyBorder="1" applyAlignment="1">
      <alignment horizontal="center"/>
    </xf>
    <xf numFmtId="0" fontId="41" fillId="13" borderId="113" xfId="0" applyFont="1" applyFill="1" applyBorder="1" applyAlignment="1">
      <alignment horizontal="center"/>
    </xf>
    <xf numFmtId="0" fontId="41" fillId="13" borderId="41" xfId="0" applyFont="1" applyFill="1" applyBorder="1" applyAlignment="1">
      <alignment horizontal="center"/>
    </xf>
    <xf numFmtId="0" fontId="10" fillId="7" borderId="114" xfId="0" applyFont="1" applyFill="1" applyBorder="1" applyAlignment="1">
      <alignment horizontal="left" wrapText="1"/>
    </xf>
    <xf numFmtId="0" fontId="10" fillId="7" borderId="19" xfId="0" applyFont="1" applyFill="1" applyBorder="1" applyAlignment="1">
      <alignment horizontal="left" wrapText="1"/>
    </xf>
    <xf numFmtId="0" fontId="8" fillId="7" borderId="43" xfId="0" applyFont="1" applyFill="1" applyBorder="1" applyAlignment="1">
      <alignment horizontal="center" wrapText="1"/>
    </xf>
    <xf numFmtId="0" fontId="10" fillId="7" borderId="43" xfId="0" applyFont="1" applyFill="1" applyBorder="1" applyAlignment="1">
      <alignment horizontal="left" wrapText="1"/>
    </xf>
    <xf numFmtId="0" fontId="42" fillId="7" borderId="43" xfId="0" applyFont="1" applyFill="1" applyBorder="1" applyAlignment="1">
      <alignment horizontal="left" wrapText="1"/>
    </xf>
    <xf numFmtId="0" fontId="5" fillId="7" borderId="43" xfId="2" applyFill="1" applyBorder="1" applyAlignment="1" applyProtection="1">
      <alignment horizontal="center" wrapText="1"/>
    </xf>
    <xf numFmtId="0" fontId="42" fillId="7" borderId="43" xfId="0" applyFont="1" applyFill="1" applyBorder="1" applyAlignment="1">
      <alignment wrapText="1"/>
    </xf>
    <xf numFmtId="0" fontId="43" fillId="7" borderId="43" xfId="2" applyFont="1" applyFill="1" applyBorder="1" applyAlignment="1" applyProtection="1">
      <alignment horizontal="center" wrapText="1"/>
    </xf>
    <xf numFmtId="0" fontId="5" fillId="7" borderId="115" xfId="2" applyFill="1" applyBorder="1" applyAlignment="1" applyProtection="1">
      <alignment horizontal="center" wrapText="1"/>
    </xf>
    <xf numFmtId="0" fontId="42" fillId="7" borderId="115" xfId="0" applyFont="1" applyFill="1" applyBorder="1" applyAlignment="1">
      <alignment horizontal="center" wrapText="1"/>
    </xf>
    <xf numFmtId="0" fontId="42" fillId="7" borderId="115" xfId="0" applyFont="1" applyFill="1" applyBorder="1" applyAlignment="1">
      <alignment horizontal="center" textRotation="90" wrapText="1"/>
    </xf>
    <xf numFmtId="0" fontId="12" fillId="7" borderId="115" xfId="0" applyFont="1" applyFill="1" applyBorder="1" applyAlignment="1">
      <alignment horizontal="center" textRotation="90" wrapText="1"/>
    </xf>
    <xf numFmtId="0" fontId="44" fillId="7" borderId="116" xfId="2" applyFont="1" applyFill="1" applyBorder="1" applyAlignment="1" applyProtection="1">
      <alignment horizontal="center" wrapText="1"/>
    </xf>
    <xf numFmtId="0" fontId="44" fillId="7" borderId="39" xfId="2" applyFont="1" applyFill="1" applyBorder="1" applyAlignment="1" applyProtection="1">
      <alignment horizontal="center" wrapText="1"/>
    </xf>
    <xf numFmtId="0" fontId="12" fillId="7" borderId="39" xfId="0" applyFont="1" applyFill="1" applyBorder="1" applyAlignment="1">
      <alignment horizontal="center" wrapText="1"/>
    </xf>
    <xf numFmtId="0" fontId="12" fillId="7" borderId="1" xfId="0" applyFont="1" applyFill="1" applyBorder="1" applyAlignment="1">
      <alignment horizontal="center" wrapText="1"/>
    </xf>
    <xf numFmtId="0" fontId="12" fillId="7" borderId="41" xfId="0" applyFont="1" applyFill="1" applyBorder="1" applyAlignment="1">
      <alignment horizontal="center" wrapText="1"/>
    </xf>
    <xf numFmtId="0" fontId="14" fillId="0" borderId="0" xfId="0" applyFont="1"/>
    <xf numFmtId="0" fontId="5" fillId="0" borderId="0" xfId="2" applyBorder="1" applyAlignment="1" applyProtection="1">
      <alignment vertical="center"/>
    </xf>
    <xf numFmtId="0" fontId="5" fillId="0" borderId="0" xfId="2" applyBorder="1" applyAlignment="1" applyProtection="1">
      <alignment horizontal="left" vertical="center"/>
    </xf>
    <xf numFmtId="0" fontId="14" fillId="0" borderId="1" xfId="2" applyFont="1" applyBorder="1" applyAlignment="1" applyProtection="1">
      <alignment horizontal="center" vertical="center"/>
    </xf>
    <xf numFmtId="0" fontId="14" fillId="0" borderId="1" xfId="2" applyFont="1" applyBorder="1" applyAlignment="1" applyProtection="1">
      <alignment horizontal="left" vertical="center"/>
    </xf>
    <xf numFmtId="0" fontId="0" fillId="0" borderId="1" xfId="0" applyBorder="1" applyAlignment="1">
      <alignment horizontal="left" vertical="center"/>
    </xf>
    <xf numFmtId="0" fontId="0" fillId="0" borderId="1" xfId="0" applyBorder="1" applyAlignment="1">
      <alignment vertical="center"/>
    </xf>
    <xf numFmtId="0" fontId="5" fillId="0" borderId="1" xfId="2" applyBorder="1" applyAlignment="1" applyProtection="1">
      <alignment horizontal="center" vertical="center"/>
    </xf>
    <xf numFmtId="0" fontId="5" fillId="0" borderId="1" xfId="2" applyBorder="1" applyAlignment="1" applyProtection="1">
      <alignment horizontal="left" vertical="center"/>
    </xf>
    <xf numFmtId="0" fontId="0" fillId="0" borderId="1" xfId="0" applyBorder="1" applyAlignment="1">
      <alignment horizontal="center" vertical="center"/>
    </xf>
    <xf numFmtId="0" fontId="5" fillId="0" borderId="1" xfId="2" applyBorder="1" applyAlignment="1" applyProtection="1">
      <alignment vertical="center"/>
    </xf>
    <xf numFmtId="0" fontId="0" fillId="0" borderId="1" xfId="0" applyBorder="1" applyAlignment="1">
      <alignment horizontal="right" vertical="center"/>
    </xf>
    <xf numFmtId="0" fontId="19" fillId="0" borderId="1" xfId="0" applyFont="1" applyBorder="1" applyAlignment="1">
      <alignment horizontal="right" vertical="center"/>
    </xf>
    <xf numFmtId="0" fontId="14" fillId="0" borderId="12" xfId="2" applyFont="1" applyBorder="1" applyAlignment="1" applyProtection="1">
      <alignment horizontal="center" vertical="center"/>
    </xf>
    <xf numFmtId="0" fontId="5" fillId="0" borderId="0" xfId="2" applyBorder="1" applyAlignment="1" applyProtection="1">
      <alignment horizontal="center" vertical="top" wrapText="1"/>
    </xf>
    <xf numFmtId="0" fontId="14" fillId="0" borderId="12" xfId="2" applyFont="1" applyBorder="1" applyAlignment="1" applyProtection="1">
      <alignment horizontal="center"/>
    </xf>
    <xf numFmtId="0" fontId="5" fillId="0" borderId="23" xfId="2" applyBorder="1" applyAlignment="1" applyProtection="1">
      <alignment horizontal="center" vertical="top" wrapText="1"/>
    </xf>
    <xf numFmtId="0" fontId="14" fillId="4" borderId="0" xfId="0" applyFont="1" applyFill="1" applyAlignment="1">
      <alignment horizontal="left" vertical="top"/>
    </xf>
    <xf numFmtId="0" fontId="14" fillId="4" borderId="0" xfId="0" applyFont="1" applyFill="1" applyAlignment="1">
      <alignment horizontal="center" vertical="top"/>
    </xf>
    <xf numFmtId="0" fontId="0" fillId="4" borderId="0" xfId="0" applyFill="1" applyAlignment="1">
      <alignment horizontal="left"/>
    </xf>
    <xf numFmtId="0" fontId="5" fillId="4" borderId="0" xfId="2" applyFill="1" applyBorder="1" applyAlignment="1" applyProtection="1">
      <alignment horizontal="center"/>
    </xf>
    <xf numFmtId="0" fontId="5" fillId="4" borderId="0" xfId="2" applyFill="1" applyBorder="1" applyAlignment="1" applyProtection="1">
      <alignment vertical="top"/>
    </xf>
    <xf numFmtId="0" fontId="0" fillId="4" borderId="14" xfId="0" applyFill="1" applyBorder="1" applyAlignment="1">
      <alignment horizontal="center"/>
    </xf>
    <xf numFmtId="0" fontId="0" fillId="4" borderId="0" xfId="0" applyFill="1" applyAlignment="1">
      <alignment horizontal="center"/>
    </xf>
    <xf numFmtId="0" fontId="5" fillId="4" borderId="0" xfId="2" applyFill="1" applyBorder="1" applyProtection="1"/>
    <xf numFmtId="0" fontId="14" fillId="4" borderId="0" xfId="2" applyFont="1" applyFill="1" applyBorder="1" applyAlignment="1" applyProtection="1">
      <alignment horizontal="center"/>
    </xf>
    <xf numFmtId="3" fontId="45" fillId="4" borderId="0" xfId="0" applyNumberFormat="1" applyFont="1" applyFill="1" applyAlignment="1">
      <alignment wrapText="1"/>
    </xf>
    <xf numFmtId="0" fontId="5" fillId="4" borderId="12" xfId="2" applyFill="1" applyBorder="1" applyAlignment="1" applyProtection="1">
      <alignment horizontal="center" vertical="top"/>
    </xf>
    <xf numFmtId="0" fontId="46" fillId="4" borderId="12" xfId="2" applyFont="1" applyFill="1" applyBorder="1" applyAlignment="1" applyProtection="1">
      <alignment horizontal="center" vertical="top"/>
    </xf>
    <xf numFmtId="0" fontId="16" fillId="4" borderId="21" xfId="2" applyFont="1" applyFill="1" applyBorder="1" applyAlignment="1" applyProtection="1">
      <alignment horizontal="center" vertical="center"/>
    </xf>
    <xf numFmtId="0" fontId="46" fillId="4" borderId="1" xfId="2" applyFont="1" applyFill="1" applyBorder="1" applyAlignment="1" applyProtection="1">
      <alignment horizontal="center" vertical="top" wrapText="1"/>
    </xf>
    <xf numFmtId="0" fontId="46" fillId="4" borderId="23" xfId="2" applyFont="1" applyFill="1" applyBorder="1" applyAlignment="1" applyProtection="1">
      <alignment horizontal="center" vertical="top"/>
    </xf>
    <xf numFmtId="0" fontId="46" fillId="4" borderId="12" xfId="2" applyFont="1" applyFill="1" applyBorder="1" applyAlignment="1" applyProtection="1">
      <alignment horizontal="center" vertical="top" wrapText="1"/>
    </xf>
    <xf numFmtId="0" fontId="0" fillId="4" borderId="0" xfId="0" applyFill="1" applyAlignment="1">
      <alignment vertical="center"/>
    </xf>
    <xf numFmtId="0" fontId="14" fillId="4" borderId="0" xfId="0" applyFont="1" applyFill="1" applyAlignment="1">
      <alignment horizontal="left" vertical="center"/>
    </xf>
    <xf numFmtId="0" fontId="14" fillId="4" borderId="0" xfId="0" applyFont="1" applyFill="1" applyAlignment="1">
      <alignment horizontal="center" vertical="center"/>
    </xf>
    <xf numFmtId="0" fontId="0" fillId="4" borderId="0" xfId="0" applyFill="1" applyAlignment="1">
      <alignment horizontal="left" vertical="center"/>
    </xf>
    <xf numFmtId="0" fontId="5" fillId="4" borderId="0" xfId="2" applyFill="1" applyBorder="1" applyAlignment="1" applyProtection="1">
      <alignment horizontal="center" vertical="center"/>
    </xf>
    <xf numFmtId="0" fontId="5" fillId="4" borderId="0" xfId="2" applyFill="1" applyBorder="1" applyAlignment="1" applyProtection="1">
      <alignment vertical="center"/>
    </xf>
    <xf numFmtId="0" fontId="0" fillId="4" borderId="14" xfId="0" applyFill="1" applyBorder="1" applyAlignment="1">
      <alignment horizontal="center" vertical="center"/>
    </xf>
    <xf numFmtId="0" fontId="0" fillId="4" borderId="0" xfId="0" applyFill="1" applyAlignment="1">
      <alignment horizontal="center" vertical="center"/>
    </xf>
    <xf numFmtId="0" fontId="5" fillId="4" borderId="17" xfId="2" applyFill="1" applyBorder="1" applyAlignment="1" applyProtection="1">
      <alignment vertical="center"/>
    </xf>
    <xf numFmtId="0" fontId="0" fillId="4" borderId="0" xfId="0" applyFill="1" applyAlignment="1">
      <alignment horizontal="right" vertical="center"/>
    </xf>
    <xf numFmtId="0" fontId="19" fillId="4" borderId="0" xfId="0" applyFont="1" applyFill="1" applyAlignment="1">
      <alignment horizontal="right" vertical="center"/>
    </xf>
    <xf numFmtId="0" fontId="14" fillId="4" borderId="12" xfId="2" applyFont="1" applyFill="1" applyBorder="1" applyAlignment="1" applyProtection="1">
      <alignment horizontal="center" vertical="center"/>
    </xf>
    <xf numFmtId="0" fontId="5" fillId="4" borderId="19" xfId="2" applyFill="1" applyBorder="1" applyAlignment="1" applyProtection="1">
      <alignment horizontal="center" vertical="center"/>
    </xf>
    <xf numFmtId="0" fontId="5" fillId="4" borderId="117" xfId="2" applyFill="1" applyBorder="1" applyAlignment="1" applyProtection="1">
      <alignment horizontal="center" vertical="center" wrapText="1"/>
    </xf>
    <xf numFmtId="0" fontId="5" fillId="4" borderId="12" xfId="2" applyFill="1" applyBorder="1" applyAlignment="1" applyProtection="1">
      <alignment horizontal="center" vertical="center" wrapText="1"/>
    </xf>
    <xf numFmtId="0" fontId="0" fillId="0" borderId="0" xfId="0" applyAlignment="1">
      <alignment vertical="center"/>
    </xf>
    <xf numFmtId="0" fontId="0" fillId="18" borderId="12" xfId="0" applyFill="1" applyBorder="1"/>
    <xf numFmtId="0" fontId="0" fillId="18" borderId="12" xfId="0" applyFill="1" applyBorder="1" applyAlignment="1">
      <alignment horizontal="center" vertical="center"/>
    </xf>
    <xf numFmtId="0" fontId="19" fillId="18" borderId="12" xfId="0" applyFont="1" applyFill="1" applyBorder="1" applyAlignment="1">
      <alignment vertical="center"/>
    </xf>
    <xf numFmtId="0" fontId="0" fillId="18" borderId="12" xfId="0" applyFill="1" applyBorder="1" applyAlignment="1">
      <alignment vertical="center" wrapText="1"/>
    </xf>
    <xf numFmtId="3" fontId="45" fillId="18" borderId="12" xfId="0" applyNumberFormat="1" applyFont="1" applyFill="1" applyBorder="1" applyAlignment="1">
      <alignment wrapText="1"/>
    </xf>
    <xf numFmtId="164" fontId="47" fillId="18" borderId="12" xfId="2" applyNumberFormat="1" applyFont="1" applyFill="1" applyBorder="1" applyAlignment="1" applyProtection="1">
      <alignment horizontal="center" vertical="top" wrapText="1"/>
    </xf>
    <xf numFmtId="0" fontId="5" fillId="18" borderId="17" xfId="2" applyFill="1" applyBorder="1" applyAlignment="1" applyProtection="1">
      <alignment horizontal="center" vertical="top"/>
    </xf>
    <xf numFmtId="0" fontId="5" fillId="18" borderId="14" xfId="2" applyFill="1" applyBorder="1" applyAlignment="1" applyProtection="1">
      <alignment horizontal="center" vertical="top"/>
    </xf>
    <xf numFmtId="0" fontId="5" fillId="15" borderId="12" xfId="2" applyFill="1" applyBorder="1" applyAlignment="1" applyProtection="1">
      <alignment horizontal="left" vertical="top"/>
    </xf>
    <xf numFmtId="0" fontId="14" fillId="15" borderId="12" xfId="0" applyFont="1" applyFill="1" applyBorder="1" applyAlignment="1">
      <alignment horizontal="left" vertical="top"/>
    </xf>
    <xf numFmtId="0" fontId="25" fillId="15" borderId="12" xfId="0" applyFont="1" applyFill="1" applyBorder="1" applyAlignment="1">
      <alignment horizontal="center" vertical="top"/>
    </xf>
    <xf numFmtId="0" fontId="5" fillId="15" borderId="12" xfId="2" applyFill="1" applyBorder="1" applyAlignment="1" applyProtection="1">
      <alignment vertical="top"/>
    </xf>
    <xf numFmtId="0" fontId="0" fillId="15" borderId="12" xfId="0" applyFill="1" applyBorder="1" applyAlignment="1">
      <alignment horizontal="right"/>
    </xf>
    <xf numFmtId="3" fontId="45" fillId="15" borderId="12" xfId="0" applyNumberFormat="1" applyFont="1" applyFill="1" applyBorder="1" applyAlignment="1">
      <alignment wrapText="1"/>
    </xf>
    <xf numFmtId="164" fontId="46" fillId="15" borderId="12" xfId="2" applyNumberFormat="1" applyFont="1" applyFill="1" applyBorder="1" applyAlignment="1" applyProtection="1">
      <alignment horizontal="center" vertical="top" wrapText="1"/>
    </xf>
    <xf numFmtId="0" fontId="46" fillId="15" borderId="118" xfId="2" applyFont="1" applyFill="1" applyBorder="1" applyAlignment="1" applyProtection="1">
      <alignment horizontal="center" vertical="top" wrapText="1"/>
    </xf>
    <xf numFmtId="164" fontId="46" fillId="15" borderId="119" xfId="2" applyNumberFormat="1" applyFont="1" applyFill="1" applyBorder="1" applyAlignment="1" applyProtection="1">
      <alignment horizontal="center" vertical="top" wrapText="1"/>
    </xf>
    <xf numFmtId="164" fontId="46" fillId="15" borderId="1" xfId="2" applyNumberFormat="1" applyFont="1" applyFill="1" applyBorder="1" applyAlignment="1" applyProtection="1">
      <alignment horizontal="center" vertical="top" wrapText="1"/>
    </xf>
    <xf numFmtId="0" fontId="46" fillId="15" borderId="23" xfId="2" applyFont="1" applyFill="1" applyBorder="1" applyAlignment="1" applyProtection="1">
      <alignment horizontal="center" vertical="top"/>
    </xf>
    <xf numFmtId="0" fontId="46" fillId="15" borderId="12" xfId="2" applyFont="1" applyFill="1" applyBorder="1" applyAlignment="1" applyProtection="1">
      <alignment horizontal="center" vertical="top"/>
    </xf>
    <xf numFmtId="0" fontId="0" fillId="15" borderId="12" xfId="0" applyFill="1" applyBorder="1" applyAlignment="1">
      <alignment horizontal="left" vertical="top"/>
    </xf>
    <xf numFmtId="0" fontId="46" fillId="15" borderId="19" xfId="2" applyFont="1" applyFill="1" applyBorder="1" applyAlignment="1" applyProtection="1">
      <alignment horizontal="center" vertical="top"/>
    </xf>
    <xf numFmtId="0" fontId="46" fillId="15" borderId="12" xfId="2" applyFont="1" applyFill="1" applyBorder="1" applyAlignment="1" applyProtection="1">
      <alignment horizontal="center" vertical="top" wrapText="1"/>
    </xf>
    <xf numFmtId="0" fontId="46" fillId="15" borderId="120" xfId="2" applyFont="1" applyFill="1" applyBorder="1" applyAlignment="1" applyProtection="1">
      <alignment horizontal="center" vertical="top" wrapText="1"/>
    </xf>
    <xf numFmtId="0" fontId="14" fillId="15" borderId="12" xfId="0" applyFont="1" applyFill="1" applyBorder="1" applyAlignment="1">
      <alignment vertical="top"/>
    </xf>
    <xf numFmtId="3" fontId="49" fillId="15" borderId="12" xfId="0" applyNumberFormat="1" applyFont="1" applyFill="1" applyBorder="1" applyAlignment="1">
      <alignment wrapText="1"/>
    </xf>
    <xf numFmtId="0" fontId="46" fillId="15" borderId="121" xfId="2" applyFont="1" applyFill="1" applyBorder="1" applyAlignment="1" applyProtection="1">
      <alignment horizontal="center" vertical="top" wrapText="1"/>
    </xf>
    <xf numFmtId="3" fontId="0" fillId="15" borderId="12" xfId="0" applyNumberFormat="1" applyFill="1" applyBorder="1" applyAlignment="1">
      <alignment horizontal="right"/>
    </xf>
    <xf numFmtId="0" fontId="5" fillId="15" borderId="12" xfId="2" applyFill="1" applyBorder="1" applyAlignment="1" applyProtection="1">
      <alignment horizontal="left"/>
    </xf>
    <xf numFmtId="0" fontId="5" fillId="15" borderId="12" xfId="2" applyFill="1" applyBorder="1" applyProtection="1"/>
    <xf numFmtId="164" fontId="46" fillId="15" borderId="122" xfId="2" applyNumberFormat="1" applyFont="1" applyFill="1" applyBorder="1" applyAlignment="1" applyProtection="1">
      <alignment horizontal="center" vertical="top" wrapText="1"/>
    </xf>
    <xf numFmtId="0" fontId="40" fillId="0" borderId="0" xfId="0" applyFont="1"/>
    <xf numFmtId="0" fontId="51" fillId="0" borderId="0" xfId="0" applyFont="1"/>
    <xf numFmtId="0" fontId="52" fillId="0" borderId="0" xfId="0" applyFont="1"/>
    <xf numFmtId="0" fontId="53" fillId="0" borderId="0" xfId="0" applyFont="1"/>
    <xf numFmtId="0" fontId="54" fillId="0" borderId="123" xfId="0" applyFont="1" applyBorder="1" applyAlignment="1">
      <alignment vertical="top" wrapText="1"/>
    </xf>
    <xf numFmtId="0" fontId="53" fillId="0" borderId="124" xfId="0" applyFont="1" applyBorder="1" applyAlignment="1">
      <alignment vertical="top" wrapText="1"/>
    </xf>
    <xf numFmtId="0" fontId="54" fillId="6" borderId="125" xfId="0" applyFont="1" applyFill="1" applyBorder="1" applyAlignment="1">
      <alignment vertical="top" wrapText="1"/>
    </xf>
    <xf numFmtId="0" fontId="53" fillId="6" borderId="126" xfId="0" applyFont="1" applyFill="1" applyBorder="1" applyAlignment="1">
      <alignment vertical="top" wrapText="1"/>
    </xf>
    <xf numFmtId="0" fontId="54" fillId="0" borderId="125" xfId="0" applyFont="1" applyBorder="1" applyAlignment="1">
      <alignment vertical="top" wrapText="1"/>
    </xf>
    <xf numFmtId="0" fontId="53" fillId="0" borderId="126" xfId="0" applyFont="1" applyBorder="1" applyAlignment="1">
      <alignment vertical="top" wrapText="1"/>
    </xf>
    <xf numFmtId="11" fontId="53" fillId="0" borderId="126" xfId="0" applyNumberFormat="1" applyFont="1" applyBorder="1" applyAlignment="1">
      <alignment vertical="top" wrapText="1"/>
    </xf>
    <xf numFmtId="0" fontId="55" fillId="0" borderId="0" xfId="0" applyFont="1"/>
    <xf numFmtId="0" fontId="53" fillId="0" borderId="0" xfId="0" applyFont="1" applyAlignment="1">
      <alignment horizontal="left"/>
    </xf>
    <xf numFmtId="0" fontId="56" fillId="0" borderId="0" xfId="0" applyFont="1"/>
    <xf numFmtId="0" fontId="53" fillId="0" borderId="123" xfId="0" applyFont="1" applyBorder="1" applyAlignment="1">
      <alignment vertical="top" wrapText="1"/>
    </xf>
    <xf numFmtId="0" fontId="53" fillId="0" borderId="125" xfId="0" applyFont="1" applyBorder="1" applyAlignment="1">
      <alignment vertical="top" wrapText="1"/>
    </xf>
    <xf numFmtId="0" fontId="6" fillId="3" borderId="127" xfId="0" applyFont="1" applyFill="1" applyBorder="1" applyAlignment="1">
      <alignment horizontal="center" vertical="center" wrapText="1"/>
    </xf>
    <xf numFmtId="0" fontId="6" fillId="3" borderId="128" xfId="0" applyFont="1" applyFill="1" applyBorder="1" applyAlignment="1">
      <alignment horizontal="center" vertical="center" wrapText="1"/>
    </xf>
    <xf numFmtId="0" fontId="6" fillId="3" borderId="129" xfId="0" applyFont="1" applyFill="1" applyBorder="1" applyAlignment="1">
      <alignment horizontal="center" vertical="center" wrapText="1"/>
    </xf>
    <xf numFmtId="0" fontId="0" fillId="3" borderId="130" xfId="0" applyFill="1" applyBorder="1" applyAlignment="1">
      <alignment vertical="center" wrapText="1"/>
    </xf>
    <xf numFmtId="0" fontId="0" fillId="3" borderId="1" xfId="0" applyFill="1" applyBorder="1" applyAlignment="1">
      <alignment vertical="center" wrapText="1"/>
    </xf>
    <xf numFmtId="0" fontId="0" fillId="3" borderId="131" xfId="0" applyFill="1" applyBorder="1" applyAlignment="1">
      <alignment vertical="center" wrapText="1"/>
    </xf>
    <xf numFmtId="0" fontId="0" fillId="3" borderId="132" xfId="0" applyFill="1" applyBorder="1" applyAlignment="1">
      <alignment vertical="center" wrapText="1"/>
    </xf>
    <xf numFmtId="0" fontId="0" fillId="3" borderId="133" xfId="0" applyFill="1" applyBorder="1" applyAlignment="1">
      <alignment vertical="center" wrapText="1"/>
    </xf>
    <xf numFmtId="0" fontId="0" fillId="3" borderId="134" xfId="0" applyFill="1" applyBorder="1" applyAlignment="1">
      <alignment vertical="center" wrapText="1"/>
    </xf>
    <xf numFmtId="0" fontId="35" fillId="0" borderId="0" xfId="0" applyFont="1" applyAlignment="1">
      <alignment vertical="top" wrapText="1"/>
    </xf>
    <xf numFmtId="0" fontId="53" fillId="0" borderId="0" xfId="0" applyFont="1" applyAlignment="1">
      <alignment vertical="top" wrapText="1"/>
    </xf>
    <xf numFmtId="0" fontId="57" fillId="0" borderId="0" xfId="0" applyFont="1"/>
    <xf numFmtId="0" fontId="53" fillId="0" borderId="71" xfId="0" applyFont="1" applyBorder="1" applyAlignment="1">
      <alignment vertical="top" wrapText="1"/>
    </xf>
    <xf numFmtId="0" fontId="57" fillId="0" borderId="71" xfId="0" applyFont="1" applyBorder="1"/>
    <xf numFmtId="0" fontId="53" fillId="0" borderId="135" xfId="0" applyFont="1" applyBorder="1" applyAlignment="1">
      <alignment vertical="top" wrapText="1"/>
    </xf>
    <xf numFmtId="0" fontId="58" fillId="0" borderId="0" xfId="0" applyFont="1" applyAlignment="1">
      <alignment vertical="top" wrapText="1"/>
    </xf>
    <xf numFmtId="0" fontId="35" fillId="0" borderId="0" xfId="0" applyFont="1" applyAlignment="1">
      <alignment vertical="top"/>
    </xf>
    <xf numFmtId="0" fontId="60" fillId="0" borderId="125" xfId="0" applyFont="1" applyBorder="1" applyAlignment="1">
      <alignment vertical="top" wrapText="1"/>
    </xf>
    <xf numFmtId="0" fontId="60" fillId="0" borderId="126" xfId="0" applyFont="1" applyBorder="1" applyAlignment="1">
      <alignment vertical="top" wrapText="1"/>
    </xf>
    <xf numFmtId="0" fontId="60" fillId="0" borderId="0" xfId="3" applyFont="1" applyAlignment="1">
      <alignment horizontal="left" indent="15"/>
    </xf>
    <xf numFmtId="0" fontId="60" fillId="0" borderId="0" xfId="3" applyFont="1"/>
    <xf numFmtId="0" fontId="31" fillId="0" borderId="0" xfId="3" applyFont="1"/>
    <xf numFmtId="0" fontId="53" fillId="0" borderId="0" xfId="0" applyFont="1" applyAlignment="1">
      <alignment horizontal="left" indent="15"/>
    </xf>
    <xf numFmtId="0" fontId="54" fillId="0" borderId="0" xfId="0" applyFont="1"/>
    <xf numFmtId="11" fontId="53" fillId="6" borderId="126" xfId="0" applyNumberFormat="1" applyFont="1" applyFill="1" applyBorder="1" applyAlignment="1">
      <alignment vertical="top" wrapText="1"/>
    </xf>
    <xf numFmtId="0" fontId="54" fillId="4" borderId="125" xfId="0" applyFont="1" applyFill="1" applyBorder="1" applyAlignment="1">
      <alignment vertical="top" wrapText="1"/>
    </xf>
    <xf numFmtId="0" fontId="53" fillId="4" borderId="126" xfId="0" applyFont="1" applyFill="1" applyBorder="1" applyAlignment="1">
      <alignment vertical="top" wrapText="1"/>
    </xf>
    <xf numFmtId="11" fontId="53" fillId="4" borderId="126" xfId="0" applyNumberFormat="1" applyFont="1" applyFill="1" applyBorder="1" applyAlignment="1">
      <alignment vertical="top" wrapText="1"/>
    </xf>
    <xf numFmtId="0" fontId="8" fillId="0" borderId="0" xfId="0" applyFont="1"/>
    <xf numFmtId="0" fontId="0" fillId="6" borderId="0" xfId="0" applyFill="1"/>
    <xf numFmtId="0" fontId="14" fillId="11" borderId="112" xfId="0" applyFont="1" applyFill="1" applyBorder="1"/>
    <xf numFmtId="0" fontId="41" fillId="13" borderId="110" xfId="0" applyFont="1" applyFill="1" applyBorder="1" applyAlignment="1">
      <alignment horizontal="center"/>
    </xf>
    <xf numFmtId="0" fontId="10" fillId="7" borderId="114" xfId="0" applyFont="1" applyFill="1" applyBorder="1" applyAlignment="1">
      <alignment horizontal="left"/>
    </xf>
    <xf numFmtId="0" fontId="10" fillId="7" borderId="137" xfId="0" applyFont="1" applyFill="1" applyBorder="1" applyAlignment="1">
      <alignment horizontal="left"/>
    </xf>
    <xf numFmtId="0" fontId="42" fillId="7" borderId="137" xfId="0" applyFont="1" applyFill="1" applyBorder="1" applyAlignment="1">
      <alignment horizontal="left"/>
    </xf>
    <xf numFmtId="0" fontId="42" fillId="7" borderId="137" xfId="0" applyFont="1" applyFill="1" applyBorder="1"/>
    <xf numFmtId="0" fontId="5" fillId="7" borderId="137" xfId="2" applyFill="1" applyBorder="1" applyAlignment="1" applyProtection="1">
      <alignment horizontal="center"/>
    </xf>
    <xf numFmtId="0" fontId="42" fillId="7" borderId="137" xfId="0" applyFont="1" applyFill="1" applyBorder="1" applyAlignment="1">
      <alignment horizontal="center" wrapText="1"/>
    </xf>
    <xf numFmtId="0" fontId="42" fillId="7" borderId="115" xfId="0" applyFont="1" applyFill="1" applyBorder="1" applyAlignment="1">
      <alignment horizontal="center"/>
    </xf>
    <xf numFmtId="0" fontId="5" fillId="7" borderId="137" xfId="2" applyFill="1" applyBorder="1" applyAlignment="1" applyProtection="1">
      <alignment horizontal="center" wrapText="1"/>
    </xf>
    <xf numFmtId="0" fontId="42" fillId="7" borderId="138" xfId="0" applyFont="1" applyFill="1" applyBorder="1" applyAlignment="1">
      <alignment horizontal="center"/>
    </xf>
    <xf numFmtId="0" fontId="0" fillId="0" borderId="14" xfId="0" applyBorder="1"/>
    <xf numFmtId="0" fontId="0" fillId="0" borderId="0" xfId="0" applyAlignment="1">
      <alignment vertical="top"/>
    </xf>
    <xf numFmtId="0" fontId="0" fillId="0" borderId="0" xfId="0" applyAlignment="1">
      <alignment horizontal="left" vertical="top"/>
    </xf>
    <xf numFmtId="0" fontId="14" fillId="0" borderId="0" xfId="2" applyFont="1" applyBorder="1" applyAlignment="1" applyProtection="1">
      <alignment horizontal="left" vertical="top"/>
    </xf>
    <xf numFmtId="0" fontId="0" fillId="0" borderId="14" xfId="0" applyBorder="1" applyAlignment="1">
      <alignment horizontal="center"/>
    </xf>
    <xf numFmtId="0" fontId="5" fillId="0" borderId="25" xfId="2" applyBorder="1" applyProtection="1"/>
    <xf numFmtId="0" fontId="0" fillId="0" borderId="139" xfId="0" applyBorder="1" applyAlignment="1">
      <alignment horizontal="center"/>
    </xf>
    <xf numFmtId="0" fontId="0" fillId="0" borderId="43" xfId="0" applyBorder="1" applyAlignment="1">
      <alignment horizontal="right"/>
    </xf>
    <xf numFmtId="0" fontId="0" fillId="0" borderId="19" xfId="0" applyBorder="1" applyAlignment="1">
      <alignment horizontal="center"/>
    </xf>
    <xf numFmtId="0" fontId="5" fillId="0" borderId="140" xfId="2" applyBorder="1" applyAlignment="1" applyProtection="1">
      <alignment horizontal="center" vertical="top"/>
    </xf>
    <xf numFmtId="0" fontId="0" fillId="0" borderId="12" xfId="0" applyBorder="1" applyAlignment="1">
      <alignment horizontal="center"/>
    </xf>
    <xf numFmtId="0" fontId="0" fillId="0" borderId="12" xfId="0" applyBorder="1"/>
    <xf numFmtId="0" fontId="14" fillId="0" borderId="0" xfId="2" applyFont="1" applyBorder="1" applyAlignment="1" applyProtection="1">
      <alignment vertical="top"/>
    </xf>
    <xf numFmtId="0" fontId="5" fillId="0" borderId="0" xfId="2" applyBorder="1" applyAlignment="1" applyProtection="1">
      <alignment horizontal="center"/>
    </xf>
    <xf numFmtId="0" fontId="5" fillId="6" borderId="140" xfId="2" applyFill="1" applyBorder="1" applyAlignment="1" applyProtection="1">
      <alignment horizontal="center" vertical="top"/>
    </xf>
    <xf numFmtId="164" fontId="61" fillId="0" borderId="12" xfId="2" applyNumberFormat="1" applyFont="1" applyBorder="1" applyAlignment="1" applyProtection="1">
      <alignment horizontal="center" vertical="top" wrapText="1"/>
    </xf>
    <xf numFmtId="0" fontId="0" fillId="18" borderId="14" xfId="0" applyFill="1" applyBorder="1"/>
    <xf numFmtId="0" fontId="0" fillId="18" borderId="0" xfId="0" applyFill="1" applyAlignment="1">
      <alignment horizontal="left"/>
    </xf>
    <xf numFmtId="0" fontId="0" fillId="18" borderId="0" xfId="0" applyFill="1"/>
    <xf numFmtId="0" fontId="0" fillId="18" borderId="0" xfId="0" applyFill="1" applyAlignment="1">
      <alignment horizontal="center"/>
    </xf>
    <xf numFmtId="0" fontId="0" fillId="18" borderId="17" xfId="0" applyFill="1" applyBorder="1" applyAlignment="1">
      <alignment horizontal="center"/>
    </xf>
    <xf numFmtId="0" fontId="5" fillId="18" borderId="0" xfId="2" applyFill="1" applyBorder="1" applyAlignment="1" applyProtection="1">
      <alignment horizontal="right" shrinkToFit="1"/>
    </xf>
    <xf numFmtId="3" fontId="0" fillId="18" borderId="0" xfId="0" applyNumberFormat="1" applyFill="1"/>
    <xf numFmtId="3" fontId="45" fillId="18" borderId="0" xfId="0" applyNumberFormat="1" applyFont="1" applyFill="1" applyAlignment="1">
      <alignment wrapText="1"/>
    </xf>
    <xf numFmtId="0" fontId="0" fillId="18" borderId="43" xfId="0" applyFill="1" applyBorder="1"/>
    <xf numFmtId="0" fontId="0" fillId="18" borderId="17" xfId="0" applyFill="1" applyBorder="1"/>
    <xf numFmtId="0" fontId="14" fillId="18" borderId="0" xfId="0" applyFont="1" applyFill="1" applyAlignment="1">
      <alignment vertical="top"/>
    </xf>
    <xf numFmtId="0" fontId="0" fillId="18" borderId="14" xfId="0" applyFill="1" applyBorder="1" applyAlignment="1">
      <alignment horizontal="center"/>
    </xf>
    <xf numFmtId="0" fontId="0" fillId="18" borderId="0" xfId="0" applyFill="1" applyAlignment="1">
      <alignment horizontal="right"/>
    </xf>
    <xf numFmtId="0" fontId="0" fillId="18" borderId="12" xfId="0" applyFill="1" applyBorder="1" applyAlignment="1">
      <alignment horizontal="center"/>
    </xf>
    <xf numFmtId="164" fontId="61" fillId="18" borderId="12" xfId="2" applyNumberFormat="1" applyFont="1" applyFill="1" applyBorder="1" applyAlignment="1" applyProtection="1">
      <alignment horizontal="center" vertical="top" wrapText="1"/>
    </xf>
    <xf numFmtId="0" fontId="46" fillId="18" borderId="12" xfId="2" applyFont="1" applyFill="1" applyBorder="1" applyAlignment="1" applyProtection="1">
      <alignment horizontal="center" vertical="top" wrapText="1"/>
    </xf>
    <xf numFmtId="164" fontId="62" fillId="18" borderId="12" xfId="2" applyNumberFormat="1" applyFont="1" applyFill="1" applyBorder="1" applyAlignment="1" applyProtection="1">
      <alignment horizontal="center" vertical="top" wrapText="1"/>
    </xf>
    <xf numFmtId="0" fontId="53" fillId="18" borderId="12" xfId="0" applyFont="1" applyFill="1" applyBorder="1" applyAlignment="1">
      <alignment horizontal="center" vertical="top" wrapText="1"/>
    </xf>
    <xf numFmtId="0" fontId="46" fillId="18" borderId="12" xfId="2" applyFont="1" applyFill="1" applyBorder="1" applyAlignment="1" applyProtection="1">
      <alignment horizontal="center" vertical="top"/>
    </xf>
    <xf numFmtId="0" fontId="0" fillId="15" borderId="14" xfId="0" applyFill="1" applyBorder="1"/>
    <xf numFmtId="0" fontId="0" fillId="15" borderId="0" xfId="0" applyFill="1"/>
    <xf numFmtId="0" fontId="14" fillId="15" borderId="0" xfId="2" applyFont="1" applyFill="1" applyBorder="1" applyAlignment="1" applyProtection="1">
      <alignment vertical="top"/>
    </xf>
    <xf numFmtId="0" fontId="0" fillId="15" borderId="14" xfId="0" applyFill="1" applyBorder="1" applyAlignment="1">
      <alignment horizontal="center"/>
    </xf>
    <xf numFmtId="0" fontId="5" fillId="15" borderId="0" xfId="2" applyFill="1" applyBorder="1" applyProtection="1"/>
    <xf numFmtId="0" fontId="5" fillId="15" borderId="0" xfId="2" applyFill="1" applyBorder="1" applyAlignment="1" applyProtection="1">
      <alignment horizontal="right" shrinkToFit="1"/>
    </xf>
    <xf numFmtId="0" fontId="0" fillId="15" borderId="0" xfId="0" applyFill="1" applyAlignment="1">
      <alignment horizontal="right"/>
    </xf>
    <xf numFmtId="3" fontId="0" fillId="15" borderId="0" xfId="0" applyNumberFormat="1" applyFill="1"/>
    <xf numFmtId="3" fontId="45" fillId="15" borderId="0" xfId="0" applyNumberFormat="1" applyFont="1" applyFill="1" applyAlignment="1">
      <alignment wrapText="1"/>
    </xf>
    <xf numFmtId="0" fontId="0" fillId="15" borderId="43" xfId="0" applyFill="1" applyBorder="1" applyAlignment="1">
      <alignment horizontal="right"/>
    </xf>
    <xf numFmtId="0" fontId="0" fillId="15" borderId="0" xfId="0" applyFill="1" applyAlignment="1">
      <alignment horizontal="center"/>
    </xf>
    <xf numFmtId="0" fontId="53" fillId="15" borderId="12" xfId="0" applyFont="1" applyFill="1" applyBorder="1" applyAlignment="1">
      <alignment horizontal="center" vertical="top" wrapText="1"/>
    </xf>
    <xf numFmtId="164" fontId="61" fillId="15" borderId="12" xfId="2" applyNumberFormat="1" applyFont="1" applyFill="1" applyBorder="1" applyAlignment="1" applyProtection="1">
      <alignment horizontal="center" vertical="top" wrapText="1"/>
    </xf>
    <xf numFmtId="0" fontId="0" fillId="15" borderId="141" xfId="0" applyFill="1" applyBorder="1"/>
    <xf numFmtId="0" fontId="0" fillId="15" borderId="0" xfId="0" applyFill="1" applyAlignment="1">
      <alignment horizontal="left" vertical="top"/>
    </xf>
    <xf numFmtId="0" fontId="0" fillId="15" borderId="17" xfId="0" applyFill="1" applyBorder="1"/>
    <xf numFmtId="164" fontId="47" fillId="15" borderId="12" xfId="2" applyNumberFormat="1" applyFont="1" applyFill="1" applyBorder="1" applyAlignment="1" applyProtection="1">
      <alignment horizontal="center" vertical="top" wrapText="1"/>
    </xf>
    <xf numFmtId="164" fontId="62" fillId="15" borderId="12" xfId="2" applyNumberFormat="1" applyFont="1" applyFill="1" applyBorder="1" applyAlignment="1" applyProtection="1">
      <alignment horizontal="center" vertical="top" wrapText="1"/>
    </xf>
    <xf numFmtId="0" fontId="0" fillId="15" borderId="0" xfId="0" applyFill="1" applyAlignment="1">
      <alignment horizontal="left"/>
    </xf>
    <xf numFmtId="0" fontId="0" fillId="15" borderId="17" xfId="0" applyFill="1" applyBorder="1" applyAlignment="1">
      <alignment horizontal="center"/>
    </xf>
    <xf numFmtId="0" fontId="19" fillId="15" borderId="0" xfId="0" applyFont="1" applyFill="1"/>
    <xf numFmtId="3" fontId="49" fillId="15" borderId="0" xfId="0" applyNumberFormat="1" applyFont="1" applyFill="1" applyAlignment="1">
      <alignment wrapText="1"/>
    </xf>
    <xf numFmtId="0" fontId="0" fillId="15" borderId="12" xfId="0" applyFill="1" applyBorder="1" applyAlignment="1">
      <alignment horizontal="center" wrapText="1"/>
    </xf>
    <xf numFmtId="0" fontId="6" fillId="13" borderId="5" xfId="1" applyFill="1" applyBorder="1" applyAlignment="1">
      <alignment horizontal="center"/>
    </xf>
    <xf numFmtId="0" fontId="6" fillId="5" borderId="10" xfId="1" applyFill="1" applyBorder="1" applyAlignment="1" applyProtection="1">
      <alignment horizontal="center" vertical="top"/>
    </xf>
    <xf numFmtId="0" fontId="6" fillId="5" borderId="2" xfId="1" applyFill="1" applyBorder="1" applyAlignment="1" applyProtection="1">
      <alignment horizontal="center" vertical="top"/>
    </xf>
    <xf numFmtId="0" fontId="6" fillId="5" borderId="20" xfId="1" applyFill="1" applyBorder="1" applyAlignment="1" applyProtection="1">
      <alignment horizontal="center" vertical="top"/>
    </xf>
    <xf numFmtId="0" fontId="6" fillId="13" borderId="5" xfId="1" applyFill="1" applyBorder="1" applyAlignment="1" applyProtection="1">
      <alignment horizontal="center" vertical="top"/>
    </xf>
    <xf numFmtId="0" fontId="6" fillId="6" borderId="10" xfId="1" applyFill="1" applyBorder="1" applyAlignment="1" applyProtection="1">
      <alignment horizontal="center" vertical="top"/>
    </xf>
    <xf numFmtId="0" fontId="6" fillId="6" borderId="2" xfId="1" applyFill="1" applyBorder="1" applyAlignment="1" applyProtection="1">
      <alignment horizontal="center" vertical="top"/>
    </xf>
    <xf numFmtId="0" fontId="6" fillId="6" borderId="20" xfId="1" applyFill="1" applyBorder="1" applyAlignment="1" applyProtection="1">
      <alignment horizontal="center" vertical="top"/>
    </xf>
    <xf numFmtId="0" fontId="6" fillId="6" borderId="19" xfId="1" applyFill="1" applyBorder="1" applyAlignment="1" applyProtection="1">
      <alignment horizontal="center" vertical="top"/>
    </xf>
    <xf numFmtId="0" fontId="6" fillId="6" borderId="12" xfId="1" applyFill="1" applyBorder="1" applyAlignment="1" applyProtection="1">
      <alignment horizontal="center" vertical="top"/>
    </xf>
    <xf numFmtId="0" fontId="6" fillId="6" borderId="21" xfId="1" applyFill="1" applyBorder="1" applyAlignment="1" applyProtection="1">
      <alignment horizontal="center" vertical="top"/>
    </xf>
    <xf numFmtId="0" fontId="6" fillId="0" borderId="5" xfId="1" applyBorder="1"/>
    <xf numFmtId="0" fontId="6" fillId="0" borderId="0" xfId="1"/>
    <xf numFmtId="0" fontId="5" fillId="0" borderId="12" xfId="2" applyBorder="1" applyAlignment="1" applyProtection="1">
      <alignment horizontal="center" wrapText="1"/>
    </xf>
    <xf numFmtId="0" fontId="12" fillId="23" borderId="57" xfId="2" applyFont="1" applyFill="1" applyBorder="1" applyAlignment="1" applyProtection="1">
      <alignment horizontal="center" wrapText="1"/>
    </xf>
    <xf numFmtId="0" fontId="17" fillId="20" borderId="12" xfId="2" applyFont="1" applyFill="1" applyBorder="1" applyAlignment="1" applyProtection="1">
      <alignment horizontal="center" vertical="top" wrapText="1"/>
    </xf>
    <xf numFmtId="0" fontId="32" fillId="24" borderId="5" xfId="0" applyFont="1" applyFill="1" applyBorder="1" applyAlignment="1">
      <alignment horizontal="center" vertical="top"/>
    </xf>
    <xf numFmtId="0" fontId="5" fillId="25" borderId="5" xfId="2" applyFill="1" applyBorder="1" applyProtection="1"/>
    <xf numFmtId="0" fontId="0" fillId="25" borderId="5" xfId="0" applyFill="1" applyBorder="1" applyAlignment="1">
      <alignment horizontal="center" vertical="top"/>
    </xf>
    <xf numFmtId="0" fontId="0" fillId="25" borderId="5" xfId="0" applyFill="1" applyBorder="1"/>
    <xf numFmtId="0" fontId="5" fillId="26" borderId="2" xfId="2" applyFill="1" applyBorder="1" applyProtection="1"/>
    <xf numFmtId="0" fontId="0" fillId="26" borderId="2" xfId="0" applyFill="1" applyBorder="1" applyAlignment="1">
      <alignment horizontal="center" vertical="top"/>
    </xf>
    <xf numFmtId="0" fontId="0" fillId="25" borderId="5" xfId="0" applyFill="1" applyBorder="1" applyAlignment="1">
      <alignment horizontal="center"/>
    </xf>
    <xf numFmtId="0" fontId="24" fillId="25" borderId="5" xfId="2" applyFont="1" applyFill="1" applyBorder="1" applyAlignment="1" applyProtection="1">
      <alignment horizontal="center" vertical="center"/>
    </xf>
    <xf numFmtId="0" fontId="24" fillId="26" borderId="2" xfId="2" applyFont="1" applyFill="1" applyBorder="1" applyAlignment="1" applyProtection="1">
      <alignment horizontal="center" vertical="center"/>
    </xf>
    <xf numFmtId="0" fontId="5" fillId="26" borderId="2" xfId="2" applyFill="1" applyBorder="1" applyAlignment="1" applyProtection="1">
      <alignment horizontal="center" vertical="center"/>
    </xf>
    <xf numFmtId="0" fontId="24" fillId="26" borderId="22" xfId="2" applyFont="1" applyFill="1" applyBorder="1" applyAlignment="1" applyProtection="1">
      <alignment horizontal="center" vertical="center"/>
    </xf>
    <xf numFmtId="0" fontId="5" fillId="0" borderId="2" xfId="2" applyBorder="1" applyAlignment="1" applyProtection="1">
      <alignment horizontal="center" wrapText="1"/>
    </xf>
    <xf numFmtId="0" fontId="0" fillId="0" borderId="2" xfId="0" applyBorder="1" applyAlignment="1">
      <alignment horizontal="center" vertical="center"/>
    </xf>
    <xf numFmtId="0" fontId="0" fillId="0" borderId="10" xfId="0" applyBorder="1" applyAlignment="1">
      <alignment horizontal="center" vertical="center"/>
    </xf>
    <xf numFmtId="0" fontId="0" fillId="0" borderId="20" xfId="0" applyBorder="1" applyAlignment="1">
      <alignment horizontal="center" vertical="center"/>
    </xf>
    <xf numFmtId="0" fontId="5" fillId="0" borderId="21" xfId="2" applyBorder="1" applyAlignment="1" applyProtection="1">
      <alignment horizontal="center" wrapText="1"/>
    </xf>
    <xf numFmtId="0" fontId="68" fillId="0" borderId="0" xfId="0" applyFont="1"/>
    <xf numFmtId="1" fontId="0" fillId="0" borderId="0" xfId="0" applyNumberFormat="1"/>
    <xf numFmtId="0" fontId="5" fillId="0" borderId="21" xfId="2" applyBorder="1" applyProtection="1"/>
    <xf numFmtId="0" fontId="69" fillId="27" borderId="5" xfId="7" applyBorder="1" applyAlignment="1">
      <alignment horizontal="left"/>
    </xf>
    <xf numFmtId="0" fontId="17" fillId="11" borderId="47" xfId="2" applyFont="1" applyFill="1" applyBorder="1" applyAlignment="1" applyProtection="1">
      <alignment horizontal="center" vertical="center"/>
    </xf>
    <xf numFmtId="0" fontId="6" fillId="22" borderId="47" xfId="0" applyFont="1" applyFill="1" applyBorder="1"/>
    <xf numFmtId="0" fontId="32" fillId="22" borderId="47" xfId="0" applyFont="1" applyFill="1" applyBorder="1" applyAlignment="1">
      <alignment vertical="top"/>
    </xf>
    <xf numFmtId="0" fontId="5" fillId="8" borderId="47" xfId="2" applyFill="1" applyBorder="1" applyAlignment="1" applyProtection="1">
      <alignment horizontal="center"/>
    </xf>
    <xf numFmtId="0" fontId="65" fillId="20" borderId="5" xfId="2" applyFont="1" applyFill="1" applyBorder="1" applyAlignment="1" applyProtection="1">
      <alignment horizontal="center" vertical="top" wrapText="1"/>
    </xf>
    <xf numFmtId="0" fontId="5" fillId="8" borderId="11" xfId="2" applyFill="1" applyBorder="1" applyAlignment="1" applyProtection="1">
      <alignment horizontal="center"/>
    </xf>
    <xf numFmtId="0" fontId="71" fillId="0" borderId="5" xfId="0" applyFont="1" applyBorder="1" applyAlignment="1">
      <alignment horizontal="left" vertical="top"/>
    </xf>
    <xf numFmtId="0" fontId="5" fillId="0" borderId="12" xfId="2" applyBorder="1" applyProtection="1"/>
    <xf numFmtId="0" fontId="5" fillId="0" borderId="12" xfId="2" applyBorder="1" applyAlignment="1" applyProtection="1">
      <alignment wrapText="1"/>
    </xf>
    <xf numFmtId="0" fontId="0" fillId="0" borderId="54" xfId="0" applyBorder="1" applyAlignment="1">
      <alignment horizontal="center"/>
    </xf>
    <xf numFmtId="0" fontId="16" fillId="0" borderId="54" xfId="2" applyFont="1" applyBorder="1" applyAlignment="1" applyProtection="1">
      <alignment horizontal="center" vertical="top"/>
    </xf>
    <xf numFmtId="0" fontId="0" fillId="0" borderId="53" xfId="0" applyBorder="1" applyAlignment="1">
      <alignment horizontal="center"/>
    </xf>
    <xf numFmtId="0" fontId="16" fillId="5" borderId="9" xfId="2" applyFont="1" applyFill="1" applyBorder="1" applyAlignment="1" applyProtection="1">
      <alignment horizontal="center" vertical="top"/>
    </xf>
    <xf numFmtId="0" fontId="16" fillId="5" borderId="28" xfId="2" applyFont="1" applyFill="1" applyBorder="1" applyAlignment="1" applyProtection="1">
      <alignment horizontal="center" vertical="top"/>
    </xf>
    <xf numFmtId="0" fontId="5" fillId="0" borderId="20" xfId="2" applyBorder="1" applyAlignment="1" applyProtection="1">
      <alignment horizontal="center" vertical="center"/>
    </xf>
    <xf numFmtId="0" fontId="0" fillId="0" borderId="5" xfId="0" applyBorder="1" applyAlignment="1">
      <alignment horizontal="center" wrapText="1"/>
    </xf>
    <xf numFmtId="0" fontId="16" fillId="0" borderId="29" xfId="2" applyFont="1" applyBorder="1" applyAlignment="1" applyProtection="1">
      <alignment horizontal="center" vertical="top" wrapText="1"/>
    </xf>
    <xf numFmtId="0" fontId="16" fillId="0" borderId="49" xfId="2" applyFont="1" applyBorder="1" applyAlignment="1" applyProtection="1">
      <alignment horizontal="center" vertical="top" wrapText="1"/>
    </xf>
    <xf numFmtId="0" fontId="0" fillId="0" borderId="47" xfId="0" applyBorder="1" applyAlignment="1">
      <alignment horizontal="center" wrapText="1"/>
    </xf>
    <xf numFmtId="0" fontId="16" fillId="0" borderId="102" xfId="2" applyFont="1" applyBorder="1" applyAlignment="1" applyProtection="1">
      <alignment horizontal="center" vertical="top" wrapText="1"/>
    </xf>
    <xf numFmtId="0" fontId="23" fillId="0" borderId="13" xfId="2" applyFont="1" applyBorder="1" applyAlignment="1" applyProtection="1">
      <alignment horizontal="center" vertical="center"/>
    </xf>
    <xf numFmtId="0" fontId="24" fillId="0" borderId="28" xfId="2" applyFont="1" applyBorder="1" applyAlignment="1" applyProtection="1">
      <alignment horizontal="center" vertical="top"/>
    </xf>
    <xf numFmtId="0" fontId="0" fillId="0" borderId="5" xfId="0" applyBorder="1" applyAlignment="1">
      <alignment horizontal="center" vertical="center" wrapText="1"/>
    </xf>
    <xf numFmtId="0" fontId="10" fillId="4" borderId="5" xfId="0" applyFont="1" applyFill="1" applyBorder="1" applyAlignment="1">
      <alignment horizontal="center"/>
    </xf>
    <xf numFmtId="0" fontId="0" fillId="0" borderId="5" xfId="0" applyBorder="1" applyAlignment="1">
      <alignment wrapText="1"/>
    </xf>
    <xf numFmtId="0" fontId="0" fillId="25" borderId="5" xfId="0" applyFill="1" applyBorder="1" applyAlignment="1">
      <alignment horizontal="center" wrapText="1"/>
    </xf>
    <xf numFmtId="0" fontId="0" fillId="29" borderId="5" xfId="0" applyFill="1" applyBorder="1" applyAlignment="1">
      <alignment wrapText="1"/>
    </xf>
    <xf numFmtId="0" fontId="0" fillId="29" borderId="5" xfId="0" applyFill="1" applyBorder="1" applyAlignment="1">
      <alignment horizontal="center" vertical="center" wrapText="1"/>
    </xf>
    <xf numFmtId="0" fontId="0" fillId="30" borderId="5" xfId="0" applyFill="1" applyBorder="1"/>
    <xf numFmtId="0" fontId="0" fillId="31" borderId="5" xfId="0" applyFill="1" applyBorder="1"/>
    <xf numFmtId="0" fontId="0" fillId="32" borderId="5" xfId="0" applyFill="1" applyBorder="1" applyAlignment="1">
      <alignment horizontal="center" vertical="center" wrapText="1"/>
    </xf>
    <xf numFmtId="0" fontId="72" fillId="0" borderId="5" xfId="0" applyFont="1" applyBorder="1" applyAlignment="1">
      <alignment horizontal="center" wrapText="1"/>
    </xf>
    <xf numFmtId="0" fontId="0" fillId="33" borderId="5" xfId="0" applyFill="1" applyBorder="1" applyAlignment="1">
      <alignment horizontal="center"/>
    </xf>
    <xf numFmtId="0" fontId="0" fillId="33" borderId="5" xfId="0" applyFill="1" applyBorder="1" applyAlignment="1">
      <alignment horizontal="left"/>
    </xf>
    <xf numFmtId="0" fontId="73" fillId="32" borderId="5" xfId="0" applyFont="1" applyFill="1" applyBorder="1" applyAlignment="1">
      <alignment horizontal="center" vertical="center" wrapText="1"/>
    </xf>
    <xf numFmtId="0" fontId="14" fillId="34" borderId="2" xfId="2" applyFont="1" applyFill="1" applyBorder="1" applyAlignment="1">
      <alignment wrapText="1"/>
    </xf>
    <xf numFmtId="0" fontId="74" fillId="0" borderId="0" xfId="0" applyFont="1"/>
    <xf numFmtId="0" fontId="6" fillId="0" borderId="0" xfId="0" applyFont="1" applyAlignment="1">
      <alignment horizontal="left"/>
    </xf>
    <xf numFmtId="0" fontId="0" fillId="0" borderId="0" xfId="0" applyAlignment="1">
      <alignment wrapText="1"/>
    </xf>
    <xf numFmtId="0" fontId="34" fillId="0" borderId="29" xfId="6" applyFill="1" applyBorder="1" applyAlignment="1" applyProtection="1">
      <alignment horizontal="center"/>
    </xf>
    <xf numFmtId="0" fontId="0" fillId="13" borderId="88" xfId="0" applyFill="1" applyBorder="1" applyAlignment="1">
      <alignment horizontal="center"/>
    </xf>
    <xf numFmtId="0" fontId="0" fillId="13" borderId="83" xfId="0" applyFill="1" applyBorder="1" applyAlignment="1">
      <alignment horizontal="center"/>
    </xf>
    <xf numFmtId="0" fontId="0" fillId="13" borderId="10" xfId="0" applyFill="1" applyBorder="1" applyAlignment="1">
      <alignment horizontal="center"/>
    </xf>
    <xf numFmtId="0" fontId="0" fillId="13" borderId="11" xfId="0" applyFill="1" applyBorder="1" applyAlignment="1">
      <alignment horizontal="center"/>
    </xf>
    <xf numFmtId="0" fontId="0" fillId="22" borderId="11" xfId="0" applyFill="1" applyBorder="1" applyAlignment="1">
      <alignment horizontal="center"/>
    </xf>
    <xf numFmtId="0" fontId="0" fillId="22" borderId="10" xfId="0" applyFill="1" applyBorder="1" applyAlignment="1">
      <alignment horizontal="center"/>
    </xf>
    <xf numFmtId="0" fontId="0" fillId="0" borderId="11" xfId="0" applyBorder="1" applyAlignment="1">
      <alignment horizontal="center"/>
    </xf>
    <xf numFmtId="0" fontId="0" fillId="22" borderId="102" xfId="0" applyFill="1" applyBorder="1" applyAlignment="1">
      <alignment horizontal="center"/>
    </xf>
    <xf numFmtId="0" fontId="0" fillId="22" borderId="29" xfId="0" applyFill="1" applyBorder="1" applyAlignment="1">
      <alignment horizontal="center"/>
    </xf>
    <xf numFmtId="0" fontId="0" fillId="0" borderId="109" xfId="0" applyBorder="1" applyAlignment="1">
      <alignment horizontal="center"/>
    </xf>
    <xf numFmtId="0" fontId="5" fillId="0" borderId="12" xfId="2" applyBorder="1" applyAlignment="1" applyProtection="1">
      <alignment horizontal="center" vertical="center"/>
    </xf>
    <xf numFmtId="0" fontId="5" fillId="0" borderId="5" xfId="2" applyBorder="1" applyAlignment="1">
      <alignment horizontal="center" vertical="center" wrapText="1"/>
    </xf>
    <xf numFmtId="0" fontId="5" fillId="0" borderId="12" xfId="2" applyBorder="1" applyAlignment="1" applyProtection="1">
      <alignment horizontal="center" vertical="center" wrapText="1"/>
    </xf>
    <xf numFmtId="0" fontId="0" fillId="13" borderId="146" xfId="0" applyFill="1" applyBorder="1" applyAlignment="1">
      <alignment horizontal="center"/>
    </xf>
    <xf numFmtId="0" fontId="0" fillId="13" borderId="13" xfId="0" applyFill="1" applyBorder="1" applyAlignment="1">
      <alignment horizontal="center"/>
    </xf>
    <xf numFmtId="0" fontId="0" fillId="22" borderId="13" xfId="0" applyFill="1" applyBorder="1" applyAlignment="1">
      <alignment horizontal="center"/>
    </xf>
    <xf numFmtId="0" fontId="0" fillId="0" borderId="13" xfId="0" applyBorder="1" applyAlignment="1">
      <alignment horizontal="center"/>
    </xf>
    <xf numFmtId="0" fontId="0" fillId="22" borderId="49" xfId="0" applyFill="1" applyBorder="1" applyAlignment="1">
      <alignment horizontal="center"/>
    </xf>
    <xf numFmtId="0" fontId="0" fillId="0" borderId="105" xfId="0" applyBorder="1" applyAlignment="1">
      <alignment horizontal="center"/>
    </xf>
    <xf numFmtId="0" fontId="0" fillId="0" borderId="54" xfId="0" applyBorder="1" applyAlignment="1">
      <alignment horizontal="center" vertical="top"/>
    </xf>
    <xf numFmtId="0" fontId="0" fillId="0" borderId="147" xfId="0" applyBorder="1" applyAlignment="1">
      <alignment horizontal="left" vertical="top"/>
    </xf>
    <xf numFmtId="0" fontId="76" fillId="0" borderId="2" xfId="2" applyFont="1" applyBorder="1"/>
    <xf numFmtId="0" fontId="24" fillId="0" borderId="22" xfId="2" applyFont="1" applyBorder="1" applyAlignment="1" applyProtection="1">
      <alignment horizontal="center" vertical="center" wrapText="1"/>
    </xf>
    <xf numFmtId="0" fontId="5" fillId="0" borderId="2" xfId="2" applyBorder="1" applyAlignment="1" applyProtection="1">
      <alignment horizontal="center" vertical="center" wrapText="1"/>
    </xf>
    <xf numFmtId="165" fontId="10" fillId="4" borderId="142" xfId="2" applyNumberFormat="1" applyFont="1" applyFill="1" applyBorder="1" applyAlignment="1" applyProtection="1">
      <alignment horizontal="center" vertical="center"/>
    </xf>
    <xf numFmtId="0" fontId="0" fillId="0" borderId="5" xfId="0" applyBorder="1" applyAlignment="1">
      <alignment horizontal="left" vertical="top" wrapText="1"/>
    </xf>
    <xf numFmtId="0" fontId="27" fillId="35" borderId="12" xfId="2" applyFont="1" applyFill="1" applyBorder="1" applyAlignment="1" applyProtection="1">
      <alignment horizontal="center" vertical="top" wrapText="1"/>
    </xf>
    <xf numFmtId="165" fontId="12" fillId="4" borderId="5" xfId="2" applyNumberFormat="1" applyFont="1" applyFill="1" applyBorder="1" applyAlignment="1" applyProtection="1">
      <alignment horizontal="center" vertical="center" wrapText="1"/>
    </xf>
    <xf numFmtId="0" fontId="10" fillId="4" borderId="54" xfId="2" applyFont="1" applyFill="1" applyBorder="1" applyAlignment="1" applyProtection="1">
      <alignment horizontal="center" wrapText="1"/>
    </xf>
    <xf numFmtId="0" fontId="5" fillId="36" borderId="10" xfId="2" applyFill="1" applyBorder="1" applyProtection="1"/>
    <xf numFmtId="0" fontId="0" fillId="0" borderId="5" xfId="0" applyBorder="1" applyAlignment="1">
      <alignment horizontal="center" vertical="top" wrapText="1"/>
    </xf>
    <xf numFmtId="0" fontId="5" fillId="28" borderId="2" xfId="2" applyFill="1" applyBorder="1" applyProtection="1"/>
    <xf numFmtId="0" fontId="26" fillId="0" borderId="2" xfId="2" applyFont="1" applyBorder="1" applyProtection="1"/>
    <xf numFmtId="0" fontId="5" fillId="28" borderId="22" xfId="2" applyFill="1" applyBorder="1" applyProtection="1"/>
    <xf numFmtId="0" fontId="0" fillId="0" borderId="0" xfId="0" applyAlignment="1">
      <alignment horizontal="center" vertical="center" wrapText="1"/>
    </xf>
    <xf numFmtId="0" fontId="17" fillId="20" borderId="0" xfId="2" applyFont="1" applyFill="1" applyBorder="1" applyAlignment="1" applyProtection="1">
      <alignment horizontal="center" vertical="top"/>
    </xf>
    <xf numFmtId="0" fontId="78" fillId="0" borderId="91" xfId="0" applyFont="1" applyBorder="1"/>
    <xf numFmtId="0" fontId="78" fillId="0" borderId="5" xfId="0" applyFont="1" applyBorder="1"/>
    <xf numFmtId="0" fontId="78" fillId="0" borderId="92" xfId="0" applyFont="1" applyBorder="1"/>
    <xf numFmtId="0" fontId="10" fillId="9" borderId="5" xfId="0" applyFont="1" applyFill="1" applyBorder="1" applyAlignment="1">
      <alignment horizontal="center"/>
    </xf>
    <xf numFmtId="0" fontId="10" fillId="9" borderId="37" xfId="0" applyFont="1" applyFill="1" applyBorder="1" applyAlignment="1">
      <alignment horizontal="center" wrapText="1"/>
    </xf>
    <xf numFmtId="0" fontId="25" fillId="0" borderId="26" xfId="2" applyFont="1" applyBorder="1" applyAlignment="1" applyProtection="1">
      <alignment horizontal="center" vertical="center"/>
    </xf>
    <xf numFmtId="0" fontId="18" fillId="0" borderId="21" xfId="2" applyFont="1" applyBorder="1" applyAlignment="1" applyProtection="1">
      <alignment horizontal="center" vertical="center"/>
    </xf>
    <xf numFmtId="0" fontId="25" fillId="0" borderId="21" xfId="2" applyFont="1" applyBorder="1" applyAlignment="1" applyProtection="1">
      <alignment horizontal="center" vertical="center"/>
    </xf>
    <xf numFmtId="0" fontId="25" fillId="0" borderId="25" xfId="2" applyFont="1" applyBorder="1" applyAlignment="1" applyProtection="1">
      <alignment horizontal="center" vertical="center"/>
    </xf>
    <xf numFmtId="0" fontId="10" fillId="4" borderId="0" xfId="0" applyFont="1" applyFill="1" applyAlignment="1">
      <alignment horizontal="center"/>
    </xf>
    <xf numFmtId="0" fontId="10" fillId="9" borderId="0" xfId="0" applyFont="1" applyFill="1" applyAlignment="1">
      <alignment horizontal="center" wrapText="1"/>
    </xf>
    <xf numFmtId="0" fontId="10" fillId="4" borderId="54" xfId="0" applyFont="1" applyFill="1" applyBorder="1" applyAlignment="1">
      <alignment horizontal="center" wrapText="1"/>
    </xf>
    <xf numFmtId="0" fontId="17" fillId="11" borderId="0" xfId="2" applyFont="1" applyFill="1" applyBorder="1" applyAlignment="1" applyProtection="1">
      <alignment horizontal="center" vertical="center"/>
    </xf>
    <xf numFmtId="165" fontId="10" fillId="4" borderId="148" xfId="2" applyNumberFormat="1" applyFont="1" applyFill="1" applyBorder="1" applyAlignment="1" applyProtection="1">
      <alignment horizontal="center" vertical="center"/>
    </xf>
    <xf numFmtId="0" fontId="17" fillId="20" borderId="12" xfId="2" applyFont="1" applyFill="1" applyBorder="1" applyAlignment="1" applyProtection="1">
      <alignment horizontal="center" vertical="center" wrapText="1"/>
    </xf>
    <xf numFmtId="0" fontId="5" fillId="36" borderId="10" xfId="2" applyFill="1" applyBorder="1" applyAlignment="1" applyProtection="1">
      <alignment horizontal="center"/>
    </xf>
    <xf numFmtId="165" fontId="12" fillId="4" borderId="61" xfId="2" applyNumberFormat="1" applyFont="1" applyFill="1" applyBorder="1" applyAlignment="1" applyProtection="1">
      <alignment horizontal="center" vertical="center" wrapText="1"/>
    </xf>
    <xf numFmtId="0" fontId="12" fillId="23" borderId="28" xfId="2" applyFont="1" applyFill="1" applyBorder="1" applyAlignment="1" applyProtection="1">
      <alignment horizontal="center" wrapText="1"/>
    </xf>
    <xf numFmtId="0" fontId="17" fillId="20" borderId="19" xfId="2" applyFont="1" applyFill="1" applyBorder="1" applyAlignment="1" applyProtection="1">
      <alignment horizontal="center" vertical="center" wrapText="1"/>
    </xf>
    <xf numFmtId="0" fontId="12" fillId="4" borderId="5" xfId="2" applyFont="1" applyFill="1" applyBorder="1" applyAlignment="1" applyProtection="1">
      <alignment horizontal="center" vertical="center" wrapText="1"/>
    </xf>
    <xf numFmtId="0" fontId="0" fillId="0" borderId="144" xfId="0" applyBorder="1"/>
    <xf numFmtId="0" fontId="14" fillId="0" borderId="0" xfId="2" applyFont="1" applyBorder="1" applyAlignment="1" applyProtection="1">
      <alignment horizontal="center"/>
    </xf>
    <xf numFmtId="0" fontId="0" fillId="0" borderId="37" xfId="0" applyBorder="1" applyAlignment="1">
      <alignment horizontal="center"/>
    </xf>
    <xf numFmtId="0" fontId="17" fillId="35" borderId="12" xfId="2" applyFont="1" applyFill="1" applyBorder="1" applyAlignment="1" applyProtection="1">
      <alignment horizontal="center" vertical="top" wrapText="1"/>
    </xf>
    <xf numFmtId="0" fontId="7" fillId="8" borderId="58" xfId="0" applyFont="1" applyFill="1" applyBorder="1" applyAlignment="1">
      <alignment horizontal="center" textRotation="90" wrapText="1"/>
    </xf>
    <xf numFmtId="0" fontId="7" fillId="8" borderId="97" xfId="0" applyFont="1" applyFill="1" applyBorder="1" applyAlignment="1">
      <alignment horizontal="center" textRotation="90" wrapText="1"/>
    </xf>
    <xf numFmtId="165" fontId="10" fillId="4" borderId="54" xfId="2" applyNumberFormat="1" applyFont="1" applyFill="1" applyBorder="1" applyAlignment="1" applyProtection="1">
      <alignment horizontal="center" vertical="center"/>
    </xf>
    <xf numFmtId="165" fontId="10" fillId="4" borderId="3" xfId="2" applyNumberFormat="1" applyFont="1" applyFill="1" applyBorder="1" applyAlignment="1" applyProtection="1">
      <alignment horizontal="center" vertical="center"/>
    </xf>
    <xf numFmtId="0" fontId="9" fillId="4" borderId="157" xfId="0" applyFont="1" applyFill="1" applyBorder="1" applyAlignment="1">
      <alignment horizontal="center"/>
    </xf>
    <xf numFmtId="0" fontId="9" fillId="4" borderId="155" xfId="0" applyFont="1" applyFill="1" applyBorder="1" applyAlignment="1">
      <alignment horizontal="center"/>
    </xf>
    <xf numFmtId="0" fontId="79" fillId="8" borderId="108" xfId="0" applyFont="1" applyFill="1" applyBorder="1" applyAlignment="1">
      <alignment horizontal="center" textRotation="90" wrapText="1"/>
    </xf>
    <xf numFmtId="0" fontId="16" fillId="0" borderId="0" xfId="2" applyFont="1" applyBorder="1" applyAlignment="1" applyProtection="1">
      <alignment horizontal="center" vertical="top" wrapText="1"/>
    </xf>
    <xf numFmtId="0" fontId="17" fillId="11" borderId="47" xfId="2" applyFont="1" applyFill="1" applyBorder="1" applyAlignment="1" applyProtection="1">
      <alignment horizontal="center" vertical="top" wrapText="1"/>
    </xf>
    <xf numFmtId="0" fontId="7" fillId="8" borderId="4" xfId="0" applyFont="1" applyFill="1" applyBorder="1" applyAlignment="1">
      <alignment horizontal="center" textRotation="90" wrapText="1"/>
    </xf>
    <xf numFmtId="0" fontId="10" fillId="4" borderId="5" xfId="0" applyFont="1" applyFill="1" applyBorder="1" applyAlignment="1">
      <alignment horizontal="center" wrapText="1"/>
    </xf>
    <xf numFmtId="0" fontId="10" fillId="5" borderId="6" xfId="0" applyFont="1" applyFill="1" applyBorder="1" applyAlignment="1">
      <alignment horizontal="right" textRotation="90" wrapText="1"/>
    </xf>
    <xf numFmtId="0" fontId="10" fillId="6" borderId="9" xfId="0" applyFont="1" applyFill="1" applyBorder="1" applyAlignment="1">
      <alignment horizontal="center" textRotation="90" wrapText="1"/>
    </xf>
    <xf numFmtId="0" fontId="10" fillId="6" borderId="2" xfId="0" applyFont="1" applyFill="1" applyBorder="1" applyAlignment="1">
      <alignment horizontal="center" textRotation="90" wrapText="1"/>
    </xf>
    <xf numFmtId="0" fontId="10" fillId="9" borderId="5" xfId="0" applyFont="1" applyFill="1" applyBorder="1" applyAlignment="1">
      <alignment horizontal="center" wrapText="1"/>
    </xf>
    <xf numFmtId="0" fontId="8" fillId="5" borderId="36" xfId="0" applyFont="1" applyFill="1" applyBorder="1" applyAlignment="1">
      <alignment horizontal="center" textRotation="90" wrapText="1"/>
    </xf>
    <xf numFmtId="0" fontId="9" fillId="6" borderId="0" xfId="0" applyFont="1" applyFill="1" applyAlignment="1">
      <alignment horizontal="center"/>
    </xf>
    <xf numFmtId="0" fontId="10" fillId="4" borderId="5" xfId="0" applyFont="1" applyFill="1" applyBorder="1" applyAlignment="1">
      <alignment horizontal="center"/>
    </xf>
    <xf numFmtId="0" fontId="10" fillId="4" borderId="54" xfId="0" applyFont="1" applyFill="1" applyBorder="1" applyAlignment="1">
      <alignment horizontal="center"/>
    </xf>
    <xf numFmtId="0" fontId="10" fillId="4" borderId="145" xfId="0" applyFont="1" applyFill="1" applyBorder="1" applyAlignment="1">
      <alignment horizontal="center"/>
    </xf>
    <xf numFmtId="0" fontId="10" fillId="4" borderId="53" xfId="0" applyFont="1" applyFill="1" applyBorder="1" applyAlignment="1">
      <alignment horizontal="center"/>
    </xf>
    <xf numFmtId="0" fontId="10" fillId="9" borderId="5" xfId="0" applyFont="1" applyFill="1" applyBorder="1" applyAlignment="1">
      <alignment horizontal="center"/>
    </xf>
    <xf numFmtId="0" fontId="10" fillId="9" borderId="37" xfId="0" applyFont="1" applyFill="1" applyBorder="1" applyAlignment="1">
      <alignment horizontal="center" wrapText="1"/>
    </xf>
    <xf numFmtId="0" fontId="8" fillId="6" borderId="11" xfId="0" applyFont="1" applyFill="1" applyBorder="1" applyAlignment="1">
      <alignment horizontal="center" textRotation="90" wrapText="1"/>
    </xf>
    <xf numFmtId="0" fontId="8" fillId="6" borderId="36" xfId="0" applyFont="1" applyFill="1" applyBorder="1" applyAlignment="1">
      <alignment horizontal="center" textRotation="90" wrapText="1"/>
    </xf>
    <xf numFmtId="0" fontId="8" fillId="6" borderId="10" xfId="0" applyFont="1" applyFill="1" applyBorder="1" applyAlignment="1">
      <alignment horizontal="center" textRotation="90" wrapText="1"/>
    </xf>
    <xf numFmtId="0" fontId="10" fillId="4" borderId="5" xfId="2" applyFont="1" applyFill="1" applyBorder="1" applyAlignment="1" applyProtection="1">
      <alignment horizontal="center" wrapText="1"/>
    </xf>
    <xf numFmtId="0" fontId="8" fillId="5" borderId="6" xfId="0" applyFont="1" applyFill="1" applyBorder="1" applyAlignment="1">
      <alignment horizontal="center" textRotation="90" wrapText="1"/>
    </xf>
    <xf numFmtId="0" fontId="8" fillId="5" borderId="28" xfId="0" applyFont="1" applyFill="1" applyBorder="1" applyAlignment="1">
      <alignment horizontal="center" textRotation="90" wrapText="1"/>
    </xf>
    <xf numFmtId="0" fontId="8" fillId="5" borderId="102" xfId="0" applyFont="1" applyFill="1" applyBorder="1" applyAlignment="1">
      <alignment horizontal="center" textRotation="90" wrapText="1"/>
    </xf>
    <xf numFmtId="0" fontId="8" fillId="5" borderId="11" xfId="0" applyFont="1" applyFill="1" applyBorder="1" applyAlignment="1">
      <alignment horizontal="center" textRotation="90" wrapText="1"/>
    </xf>
    <xf numFmtId="0" fontId="7" fillId="8" borderId="55" xfId="0" applyFont="1" applyFill="1" applyBorder="1" applyAlignment="1">
      <alignment horizontal="center" textRotation="90" wrapText="1"/>
    </xf>
    <xf numFmtId="0" fontId="9" fillId="4" borderId="143" xfId="0" applyFont="1" applyFill="1" applyBorder="1" applyAlignment="1">
      <alignment horizontal="center"/>
    </xf>
    <xf numFmtId="0" fontId="9" fillId="4" borderId="0" xfId="0" applyFont="1" applyFill="1" applyAlignment="1">
      <alignment horizontal="center"/>
    </xf>
    <xf numFmtId="0" fontId="10" fillId="7" borderId="149" xfId="0" applyFont="1" applyFill="1" applyBorder="1" applyAlignment="1">
      <alignment horizontal="center" vertical="center" wrapText="1"/>
    </xf>
    <xf numFmtId="0" fontId="10" fillId="7" borderId="150" xfId="0" applyFont="1" applyFill="1" applyBorder="1" applyAlignment="1">
      <alignment horizontal="center" vertical="center" wrapText="1"/>
    </xf>
    <xf numFmtId="0" fontId="10" fillId="7" borderId="151" xfId="0" applyFont="1" applyFill="1" applyBorder="1" applyAlignment="1">
      <alignment horizontal="center" vertical="center" wrapText="1"/>
    </xf>
    <xf numFmtId="0" fontId="10" fillId="7" borderId="152"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153" xfId="0" applyFont="1" applyFill="1" applyBorder="1" applyAlignment="1">
      <alignment horizontal="center" vertical="center" wrapText="1"/>
    </xf>
    <xf numFmtId="0" fontId="10" fillId="7" borderId="154" xfId="0" applyFont="1" applyFill="1" applyBorder="1" applyAlignment="1">
      <alignment horizontal="center" vertical="center" wrapText="1"/>
    </xf>
    <xf numFmtId="0" fontId="10" fillId="7" borderId="155"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0" fillId="8" borderId="59" xfId="0" applyFont="1" applyFill="1" applyBorder="1" applyAlignment="1">
      <alignment horizontal="center" textRotation="90" wrapText="1"/>
    </xf>
    <xf numFmtId="0" fontId="10" fillId="4" borderId="5" xfId="2" applyFont="1" applyFill="1" applyBorder="1" applyAlignment="1" applyProtection="1">
      <alignment horizontal="center" vertical="center" wrapText="1"/>
    </xf>
    <xf numFmtId="0" fontId="8" fillId="5" borderId="5" xfId="0" applyFont="1" applyFill="1" applyBorder="1" applyAlignment="1">
      <alignment horizontal="center" textRotation="90" wrapText="1"/>
    </xf>
    <xf numFmtId="0" fontId="12" fillId="8" borderId="59" xfId="0" applyFont="1" applyFill="1" applyBorder="1" applyAlignment="1">
      <alignment horizontal="center" textRotation="90" wrapText="1"/>
    </xf>
    <xf numFmtId="165" fontId="10" fillId="4" borderId="60" xfId="2" applyNumberFormat="1" applyFont="1" applyFill="1" applyBorder="1" applyAlignment="1" applyProtection="1">
      <alignment horizontal="center" vertical="center"/>
    </xf>
    <xf numFmtId="165" fontId="10" fillId="4" borderId="56" xfId="2" applyNumberFormat="1" applyFont="1" applyFill="1" applyBorder="1" applyAlignment="1" applyProtection="1">
      <alignment horizontal="center" vertical="center"/>
    </xf>
    <xf numFmtId="0" fontId="8" fillId="5" borderId="9" xfId="0" applyFont="1" applyFill="1" applyBorder="1" applyAlignment="1">
      <alignment horizontal="center" textRotation="90" wrapText="1"/>
    </xf>
    <xf numFmtId="0" fontId="8" fillId="5" borderId="2" xfId="0" applyFont="1" applyFill="1" applyBorder="1" applyAlignment="1">
      <alignment horizontal="center" textRotation="90" wrapText="1"/>
    </xf>
    <xf numFmtId="0" fontId="6" fillId="11" borderId="0" xfId="0" applyFont="1" applyFill="1" applyAlignment="1">
      <alignment horizontal="center"/>
    </xf>
    <xf numFmtId="0" fontId="32" fillId="6" borderId="0" xfId="0" applyFont="1" applyFill="1" applyAlignment="1">
      <alignment horizontal="center"/>
    </xf>
    <xf numFmtId="0" fontId="34" fillId="3" borderId="10" xfId="6" applyBorder="1" applyAlignment="1" applyProtection="1">
      <alignment horizontal="center"/>
    </xf>
    <xf numFmtId="0" fontId="34" fillId="3" borderId="62" xfId="6" applyBorder="1" applyAlignment="1" applyProtection="1">
      <alignment horizontal="center" vertical="center"/>
    </xf>
    <xf numFmtId="0" fontId="34" fillId="3" borderId="62" xfId="6" applyBorder="1" applyAlignment="1" applyProtection="1">
      <alignment horizontal="center" vertical="center" wrapText="1"/>
    </xf>
    <xf numFmtId="0" fontId="2" fillId="4" borderId="0" xfId="0" applyFont="1" applyFill="1" applyAlignment="1">
      <alignment horizontal="left"/>
    </xf>
    <xf numFmtId="0" fontId="6" fillId="0" borderId="3" xfId="0" applyFont="1" applyBorder="1" applyAlignment="1">
      <alignment horizontal="center"/>
    </xf>
    <xf numFmtId="0" fontId="34" fillId="0" borderId="70" xfId="6" applyFill="1" applyBorder="1" applyAlignment="1" applyProtection="1">
      <alignment horizontal="center" vertical="center" wrapText="1"/>
    </xf>
    <xf numFmtId="0" fontId="34" fillId="0" borderId="71" xfId="6" applyFill="1" applyBorder="1" applyAlignment="1" applyProtection="1">
      <alignment horizontal="left"/>
    </xf>
    <xf numFmtId="0" fontId="6" fillId="0" borderId="72" xfId="0" applyFont="1" applyBorder="1" applyAlignment="1">
      <alignment horizontal="center"/>
    </xf>
    <xf numFmtId="0" fontId="6" fillId="0" borderId="71" xfId="0" applyFont="1" applyBorder="1" applyAlignment="1">
      <alignment horizontal="center"/>
    </xf>
    <xf numFmtId="0" fontId="8" fillId="0" borderId="110" xfId="0" applyFont="1" applyBorder="1" applyAlignment="1">
      <alignment horizontal="left" vertical="center"/>
    </xf>
    <xf numFmtId="0" fontId="9" fillId="5" borderId="110" xfId="0" applyFont="1" applyFill="1" applyBorder="1" applyAlignment="1">
      <alignment horizontal="center"/>
    </xf>
    <xf numFmtId="0" fontId="41" fillId="13" borderId="112" xfId="0" applyFont="1" applyFill="1" applyBorder="1" applyAlignment="1">
      <alignment horizontal="center"/>
    </xf>
    <xf numFmtId="0" fontId="53" fillId="0" borderId="123" xfId="0" applyFont="1" applyBorder="1" applyAlignment="1">
      <alignment vertical="top" wrapText="1"/>
    </xf>
    <xf numFmtId="0" fontId="54" fillId="0" borderId="123" xfId="0" applyFont="1" applyBorder="1" applyAlignment="1">
      <alignment vertical="top" wrapText="1"/>
    </xf>
    <xf numFmtId="0" fontId="9" fillId="6" borderId="136" xfId="0" applyFont="1" applyFill="1" applyBorder="1" applyAlignment="1">
      <alignment horizontal="center"/>
    </xf>
    <xf numFmtId="0" fontId="42" fillId="7" borderId="137" xfId="0" applyFont="1" applyFill="1" applyBorder="1" applyAlignment="1">
      <alignment horizontal="center" wrapText="1"/>
    </xf>
    <xf numFmtId="0" fontId="5" fillId="7" borderId="137" xfId="2" applyFill="1" applyBorder="1" applyAlignment="1" applyProtection="1">
      <alignment horizontal="center" wrapText="1"/>
    </xf>
  </cellXfs>
  <cellStyles count="8">
    <cellStyle name="ColLevel_1" xfId="1" builtinId="2" iLevel="0"/>
    <cellStyle name="Excel_BuiltIn_Bad 1" xfId="5" xr:uid="{00000000-0005-0000-0000-000001000000}"/>
    <cellStyle name="Excel_BuiltIn_Output 1" xfId="6" xr:uid="{00000000-0005-0000-0000-000002000000}"/>
    <cellStyle name="Hyperlink" xfId="2" builtinId="8"/>
    <cellStyle name="Neutral" xfId="7" builtinId="28"/>
    <cellStyle name="Normal" xfId="0" builtinId="0"/>
    <cellStyle name="Normal 2" xfId="3" xr:uid="{00000000-0005-0000-0000-000005000000}"/>
    <cellStyle name="Supported" xfId="4" xr:uid="{00000000-0005-0000-0000-000006000000}"/>
  </cellStyles>
  <dxfs count="2399">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i val="0"/>
        <sz val="11"/>
        <color rgb="FFFF0000"/>
      </font>
    </dxf>
    <dxf>
      <font>
        <b val="0"/>
        <i val="0"/>
        <sz val="11"/>
        <color rgb="FF008000"/>
      </font>
    </dxf>
    <dxf>
      <font>
        <b/>
        <i val="0"/>
        <sz val="11"/>
        <color rgb="FFFF0000"/>
      </font>
    </dxf>
    <dxf>
      <font>
        <b val="0"/>
        <i val="0"/>
        <sz val="11"/>
        <color rgb="FF008000"/>
      </font>
    </dxf>
    <dxf>
      <font>
        <b val="0"/>
        <sz val="11"/>
        <color rgb="FF800080"/>
      </font>
      <fill>
        <patternFill>
          <bgColor rgb="FFFF99CC"/>
        </patternFill>
      </fill>
    </dxf>
    <dxf>
      <font>
        <color rgb="FF9C0006"/>
      </font>
      <fill>
        <patternFill>
          <bgColor rgb="FFFFC7CE"/>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color rgb="FF9C0006"/>
      </font>
      <fill>
        <patternFill>
          <bgColor rgb="FFFFC7CE"/>
        </patternFill>
      </fill>
    </dxf>
    <dxf>
      <font>
        <b val="0"/>
        <sz val="11"/>
        <color rgb="FFFF6600"/>
      </font>
    </dxf>
    <dxf>
      <font>
        <b val="0"/>
        <sz val="11"/>
        <color rgb="FFFF0000"/>
      </font>
    </dxf>
    <dxf>
      <font>
        <b val="0"/>
        <sz val="11"/>
        <color rgb="FFFF0000"/>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sz val="11"/>
        <color rgb="FFFF6600"/>
      </font>
    </dxf>
    <dxf>
      <font>
        <b val="0"/>
        <sz val="11"/>
        <color rgb="FFFF0000"/>
      </font>
    </dxf>
    <dxf>
      <font>
        <b val="0"/>
        <sz val="11"/>
        <color rgb="FFFF0000"/>
      </font>
    </dxf>
    <dxf>
      <font>
        <color rgb="FF9C0006"/>
      </font>
      <fill>
        <patternFill>
          <bgColor rgb="FFFFC7CE"/>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sz val="11"/>
        <color rgb="FFFF6600"/>
      </font>
    </dxf>
    <dxf>
      <font>
        <b val="0"/>
        <sz val="11"/>
        <color rgb="FFFF0000"/>
      </font>
    </dxf>
    <dxf>
      <font>
        <b val="0"/>
        <sz val="11"/>
        <color rgb="FFFF0000"/>
      </font>
    </dxf>
    <dxf>
      <font>
        <color rgb="FF9C0006"/>
      </font>
      <fill>
        <patternFill>
          <bgColor rgb="FFFFC7CE"/>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color rgb="FF9C0006"/>
      </font>
      <fill>
        <patternFill>
          <bgColor rgb="FFFFC7CE"/>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sz val="11"/>
        <color rgb="FFFF6600"/>
      </font>
    </dxf>
    <dxf>
      <font>
        <b val="0"/>
        <sz val="11"/>
        <color rgb="FFFF0000"/>
      </font>
    </dxf>
    <dxf>
      <font>
        <b val="0"/>
        <sz val="11"/>
        <color rgb="FFFF0000"/>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000000"/>
      </font>
      <fill>
        <patternFill>
          <bgColor rgb="FFFFFF00"/>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000000"/>
      </font>
      <fill>
        <patternFill>
          <bgColor rgb="FFFFFF00"/>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000000"/>
      </font>
      <fill>
        <patternFill>
          <bgColor rgb="FFFFFF00"/>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000000"/>
      </font>
      <fill>
        <patternFill>
          <bgColor rgb="FFFFFF00"/>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000000"/>
      </font>
      <fill>
        <patternFill>
          <bgColor rgb="FFFFFF00"/>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000000"/>
      </font>
      <fill>
        <patternFill>
          <bgColor rgb="FFFFFF00"/>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000000"/>
      </font>
      <fill>
        <patternFill>
          <bgColor rgb="FFFFFF00"/>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000000"/>
      </font>
      <fill>
        <patternFill>
          <bgColor rgb="FFFFFF00"/>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000000"/>
      </font>
      <fill>
        <patternFill>
          <bgColor rgb="FFFFFF00"/>
        </patternFill>
      </fill>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6600"/>
      </font>
    </dxf>
    <dxf>
      <font>
        <b val="0"/>
        <sz val="11"/>
        <color rgb="FFFF0000"/>
      </font>
    </dxf>
    <dxf>
      <font>
        <b val="0"/>
        <sz val="11"/>
        <color rgb="FFFF0000"/>
      </font>
    </dxf>
    <dxf>
      <font>
        <b val="0"/>
        <sz val="11"/>
        <color rgb="FFFF0000"/>
      </font>
      <fill>
        <patternFill>
          <bgColor rgb="FFC0C0C0"/>
        </patternFill>
      </fill>
    </dxf>
    <dxf>
      <font>
        <b val="0"/>
        <sz val="11"/>
        <color rgb="FF008000"/>
      </font>
    </dxf>
    <dxf>
      <font>
        <b val="0"/>
        <sz val="11"/>
        <color rgb="FFFFFFFF"/>
      </font>
      <fill>
        <patternFill>
          <bgColor rgb="FF969696"/>
        </patternFill>
      </fill>
    </dxf>
    <dxf>
      <font>
        <b val="0"/>
        <sz val="11"/>
        <color rgb="FFFF0000"/>
      </font>
      <fill>
        <patternFill>
          <bgColor rgb="FFC0C0C0"/>
        </patternFill>
      </fill>
    </dxf>
    <dxf>
      <font>
        <b val="0"/>
        <sz val="11"/>
        <color rgb="FF008000"/>
      </font>
    </dxf>
    <dxf>
      <font>
        <b val="0"/>
        <sz val="11"/>
        <color rgb="FFFFFFFF"/>
      </font>
      <fill>
        <patternFill>
          <bgColor rgb="FF969696"/>
        </patternFill>
      </fill>
    </dxf>
    <dxf>
      <font>
        <b val="0"/>
        <sz val="11"/>
        <color rgb="FFFF0000"/>
      </font>
      <fill>
        <patternFill>
          <bgColor rgb="FFC0C0C0"/>
        </patternFill>
      </fill>
    </dxf>
    <dxf>
      <font>
        <b val="0"/>
        <sz val="11"/>
        <color rgb="FF008000"/>
      </font>
    </dxf>
    <dxf>
      <font>
        <b val="0"/>
        <sz val="11"/>
        <color rgb="FFFFFFFF"/>
      </font>
      <fill>
        <patternFill>
          <bgColor rgb="FF969696"/>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color rgb="FF9C0006"/>
      </font>
      <fill>
        <patternFill>
          <bgColor rgb="FFFFC7CE"/>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color rgb="FF9C0006"/>
      </font>
      <fill>
        <patternFill>
          <bgColor rgb="FFFFC7CE"/>
        </patternFill>
      </fill>
    </dxf>
    <dxf>
      <font>
        <color rgb="FF9C0006"/>
      </font>
      <fill>
        <patternFill>
          <bgColor rgb="FFFFC7CE"/>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color rgb="FF9C0006"/>
      </font>
      <fill>
        <patternFill>
          <bgColor rgb="FFFFC7CE"/>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
      <font>
        <b val="0"/>
        <sz val="11"/>
        <color rgb="FF800080"/>
      </font>
      <fill>
        <patternFill>
          <bgColor rgb="FFFF99CC"/>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548235"/>
      <rgbColor rgb="FFC0C0C0"/>
      <rgbColor rgb="FF808080"/>
      <rgbColor rgb="FFA6A6A6"/>
      <rgbColor rgb="FF993366"/>
      <rgbColor rgb="FFE7E6E6"/>
      <rgbColor rgb="FFFFC000"/>
      <rgbColor rgb="FF660066"/>
      <rgbColor rgb="FFFF8080"/>
      <rgbColor rgb="FF0066CC"/>
      <rgbColor rgb="FFBFBFBF"/>
      <rgbColor rgb="FF000080"/>
      <rgbColor rgb="FFFF00FF"/>
      <rgbColor rgb="FFFFFF66"/>
      <rgbColor rgb="FF00FFFF"/>
      <rgbColor rgb="FF800080"/>
      <rgbColor rgb="FF800000"/>
      <rgbColor rgb="FF008080"/>
      <rgbColor rgb="FF0000FF"/>
      <rgbColor rgb="FF00CCFF"/>
      <rgbColor rgb="FFCCFFFF"/>
      <rgbColor rgb="FFFFE699"/>
      <rgbColor rgb="FFFFFF99"/>
      <rgbColor rgb="FF99CCFF"/>
      <rgbColor rgb="FFFF99CC"/>
      <rgbColor rgb="FFED7D31"/>
      <rgbColor rgb="FFFFCC99"/>
      <rgbColor rgb="FF3366FF"/>
      <rgbColor rgb="FF00B0F0"/>
      <rgbColor rgb="FFA9D18E"/>
      <rgbColor rgb="FFFFCC00"/>
      <rgbColor rgb="FFFF9900"/>
      <rgbColor rgb="FFFF6600"/>
      <rgbColor rgb="FF4C4C4C"/>
      <rgbColor rgb="FF969696"/>
      <rgbColor rgb="FF003366"/>
      <rgbColor rgb="FF339966"/>
      <rgbColor rgb="FF003300"/>
      <rgbColor rgb="FF3C3C3C"/>
      <rgbColor rgb="FF993300"/>
      <rgbColor rgb="FF993366"/>
      <rgbColor rgb="FF333399"/>
      <rgbColor rgb="FF3A3935"/>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tthew Harrison" id="{FACECFA7-96A7-4182-813C-DA26D1B8FEFF}" userId="S::matthewh@alliedtelesis.co.nz::eeceb4da-165f-433c-9d0d-7ca2b161b4c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3-03-13T22:25:00.37" personId="{FACECFA7-96A7-4182-813C-DA26D1B8FEFF}" id="{D1BE036B-A841-41D6-8F81-62FA3D50D6EA}">
    <text>Moved from RevA to RevB due to housing change, not additional testing required.</text>
  </threadedComment>
  <threadedComment ref="C13" dT="2023-03-13T22:19:39.72" personId="{FACECFA7-96A7-4182-813C-DA26D1B8FEFF}" id="{14EF827F-B37E-4027-B66F-88728EBFFB11}">
    <text>Moved from RevB to RevC due to housing change.  No new testing required.</text>
  </threadedComment>
</ThreadedComments>
</file>

<file path=xl/worksheets/_rels/sheet1.xml.rels><?xml version="1.0" encoding="UTF-8" standalone="yes"?>
<Relationships xmlns="http://schemas.openxmlformats.org/package/2006/relationships"><Relationship Id="rId26" Type="http://schemas.openxmlformats.org/officeDocument/2006/relationships/hyperlink" Target="http://10.32.16.105/systest/Reports/TestLink/SuiteExecC.php?plan=75634&amp;rep=F" TargetMode="External"/><Relationship Id="rId117" Type="http://schemas.openxmlformats.org/officeDocument/2006/relationships/hyperlink" Target="https://jira.atlnz.lc/secure/Tests.jspa" TargetMode="External"/><Relationship Id="rId21" Type="http://schemas.openxmlformats.org/officeDocument/2006/relationships/hyperlink" Target="http://10.32.16.105/systest/Reports/TestLink/SuiteExecC.php?plan=458763&amp;rep=F&amp;platform=220" TargetMode="External"/><Relationship Id="rId42" Type="http://schemas.openxmlformats.org/officeDocument/2006/relationships/hyperlink" Target="http://10.32.16.105/systest/Reports/TestLink/SuiteExecC.php?plan=440944&amp;rep=F&amp;platform=221" TargetMode="External"/><Relationship Id="rId47" Type="http://schemas.openxmlformats.org/officeDocument/2006/relationships/hyperlink" Target="http://10.32.16.105/systest/Reports/TestLink/SuiteExecC.php?plan=309247&amp;rep=F&amp;platform=221" TargetMode="External"/><Relationship Id="rId63" Type="http://schemas.openxmlformats.org/officeDocument/2006/relationships/hyperlink" Target="https://jira.atlnz.lc/secure/Tests.jspa" TargetMode="External"/><Relationship Id="rId68" Type="http://schemas.openxmlformats.org/officeDocument/2006/relationships/hyperlink" Target="https://jira.atlnz.lc/secure/Tests.jspa" TargetMode="External"/><Relationship Id="rId84" Type="http://schemas.openxmlformats.org/officeDocument/2006/relationships/hyperlink" Target="https://jira.atlnz.lc/secure/Tests.jspa" TargetMode="External"/><Relationship Id="rId89" Type="http://schemas.openxmlformats.org/officeDocument/2006/relationships/hyperlink" Target="https://intranet.atlnz.lc/systest/Jira_Reports/testExecReport/jiraExecReport.php?testPlanKey=75&amp;projectKey=TQUALTCM&amp;Report=Report" TargetMode="External"/><Relationship Id="rId112" Type="http://schemas.openxmlformats.org/officeDocument/2006/relationships/hyperlink" Target="http://10.32.16.105/systest/Reports/TestLink/SuiteExecC.php?plan=53986&amp;rep=F" TargetMode="External"/><Relationship Id="rId133" Type="http://schemas.openxmlformats.org/officeDocument/2006/relationships/hyperlink" Target="http://10.32.16.105/systest/Reports/TestLink/SuiteExecC.php?plan=50999&amp;rep=F" TargetMode="External"/><Relationship Id="rId138" Type="http://schemas.openxmlformats.org/officeDocument/2006/relationships/hyperlink" Target="http://10.32.16.105/systest/Reports/TestLink/SuiteExecC.php?plan=53986&amp;rep=F" TargetMode="External"/><Relationship Id="rId154" Type="http://schemas.openxmlformats.org/officeDocument/2006/relationships/hyperlink" Target="http://10.32.16.105/systest/products/Accessories/pluggable_transceiver/results/SFP/AT-SPBX-SC-15/XEM-12S" TargetMode="External"/><Relationship Id="rId159" Type="http://schemas.openxmlformats.org/officeDocument/2006/relationships/hyperlink" Target="http://10.32.16.105/systest/products/Accessories/pluggable_transceiver/results/SFP/AT-SPFX_40/Mustang%20SFP" TargetMode="External"/><Relationship Id="rId175" Type="http://schemas.openxmlformats.org/officeDocument/2006/relationships/hyperlink" Target="http://10.32.16.105/systest/products/Accessories/pluggable_transceiver/results/SFP/DELTA-SPBD-155E_F4J1R/x900-48FS/AT-SPFXBD-15" TargetMode="External"/><Relationship Id="rId170" Type="http://schemas.openxmlformats.org/officeDocument/2006/relationships/hyperlink" Target="http://10.32.16.105/systest/products/Accessories/pluggable_transceiver/results/SFP/DELTA-SPBD-155E_F4J1R/x900-24XS_XEM-12S" TargetMode="External"/><Relationship Id="rId191" Type="http://schemas.openxmlformats.org/officeDocument/2006/relationships/vmlDrawing" Target="../drawings/vmlDrawing1.vml"/><Relationship Id="rId16" Type="http://schemas.openxmlformats.org/officeDocument/2006/relationships/hyperlink" Target="http://10.32.16.105/systest/Reports/TestLink/SuiteExecC.php?plan=182009&amp;rep=F&amp;platform=220" TargetMode="External"/><Relationship Id="rId107" Type="http://schemas.openxmlformats.org/officeDocument/2006/relationships/hyperlink" Target="http://10.32.16.105/systest/Reports/TestLink/SuiteExecC.php?plan=50999&amp;rep=F" TargetMode="External"/><Relationship Id="rId11" Type="http://schemas.openxmlformats.org/officeDocument/2006/relationships/hyperlink" Target="http://10.32.16.105/systest/Reports/TestLink/SuiteExecC.php?plan=95944&amp;rep=F&amp;platform=201" TargetMode="External"/><Relationship Id="rId32" Type="http://schemas.openxmlformats.org/officeDocument/2006/relationships/hyperlink" Target="http://10.32.16.105/systest/products/Accessories/pluggable_transceiver/results/SFP/AT-SPFX_15/AR770" TargetMode="External"/><Relationship Id="rId37" Type="http://schemas.openxmlformats.org/officeDocument/2006/relationships/hyperlink" Target="https://jira.atlnz.lc/secure/Tests.jspa" TargetMode="External"/><Relationship Id="rId53" Type="http://schemas.openxmlformats.org/officeDocument/2006/relationships/hyperlink" Target="http://10.32.16.105/systest/Reports/TestLink/SuiteExecC.php?plan=75635&amp;rep=F" TargetMode="External"/><Relationship Id="rId58" Type="http://schemas.openxmlformats.org/officeDocument/2006/relationships/hyperlink" Target="http://10.32.16.105/systest/products/Accessories/pluggable_transceiver/results/SFP/AT-SPFX_2/Mustang" TargetMode="External"/><Relationship Id="rId74" Type="http://schemas.openxmlformats.org/officeDocument/2006/relationships/hyperlink" Target="https://jira.atlnz.lc/secure/Tests.jspa" TargetMode="External"/><Relationship Id="rId79" Type="http://schemas.openxmlformats.org/officeDocument/2006/relationships/hyperlink" Target="https://jira.atlnz.lc/secure/Tests.jspa" TargetMode="External"/><Relationship Id="rId102" Type="http://schemas.openxmlformats.org/officeDocument/2006/relationships/hyperlink" Target="http://10.32.16.105/systest/Reports/TestLink/SuiteExecC.php?plan=309247&amp;rep=F&amp;platform=222" TargetMode="External"/><Relationship Id="rId123" Type="http://schemas.openxmlformats.org/officeDocument/2006/relationships/hyperlink" Target="http://10.32.16.105/systest/Reports/TestLink/SuiteExecC.php?plan=182009&amp;rep=F&amp;platform=222" TargetMode="External"/><Relationship Id="rId128" Type="http://schemas.openxmlformats.org/officeDocument/2006/relationships/hyperlink" Target="http://10.32.16.105/systest/Reports/TestLink/SuiteExecC.php?plan=309247&amp;rep=F&amp;platform=222" TargetMode="External"/><Relationship Id="rId144" Type="http://schemas.openxmlformats.org/officeDocument/2006/relationships/hyperlink" Target="http://10.32.16.105/systest/products/Accessories/pluggable_transceiver/results_aw+/SFP/100M%20fiber%20SFP/AT-SPFXBD-SC-13/Switchblade-x908_XEM-12S" TargetMode="External"/><Relationship Id="rId149" Type="http://schemas.openxmlformats.org/officeDocument/2006/relationships/hyperlink" Target="http://10.32.16.105/systest/products/Accessories/pluggable_transceiver/results/SFP/AT-SPBX-SC-13/x900-24XS" TargetMode="External"/><Relationship Id="rId5" Type="http://schemas.openxmlformats.org/officeDocument/2006/relationships/hyperlink" Target="http://www.alliedtelesis.com/media/datasheets/8948_ds.pdf" TargetMode="External"/><Relationship Id="rId90" Type="http://schemas.openxmlformats.org/officeDocument/2006/relationships/hyperlink" Target="http://10.32.16.105/systest/Reports/TestLink/SuiteExecC.php?plan=479406&amp;rep=F&amp;platform=222" TargetMode="External"/><Relationship Id="rId95" Type="http://schemas.openxmlformats.org/officeDocument/2006/relationships/hyperlink" Target="http://10.32.16.105/systest/Reports/TestLink/SuiteExecC.php?plan=153890&amp;rep=F&amp;platform=222" TargetMode="External"/><Relationship Id="rId160" Type="http://schemas.openxmlformats.org/officeDocument/2006/relationships/hyperlink" Target="http://10.32.16.105/systest/products/Accessories/pluggable_transceiver/results/SFP/AT-SPFX_40/AR770" TargetMode="External"/><Relationship Id="rId165" Type="http://schemas.openxmlformats.org/officeDocument/2006/relationships/hyperlink" Target="http://10.32.16.105/systest/Reports/TestLink/SuiteExecC.php?plan=50630&amp;rep=F" TargetMode="External"/><Relationship Id="rId181" Type="http://schemas.openxmlformats.org/officeDocument/2006/relationships/hyperlink" Target="https://wallace4.atlnz.lc/systest/Jira_Reports/testExecReport/jiraExecReport_wallace4.php?testPlanKey=516&amp;projectKey=TQUALTCM&amp;Report=Report" TargetMode="External"/><Relationship Id="rId186" Type="http://schemas.openxmlformats.org/officeDocument/2006/relationships/hyperlink" Target="https://wallace4.atlnz.lc/systest/Jira_Reports/testExecReport/jiraExecReport_wallace4.php?testPlanKey=127&amp;projectKey=TQUALTCM&amp;Report=Report" TargetMode="External"/><Relationship Id="rId22" Type="http://schemas.openxmlformats.org/officeDocument/2006/relationships/hyperlink" Target="http://10.32.16.105/systest/Reports/TestLink/SuiteExecC.php?plan=95944&amp;rep=F&amp;platform=202" TargetMode="External"/><Relationship Id="rId27" Type="http://schemas.openxmlformats.org/officeDocument/2006/relationships/hyperlink" Target="http://10.32.16.105/systest/Reports/TestLink/SuiteExecC.php?plan=50628&amp;rep=F" TargetMode="External"/><Relationship Id="rId43" Type="http://schemas.openxmlformats.org/officeDocument/2006/relationships/hyperlink" Target="http://10.32.16.105/systest/Reports/TestLink/SuiteExecC.php?plan=182009&amp;rep=F&amp;platform=221" TargetMode="External"/><Relationship Id="rId48" Type="http://schemas.openxmlformats.org/officeDocument/2006/relationships/hyperlink" Target="http://10.32.16.105/systest/Reports/TestLink/SuiteExecC.php?plan=458763&amp;rep=F&amp;platform=221" TargetMode="External"/><Relationship Id="rId64" Type="http://schemas.openxmlformats.org/officeDocument/2006/relationships/hyperlink" Target="https://jira.atlnz.lc/secure/Tests.jspa" TargetMode="External"/><Relationship Id="rId69" Type="http://schemas.openxmlformats.org/officeDocument/2006/relationships/hyperlink" Target="https://jira.atlnz.lc/secure/Tests.jspa" TargetMode="External"/><Relationship Id="rId113" Type="http://schemas.openxmlformats.org/officeDocument/2006/relationships/hyperlink" Target="http://10.32.16.105/systest/Reports/TestLink/SuiteExecC.php?plan=53987&amp;rep=F" TargetMode="External"/><Relationship Id="rId118" Type="http://schemas.openxmlformats.org/officeDocument/2006/relationships/hyperlink" Target="http://10.32.16.105/systest/Reports/TestLink/SuiteExecC.php?plan=95947&amp;rep=F&amp;platform=201" TargetMode="External"/><Relationship Id="rId134" Type="http://schemas.openxmlformats.org/officeDocument/2006/relationships/hyperlink" Target="http://10.32.16.105/systest/Reports/TestLink/SuiteExecC.php?plan=75636&amp;rep=F" TargetMode="External"/><Relationship Id="rId139" Type="http://schemas.openxmlformats.org/officeDocument/2006/relationships/hyperlink" Target="http://10.32.16.105/systest/Reports/TestLink/SuiteExecC.php?plan=53987&amp;rep=F" TargetMode="External"/><Relationship Id="rId80" Type="http://schemas.openxmlformats.org/officeDocument/2006/relationships/hyperlink" Target="https://jira.atlnz.lc/secure/Tests.jspa" TargetMode="External"/><Relationship Id="rId85" Type="http://schemas.openxmlformats.org/officeDocument/2006/relationships/hyperlink" Target="https://jira.atlnz.lc/secure/Tests.jspa" TargetMode="External"/><Relationship Id="rId150" Type="http://schemas.openxmlformats.org/officeDocument/2006/relationships/hyperlink" Target="http://10.32.16.105/systest/products/Accessories/pluggable_transceiver/results_aw+/SFP/100M%20fiber%20SFP/AT-SPFXBD-SC-15/Switchblade-x908_XEM-12S" TargetMode="External"/><Relationship Id="rId155" Type="http://schemas.openxmlformats.org/officeDocument/2006/relationships/hyperlink" Target="http://10.32.16.105/systest/products/Accessories/pluggable_transceiver/results/SFP/AT-SPBX-SC-15/x900-24XS" TargetMode="External"/><Relationship Id="rId171" Type="http://schemas.openxmlformats.org/officeDocument/2006/relationships/hyperlink" Target="http://10.32.16.105/systest/products/Accessories/pluggable_transceiver/results_aw+/SFP/100M%20fiber%20SFP/AT-SPFXBD-15/Switchblade-x908_XEM-12S" TargetMode="External"/><Relationship Id="rId176" Type="http://schemas.openxmlformats.org/officeDocument/2006/relationships/hyperlink" Target="http://10.32.16.105/systest/products/Accessories/pluggable_transceiver/results/SFP/DELTA-SPBD-155E_F4J1R/Mustang" TargetMode="External"/><Relationship Id="rId192" Type="http://schemas.openxmlformats.org/officeDocument/2006/relationships/comments" Target="../comments1.xml"/><Relationship Id="rId12" Type="http://schemas.openxmlformats.org/officeDocument/2006/relationships/hyperlink" Target="http://10.32.16.105/systest/Reports/TestLink/SuiteExecC.php?plan=478894&amp;rep=F&amp;platform=220" TargetMode="External"/><Relationship Id="rId17" Type="http://schemas.openxmlformats.org/officeDocument/2006/relationships/hyperlink" Target="http://10.32.16.105/systest/Reports/TestLink/SuiteExecC.php?plan=309805&amp;rep=F&amp;platform=220" TargetMode="External"/><Relationship Id="rId33" Type="http://schemas.openxmlformats.org/officeDocument/2006/relationships/hyperlink" Target="http://10.32.16.105/systest/products/Accessories/pluggable_transceiver/results/SFP/AT-SPFX_15/x900-24XS_XEM-12S" TargetMode="External"/><Relationship Id="rId38" Type="http://schemas.openxmlformats.org/officeDocument/2006/relationships/hyperlink" Target="http://10.32.16.105/systest/Reports/TestLink/SuiteExecC.php?plan=95946&amp;rep=F&amp;platform=201" TargetMode="External"/><Relationship Id="rId59" Type="http://schemas.openxmlformats.org/officeDocument/2006/relationships/hyperlink" Target="http://10.32.16.105/systest/products/Accessories/pluggable_transceiver/results/SFP/AT-SPFX_2/AR570_770" TargetMode="External"/><Relationship Id="rId103" Type="http://schemas.openxmlformats.org/officeDocument/2006/relationships/hyperlink" Target="http://10.32.16.105/systest/Reports/TestLink/SuiteExecC.php?plan=458763&amp;rep=F&amp;platform=222" TargetMode="External"/><Relationship Id="rId108" Type="http://schemas.openxmlformats.org/officeDocument/2006/relationships/hyperlink" Target="http://10.32.16.105/systest/Reports/TestLink/SuiteExecC.php?plan=75636&amp;rep=F" TargetMode="External"/><Relationship Id="rId124" Type="http://schemas.openxmlformats.org/officeDocument/2006/relationships/hyperlink" Target="http://10.32.16.105/systest/Reports/TestLink/SuiteExecC.php?plan=309805&amp;rep=F&amp;platform=222" TargetMode="External"/><Relationship Id="rId129" Type="http://schemas.openxmlformats.org/officeDocument/2006/relationships/hyperlink" Target="http://10.32.16.105/systest/Reports/TestLink/SuiteExecC.php?plan=458763&amp;rep=F&amp;platform=222" TargetMode="External"/><Relationship Id="rId54" Type="http://schemas.openxmlformats.org/officeDocument/2006/relationships/hyperlink" Target="http://10.32.16.105/systest/Reports/TestLink/SuiteExecC.php?plan=50627&amp;rep=F" TargetMode="External"/><Relationship Id="rId70" Type="http://schemas.openxmlformats.org/officeDocument/2006/relationships/hyperlink" Target="https://jira.atlnz.lc/secure/Tests.jspa" TargetMode="External"/><Relationship Id="rId75" Type="http://schemas.openxmlformats.org/officeDocument/2006/relationships/hyperlink" Target="https://jira.atlnz.lc/secure/Tests.jspa" TargetMode="External"/><Relationship Id="rId91" Type="http://schemas.openxmlformats.org/officeDocument/2006/relationships/hyperlink" Target="https://jira.atlnz.lc/secure/Tests.jspa" TargetMode="External"/><Relationship Id="rId96" Type="http://schemas.openxmlformats.org/officeDocument/2006/relationships/hyperlink" Target="http://10.32.16.105/systest/Reports/TestLink/SuiteExecC.php?plan=440944&amp;rep=F&amp;platform=222" TargetMode="External"/><Relationship Id="rId140" Type="http://schemas.openxmlformats.org/officeDocument/2006/relationships/hyperlink" Target="http://10.32.16.105/systest/Reports/TestLink/SuiteExecC.php?plan=53550&amp;rep=F" TargetMode="External"/><Relationship Id="rId145" Type="http://schemas.openxmlformats.org/officeDocument/2006/relationships/hyperlink" Target="http://10.32.16.105/systest/products/Accessories/pluggable_transceiver/results_aw+/SFP/100M%20fiber%20SFP/AT-SPFXBD-SC-13/x900-12XT-S" TargetMode="External"/><Relationship Id="rId161" Type="http://schemas.openxmlformats.org/officeDocument/2006/relationships/hyperlink" Target="http://10.32.16.105/systest/products/Accessories/pluggable_transceiver/results/SFP/AT-SPFX_40/x900-24XS_XEM-12S" TargetMode="External"/><Relationship Id="rId166" Type="http://schemas.openxmlformats.org/officeDocument/2006/relationships/hyperlink" Target="http://10.32.16.105/systest/products/Accessories/pluggable_transceiver/results_aw+/SFP/100M%20fiber%20SFP/AT-SPFXBD-13/x900-12XT-S" TargetMode="External"/><Relationship Id="rId182" Type="http://schemas.openxmlformats.org/officeDocument/2006/relationships/hyperlink" Target="https://wallace4.atlnz.lc/systest/Jira_Reports/testExecReport/jiraExecReport_wallace4.php?testPlanKey=147&amp;projectKey=TQUALTCM&amp;Report=Report" TargetMode="External"/><Relationship Id="rId187" Type="http://schemas.openxmlformats.org/officeDocument/2006/relationships/hyperlink" Target="https://wallace4.atlnz.lc/systest/Jira_Reports/testExecReport/jiraExecReport_wallace4.php?testPlanKey=440&amp;projectKey=TQUALTCM&amp;Report=Report" TargetMode="External"/><Relationship Id="rId1" Type="http://schemas.openxmlformats.org/officeDocument/2006/relationships/hyperlink" Target="http://www.alliedtelesis.com/media/datasheets/8948_ds.pdf" TargetMode="External"/><Relationship Id="rId6" Type="http://schemas.openxmlformats.org/officeDocument/2006/relationships/hyperlink" Target="http://www.alliedtelesis.com/media/datasheets/x900-48_ds.pdf" TargetMode="External"/><Relationship Id="rId23" Type="http://schemas.openxmlformats.org/officeDocument/2006/relationships/hyperlink" Target="http://10.32.16.105/systest/Reports/TestLink/SuiteExecC.php?plan=123414&amp;rep=F&amp;platform=220" TargetMode="External"/><Relationship Id="rId28" Type="http://schemas.openxmlformats.org/officeDocument/2006/relationships/hyperlink" Target="http://10.32.16.105/systest/products/Accessories/pluggable_transceiver/results_aw+/SFP/100M%20fiber%20SFP/AT-SPFX_15/x900-12XT-S" TargetMode="External"/><Relationship Id="rId49" Type="http://schemas.openxmlformats.org/officeDocument/2006/relationships/hyperlink" Target="http://10.32.16.105/systest/Reports/TestLink/SuiteExecC.php?plan=95946&amp;rep=F&amp;platform=202" TargetMode="External"/><Relationship Id="rId114" Type="http://schemas.openxmlformats.org/officeDocument/2006/relationships/hyperlink" Target="http://10.32.16.105/systest/Reports/TestLink/SuiteExecC.php?plan=53550&amp;rep=F" TargetMode="External"/><Relationship Id="rId119" Type="http://schemas.openxmlformats.org/officeDocument/2006/relationships/hyperlink" Target="http://10.32.16.105/systest/Reports/TestLink/SuiteExecC.php?plan=478894&amp;rep=F&amp;platform=222" TargetMode="External"/><Relationship Id="rId44" Type="http://schemas.openxmlformats.org/officeDocument/2006/relationships/hyperlink" Target="http://10.32.16.105/systest/Reports/TestLink/SuiteExecC.php?plan=309805&amp;rep=F&amp;platform=221" TargetMode="External"/><Relationship Id="rId60" Type="http://schemas.openxmlformats.org/officeDocument/2006/relationships/hyperlink" Target="http://10.32.16.105/systest/products/Accessories/pluggable_transceiver/results/SFP/AT-SPFX_2/xem-12S" TargetMode="External"/><Relationship Id="rId65" Type="http://schemas.openxmlformats.org/officeDocument/2006/relationships/hyperlink" Target="https://jira.atlnz.lc/secure/Tests.jspa" TargetMode="External"/><Relationship Id="rId81" Type="http://schemas.openxmlformats.org/officeDocument/2006/relationships/hyperlink" Target="https://jira.atlnz.lc/secure/Tests.jspa" TargetMode="External"/><Relationship Id="rId86" Type="http://schemas.openxmlformats.org/officeDocument/2006/relationships/hyperlink" Target="https://jira.atlnz.lc/secure/Tests.jspa" TargetMode="External"/><Relationship Id="rId130" Type="http://schemas.openxmlformats.org/officeDocument/2006/relationships/hyperlink" Target="http://10.32.16.105/systest/Reports/TestLink/SuiteExecC.php?plan=95947&amp;rep=F&amp;platform=202" TargetMode="External"/><Relationship Id="rId135" Type="http://schemas.openxmlformats.org/officeDocument/2006/relationships/hyperlink" Target="http://10.32.16.105/systest/Reports/TestLink/SuiteExecC.php?plan=50630&amp;rep=F" TargetMode="External"/><Relationship Id="rId151" Type="http://schemas.openxmlformats.org/officeDocument/2006/relationships/hyperlink" Target="http://10.32.16.105/systest/products/Accessories/pluggable_transceiver/results_aw+/SFP/100M%20fiber%20SFP/AT-SPFXBD-SC-15/x900-12XT-S" TargetMode="External"/><Relationship Id="rId156" Type="http://schemas.openxmlformats.org/officeDocument/2006/relationships/hyperlink" Target="http://10.32.16.105/systest/products/Accessories/pluggable_transceiver/results_aw+/SFP/100M%20fiber%20SFP/AT-SPFX_40/Switchblade-x908_XEM-12S" TargetMode="External"/><Relationship Id="rId177" Type="http://schemas.openxmlformats.org/officeDocument/2006/relationships/hyperlink" Target="http://10.32.16.105/systest/products/Accessories/pluggable_transceiver/results/SFP/DELTA-SPBD-155E_F4J1R/x900-24XS_XEM-12S" TargetMode="External"/><Relationship Id="rId172" Type="http://schemas.openxmlformats.org/officeDocument/2006/relationships/hyperlink" Target="http://10.32.16.105/systest/Reports/TestLink/SuiteExecC.php?plan=50630&amp;rep=F" TargetMode="External"/><Relationship Id="rId13" Type="http://schemas.openxmlformats.org/officeDocument/2006/relationships/hyperlink" Target="http://10.32.16.105/systest/Reports/TestLink/SuiteExecC.php?plan=476649&amp;rep=F&amp;platform=220" TargetMode="External"/><Relationship Id="rId18" Type="http://schemas.openxmlformats.org/officeDocument/2006/relationships/hyperlink" Target="http://10.32.16.105/systest/Reports/TestLink/SuiteExecC.php?plan=150360&amp;rep=F&amp;platform=220" TargetMode="External"/><Relationship Id="rId39" Type="http://schemas.openxmlformats.org/officeDocument/2006/relationships/hyperlink" Target="http://10.32.16.105/systest/Reports/TestLink/SuiteExecC.php?plan=478894&amp;rep=F&amp;platform=221" TargetMode="External"/><Relationship Id="rId109" Type="http://schemas.openxmlformats.org/officeDocument/2006/relationships/hyperlink" Target="http://10.32.16.105/systest/Reports/TestLink/SuiteExecC.php?plan=50630&amp;rep=F" TargetMode="External"/><Relationship Id="rId34" Type="http://schemas.openxmlformats.org/officeDocument/2006/relationships/hyperlink" Target="http://10.32.16.105/systest/products/Accessories/pluggable_transceiver/results/SFP/AT-SPFX_15/x900-24XS_XEM-12S" TargetMode="External"/><Relationship Id="rId50" Type="http://schemas.openxmlformats.org/officeDocument/2006/relationships/hyperlink" Target="http://10.32.16.105/systest/Reports/TestLink/SuiteExecC.php?plan=123414&amp;rep=F&amp;platform=221" TargetMode="External"/><Relationship Id="rId55" Type="http://schemas.openxmlformats.org/officeDocument/2006/relationships/hyperlink" Target="http://10.32.16.105/systest/products/Accessories/pluggable_transceiver/results_aw+/SFP/100M%20fiber%20SFP/AT-SPFX_2/x900-12XT-S" TargetMode="External"/><Relationship Id="rId76" Type="http://schemas.openxmlformats.org/officeDocument/2006/relationships/hyperlink" Target="https://jira.atlnz.lc/secure/Tests.jspa" TargetMode="External"/><Relationship Id="rId97" Type="http://schemas.openxmlformats.org/officeDocument/2006/relationships/hyperlink" Target="http://10.32.16.105/systest/Reports/TestLink/SuiteExecC.php?plan=182009&amp;rep=F&amp;platform=222" TargetMode="External"/><Relationship Id="rId104" Type="http://schemas.openxmlformats.org/officeDocument/2006/relationships/hyperlink" Target="http://10.32.16.105/systest/Reports/TestLink/SuiteExecC.php?plan=95947&amp;rep=F&amp;platform=202" TargetMode="External"/><Relationship Id="rId120" Type="http://schemas.openxmlformats.org/officeDocument/2006/relationships/hyperlink" Target="http://10.32.16.105/systest/Reports/TestLink/SuiteExecC.php?plan=476649&amp;rep=F&amp;platform=222" TargetMode="External"/><Relationship Id="rId125" Type="http://schemas.openxmlformats.org/officeDocument/2006/relationships/hyperlink" Target="http://10.32.16.105/systest/Reports/TestLink/SuiteExecC.php?plan=150360&amp;rep=F&amp;platform=222" TargetMode="External"/><Relationship Id="rId141" Type="http://schemas.openxmlformats.org/officeDocument/2006/relationships/hyperlink" Target="http://10.32.16.105/systest/Reports/TestLink/SuiteExecC.php?plan=53986&amp;rep=F" TargetMode="External"/><Relationship Id="rId146" Type="http://schemas.openxmlformats.org/officeDocument/2006/relationships/hyperlink" Target="http://10.32.16.105/systest/products/Accessories/pluggable_transceiver/results/SFP/AT-SPBX-SC-13/x900-48FS" TargetMode="External"/><Relationship Id="rId167" Type="http://schemas.openxmlformats.org/officeDocument/2006/relationships/hyperlink" Target="http://10.32.16.105/systest/products/Accessories/pluggable_transceiver/results/SFP/DELTA-SPBD-155E_F4J1R/x900-48FS/AT-SPFXBD-13" TargetMode="External"/><Relationship Id="rId188" Type="http://schemas.openxmlformats.org/officeDocument/2006/relationships/hyperlink" Target="https://wallace4.atlnz.lc/systest/Jira_Reports/testExecReport/jiraExecReport_wallace4.php?testPlanKey=137&amp;projectKey=TQUALTCM&amp;Report=Report" TargetMode="External"/><Relationship Id="rId7" Type="http://schemas.openxmlformats.org/officeDocument/2006/relationships/hyperlink" Target="http://www.alliedtelesis.com/media/datasheets/sb4000_family_ds.pdf" TargetMode="External"/><Relationship Id="rId71" Type="http://schemas.openxmlformats.org/officeDocument/2006/relationships/hyperlink" Target="https://jira.atlnz.lc/secure/Tests.jspa" TargetMode="External"/><Relationship Id="rId92" Type="http://schemas.openxmlformats.org/officeDocument/2006/relationships/hyperlink" Target="http://10.32.16.105/systest/Reports/TestLink/SuiteExecC.php?plan=95947&amp;rep=F&amp;platform=201" TargetMode="External"/><Relationship Id="rId162" Type="http://schemas.openxmlformats.org/officeDocument/2006/relationships/hyperlink" Target="http://10.32.16.105/systest/products/Accessories/pluggable_transceiver/results/SFP/AT-SPFX_40/SPsi" TargetMode="External"/><Relationship Id="rId183" Type="http://schemas.openxmlformats.org/officeDocument/2006/relationships/hyperlink" Target="https://wallace4.atlnz.lc/systest/Jira_Reports/testExecReport/jiraExecReport_wallace4.php?testPlanKey=124&amp;projectKey=TQUALTCM&amp;Report=Report" TargetMode="External"/><Relationship Id="rId2" Type="http://schemas.openxmlformats.org/officeDocument/2006/relationships/hyperlink" Target="http://www.alliedtelesis.com/media/datasheets/x900-48_ds.pdf" TargetMode="External"/><Relationship Id="rId29" Type="http://schemas.openxmlformats.org/officeDocument/2006/relationships/hyperlink" Target="http://10.32.16.105/systest/products/Accessories/pluggable_transceiver/results_aw+/SFP/100M%20fiber%20SFP/AT-SPFX_15/x900-24XS" TargetMode="External"/><Relationship Id="rId24" Type="http://schemas.openxmlformats.org/officeDocument/2006/relationships/hyperlink" Target="http://10.32.16.105/systest/Reports/TestLink/SuiteExecC.php?plan=95944&amp;rep=F&amp;platform=1092" TargetMode="External"/><Relationship Id="rId40" Type="http://schemas.openxmlformats.org/officeDocument/2006/relationships/hyperlink" Target="http://10.32.16.105/systest/Reports/TestLink/SuiteExecC.php?plan=476649&amp;rep=F&amp;platform=221" TargetMode="External"/><Relationship Id="rId45" Type="http://schemas.openxmlformats.org/officeDocument/2006/relationships/hyperlink" Target="http://10.32.16.105/systest/Reports/TestLink/SuiteExecC.php?plan=150484&amp;rep=F&amp;platform=221" TargetMode="External"/><Relationship Id="rId66" Type="http://schemas.openxmlformats.org/officeDocument/2006/relationships/hyperlink" Target="https://jira.atlnz.lc/secure/Tests.jspa" TargetMode="External"/><Relationship Id="rId87" Type="http://schemas.openxmlformats.org/officeDocument/2006/relationships/hyperlink" Target="https://jira.atlnz.lc/secure/Tests.jspa" TargetMode="External"/><Relationship Id="rId110" Type="http://schemas.openxmlformats.org/officeDocument/2006/relationships/hyperlink" Target="http://10.32.16.105/systest/Reports/TestLink/SuiteExecC.php?plan=50996&amp;rep=F" TargetMode="External"/><Relationship Id="rId115" Type="http://schemas.openxmlformats.org/officeDocument/2006/relationships/hyperlink" Target="https://intranet.atlnz.lc/systest/Jira_Reports/testExecReport/jiraExecReport.php?testPlanKey=82&amp;projectKey=TQUALTCM&amp;Report=Report" TargetMode="External"/><Relationship Id="rId131" Type="http://schemas.openxmlformats.org/officeDocument/2006/relationships/hyperlink" Target="http://10.32.16.105/systest/Reports/TestLink/SuiteExecC.php?plan=123414&amp;rep=F&amp;platform=222" TargetMode="External"/><Relationship Id="rId136" Type="http://schemas.openxmlformats.org/officeDocument/2006/relationships/hyperlink" Target="http://10.32.16.105/systest/Reports/TestLink/SuiteExecC.php?plan=50996&amp;rep=F" TargetMode="External"/><Relationship Id="rId157" Type="http://schemas.openxmlformats.org/officeDocument/2006/relationships/hyperlink" Target="http://10.32.16.105/systest/products/Accessories/pluggable_transceiver/results_aw+/SFP/100M%20fiber%20SFP/AT-SPFX_40/x900-12XT-S" TargetMode="External"/><Relationship Id="rId178" Type="http://schemas.openxmlformats.org/officeDocument/2006/relationships/hyperlink" Target="http://10.32.16.105/systest/products/Accessories/pluggable_transceiver/results/SFP/DELTA-SPBD-155E_F4J1R/x900-24XS_XEM-12S" TargetMode="External"/><Relationship Id="rId61" Type="http://schemas.openxmlformats.org/officeDocument/2006/relationships/hyperlink" Target="http://10.32.16.105/systest/products/Accessories/pluggable_transceiver/results/SFP/AT-SPFX_2/x900-24XS" TargetMode="External"/><Relationship Id="rId82" Type="http://schemas.openxmlformats.org/officeDocument/2006/relationships/hyperlink" Target="https://jira.atlnz.lc/secure/Tests.jspa" TargetMode="External"/><Relationship Id="rId152" Type="http://schemas.openxmlformats.org/officeDocument/2006/relationships/hyperlink" Target="http://10.32.16.105/systest/products/Accessories/pluggable_transceiver/results/SFP/AT-SPBX-SC-15/x900-48FS" TargetMode="External"/><Relationship Id="rId173" Type="http://schemas.openxmlformats.org/officeDocument/2006/relationships/hyperlink" Target="http://10.32.16.105/systest/Reports/TestLink/SuiteExecC.php?plan=50630&amp;rep=F" TargetMode="External"/><Relationship Id="rId19" Type="http://schemas.openxmlformats.org/officeDocument/2006/relationships/hyperlink" Target="http://10.32.16.105/systest/Reports/TestLink/SuiteExecC.php?plan=309247&amp;rep=F&amp;platform=220" TargetMode="External"/><Relationship Id="rId14" Type="http://schemas.openxmlformats.org/officeDocument/2006/relationships/hyperlink" Target="http://10.32.16.105/systest/Reports/TestLink/SuiteExecC.php?plan=153890&amp;rep=F&amp;platform=220" TargetMode="External"/><Relationship Id="rId30" Type="http://schemas.openxmlformats.org/officeDocument/2006/relationships/hyperlink" Target="http://10.32.16.105/systest/products/Accessories/pluggable_transceiver/results/SFP/AT-SPFX_15/x900-48FS" TargetMode="External"/><Relationship Id="rId35" Type="http://schemas.openxmlformats.org/officeDocument/2006/relationships/hyperlink" Target="https://intranet.atlnz.lc/systest/Jira_Reports/testExecReport/jiraExecReport.php?testPlanKey=74&amp;projectKey=TQUALTCM&amp;Report=Report" TargetMode="External"/><Relationship Id="rId56" Type="http://schemas.openxmlformats.org/officeDocument/2006/relationships/hyperlink" Target="http://10.32.16.105/systest/products/Accessories/pluggable_transceiver/results_aw+/SFP/100M%20fiber%20SFP/AT-SPFX_2/x900-24XS" TargetMode="External"/><Relationship Id="rId77" Type="http://schemas.openxmlformats.org/officeDocument/2006/relationships/hyperlink" Target="https://intranet.atlnz.lc/systest/Jira_Reports/testExecReport/jiraExecReport.php?testPlanKey=258&amp;projectKey=TQUALTCM&amp;Report=Report" TargetMode="External"/><Relationship Id="rId100" Type="http://schemas.openxmlformats.org/officeDocument/2006/relationships/hyperlink" Target="http://10.32.16.105/systest/Reports/TestLink/SuiteExecC.php?plan=191480&amp;rep=F&amp;platform=222" TargetMode="External"/><Relationship Id="rId105" Type="http://schemas.openxmlformats.org/officeDocument/2006/relationships/hyperlink" Target="http://10.32.16.105/systest/Reports/TestLink/SuiteExecC.php?plan=123414&amp;rep=F&amp;platform=222" TargetMode="External"/><Relationship Id="rId126" Type="http://schemas.openxmlformats.org/officeDocument/2006/relationships/hyperlink" Target="http://10.32.16.105/systest/Reports/TestLink/SuiteExecC.php?plan=191480&amp;rep=F&amp;platform=222" TargetMode="External"/><Relationship Id="rId147" Type="http://schemas.openxmlformats.org/officeDocument/2006/relationships/hyperlink" Target="http://10.32.16.105/systest/products/Accessories/pluggable_transceiver/results/SFP/AT-SPBX-SC-13/Mustang_M4" TargetMode="External"/><Relationship Id="rId168" Type="http://schemas.openxmlformats.org/officeDocument/2006/relationships/hyperlink" Target="http://10.32.16.105/systest/products/Accessories/pluggable_transceiver/results/SFP/DELTA-SPBD-155E_F4J1R/Mustang" TargetMode="External"/><Relationship Id="rId8" Type="http://schemas.openxmlformats.org/officeDocument/2006/relationships/hyperlink" Target="https://intranet.atlnz.lc/systest/Jira_Reports/testExecReport/jiraExecReport.php?testPlanKey=73&amp;projectKey=TQUALTCM&amp;Report=Report" TargetMode="External"/><Relationship Id="rId51" Type="http://schemas.openxmlformats.org/officeDocument/2006/relationships/hyperlink" Target="http://10.32.16.105/systest/Reports/TestLink/SuiteExecC.php?plan=95946&amp;rep=F&amp;platform=1092" TargetMode="External"/><Relationship Id="rId72" Type="http://schemas.openxmlformats.org/officeDocument/2006/relationships/hyperlink" Target="https://jira.atlnz.lc/secure/Tests.jspa" TargetMode="External"/><Relationship Id="rId93" Type="http://schemas.openxmlformats.org/officeDocument/2006/relationships/hyperlink" Target="http://10.32.16.105/systest/Reports/TestLink/SuiteExecC.php?plan=478894&amp;rep=F&amp;platform=222" TargetMode="External"/><Relationship Id="rId98" Type="http://schemas.openxmlformats.org/officeDocument/2006/relationships/hyperlink" Target="http://10.32.16.105/systest/Reports/TestLink/SuiteExecC.php?plan=309805&amp;rep=F&amp;platform=222" TargetMode="External"/><Relationship Id="rId121" Type="http://schemas.openxmlformats.org/officeDocument/2006/relationships/hyperlink" Target="http://10.32.16.105/systest/Reports/TestLink/SuiteExecC.php?plan=153890&amp;rep=F&amp;platform=222" TargetMode="External"/><Relationship Id="rId142" Type="http://schemas.openxmlformats.org/officeDocument/2006/relationships/hyperlink" Target="http://10.32.16.105/systest/Reports/TestLink/SuiteExecC.php?plan=53987&amp;rep=F" TargetMode="External"/><Relationship Id="rId163" Type="http://schemas.openxmlformats.org/officeDocument/2006/relationships/hyperlink" Target="http://10.32.16.105/systest/products/Accessories/pluggable_transceiver/results_aw+/SFP/100M%20fiber%20SFP/AT-SPFXBD-13/Switchblade-x908_XEM-12S" TargetMode="External"/><Relationship Id="rId184" Type="http://schemas.openxmlformats.org/officeDocument/2006/relationships/hyperlink" Target="https://wallace4.atlnz.lc/systest/Jira_Reports/testExecReport/jiraExecReport_wallace4.php?testPlanKey=125&amp;projectKey=TQUALTCM&amp;Report=Report" TargetMode="External"/><Relationship Id="rId189" Type="http://schemas.openxmlformats.org/officeDocument/2006/relationships/hyperlink" Target="https://wallace4.atlnz.lc/systest/Jira_Reports/testExecReport/jiraExecReport_wallace4.php?testPlanKey=552&amp;projectKey=TQUALTCM&amp;Report=Report" TargetMode="External"/><Relationship Id="rId3" Type="http://schemas.openxmlformats.org/officeDocument/2006/relationships/hyperlink" Target="http://www.alliedtelesis.com/media/datasheets/sb4000_family_ds.pdf" TargetMode="External"/><Relationship Id="rId25" Type="http://schemas.openxmlformats.org/officeDocument/2006/relationships/hyperlink" Target="http://10.32.16.105/systest/products/Accessories/pluggable_transceiver/results_aw+/SFP/100M%20fiber%20SFP/AT-SPFX_15/Switchblade-x908_XEM-12S" TargetMode="External"/><Relationship Id="rId46" Type="http://schemas.openxmlformats.org/officeDocument/2006/relationships/hyperlink" Target="http://10.32.16.105/systest/Reports/TestLink/SuiteExecC.php?plan=309247&amp;rep=F&amp;platform=221" TargetMode="External"/><Relationship Id="rId67" Type="http://schemas.openxmlformats.org/officeDocument/2006/relationships/hyperlink" Target="https://jira.atlnz.lc/secure/Tests.jspa" TargetMode="External"/><Relationship Id="rId116" Type="http://schemas.openxmlformats.org/officeDocument/2006/relationships/hyperlink" Target="http://10.32.16.105/systest/Reports/TestLink/SuiteExecC.php?plan=479406&amp;rep=F&amp;platform=222" TargetMode="External"/><Relationship Id="rId137" Type="http://schemas.openxmlformats.org/officeDocument/2006/relationships/hyperlink" Target="http://10.32.16.105/systest/Reports/TestLink/SuiteExecC.php?plan=50995&amp;rep=F" TargetMode="External"/><Relationship Id="rId158" Type="http://schemas.openxmlformats.org/officeDocument/2006/relationships/hyperlink" Target="http://10.32.16.105/systest/products/Accessories/pluggable_transceiver/results/SFP/AT-SPFX_40/x900-48FS" TargetMode="External"/><Relationship Id="rId20" Type="http://schemas.openxmlformats.org/officeDocument/2006/relationships/hyperlink" Target="http://10.32.16.105/systest/Reports/TestLink/SuiteExecC.php?plan=309247&amp;rep=F&amp;platform=220" TargetMode="External"/><Relationship Id="rId41" Type="http://schemas.openxmlformats.org/officeDocument/2006/relationships/hyperlink" Target="http://10.32.16.105/systest/Reports/TestLink/SuiteExecC.php?plan=153890&amp;rep=F&amp;platform=221" TargetMode="External"/><Relationship Id="rId62" Type="http://schemas.openxmlformats.org/officeDocument/2006/relationships/hyperlink" Target="https://intranet.atlnz.lc/systest/Jira_Reports/testExecReport/jiraExecReport.php?testPlanKey=240&amp;projectKey=TQUALTCM&amp;Report=Report" TargetMode="External"/><Relationship Id="rId83" Type="http://schemas.openxmlformats.org/officeDocument/2006/relationships/hyperlink" Target="https://jira.atlnz.lc/secure/Tests.jspa" TargetMode="External"/><Relationship Id="rId88" Type="http://schemas.openxmlformats.org/officeDocument/2006/relationships/hyperlink" Target="https://jira.atlnz.lc/secure/Tests.jspa" TargetMode="External"/><Relationship Id="rId111" Type="http://schemas.openxmlformats.org/officeDocument/2006/relationships/hyperlink" Target="http://10.32.16.105/systest/Reports/TestLink/SuiteExecC.php?plan=50995&amp;rep=F" TargetMode="External"/><Relationship Id="rId132" Type="http://schemas.openxmlformats.org/officeDocument/2006/relationships/hyperlink" Target="http://10.32.16.105/systest/Reports/TestLink/SuiteExecC.php?plan=95947&amp;rep=F&amp;platform=1091" TargetMode="External"/><Relationship Id="rId153" Type="http://schemas.openxmlformats.org/officeDocument/2006/relationships/hyperlink" Target="http://10.32.16.105/systest/products/Accessories/pluggable_transceiver/results/SFP/AT-SPBX-SC-15/Mustang_M4" TargetMode="External"/><Relationship Id="rId174" Type="http://schemas.openxmlformats.org/officeDocument/2006/relationships/hyperlink" Target="http://10.32.16.105/systest/products/Accessories/pluggable_transceiver/results_aw+/SFP/100M%20fiber%20SFP/AT-SPFXBD-15/x900-12XT-S" TargetMode="External"/><Relationship Id="rId179" Type="http://schemas.openxmlformats.org/officeDocument/2006/relationships/hyperlink" Target="https://wallace4.atlnz.lc/systest/Jira_Reports/testExecReport/jiraExecReport_wallace4.php?testPlanKey=117&amp;projectKey=TQUALTCM&amp;Report=Report" TargetMode="External"/><Relationship Id="rId190" Type="http://schemas.openxmlformats.org/officeDocument/2006/relationships/printerSettings" Target="../printerSettings/printerSettings1.bin"/><Relationship Id="rId15" Type="http://schemas.openxmlformats.org/officeDocument/2006/relationships/hyperlink" Target="http://10.32.16.105/systest/Reports/TestLink/SuiteExecC.php?plan=440944&amp;rep=F&amp;platform=220" TargetMode="External"/><Relationship Id="rId36" Type="http://schemas.openxmlformats.org/officeDocument/2006/relationships/hyperlink" Target="http://10.32.16.105/systest/Reports/TestLink/SuiteExecC.php?plan=479406&amp;rep=F&amp;platform=221" TargetMode="External"/><Relationship Id="rId57" Type="http://schemas.openxmlformats.org/officeDocument/2006/relationships/hyperlink" Target="http://10.32.16.105/systest/products/Accessories/pluggable_transceiver/results/SFP/AT-SPFX_2/x900-48FS" TargetMode="External"/><Relationship Id="rId106" Type="http://schemas.openxmlformats.org/officeDocument/2006/relationships/hyperlink" Target="http://10.32.16.105/systest/Reports/TestLink/SuiteExecC.php?plan=95947&amp;rep=F&amp;platform=1091" TargetMode="External"/><Relationship Id="rId127" Type="http://schemas.openxmlformats.org/officeDocument/2006/relationships/hyperlink" Target="http://10.32.16.105/systest/Reports/TestLink/SuiteExecC.php?plan=309247&amp;rep=F&amp;platform=222" TargetMode="External"/><Relationship Id="rId10" Type="http://schemas.openxmlformats.org/officeDocument/2006/relationships/hyperlink" Target="https://jira.atlnz.lc/secure/Tests.jspa" TargetMode="External"/><Relationship Id="rId31" Type="http://schemas.openxmlformats.org/officeDocument/2006/relationships/hyperlink" Target="http://10.32.16.105/systest/products/Accessories/pluggable_transceiver/results/SFP/AT-SPFX_15/Mustang%20SFP" TargetMode="External"/><Relationship Id="rId52" Type="http://schemas.openxmlformats.org/officeDocument/2006/relationships/hyperlink" Target="http://10.32.16.105/systest/products/Accessories/pluggable_transceiver/results_aw+/SFP/100M%20fiber%20SFP/AT-SPFX_2/Switchblade-x908_XEM-12S" TargetMode="External"/><Relationship Id="rId73" Type="http://schemas.openxmlformats.org/officeDocument/2006/relationships/hyperlink" Target="https://jira.atlnz.lc/secure/Tests.jspa" TargetMode="External"/><Relationship Id="rId78" Type="http://schemas.openxmlformats.org/officeDocument/2006/relationships/hyperlink" Target="https://jira.atlnz.lc/secure/Tests.jspa" TargetMode="External"/><Relationship Id="rId94" Type="http://schemas.openxmlformats.org/officeDocument/2006/relationships/hyperlink" Target="http://10.32.16.105/systest/Reports/TestLink/SuiteExecC.php?plan=476649&amp;rep=F&amp;platform=222" TargetMode="External"/><Relationship Id="rId99" Type="http://schemas.openxmlformats.org/officeDocument/2006/relationships/hyperlink" Target="http://10.32.16.105/systest/Reports/TestLink/SuiteExecC.php?plan=150360&amp;rep=F&amp;platform=222" TargetMode="External"/><Relationship Id="rId101" Type="http://schemas.openxmlformats.org/officeDocument/2006/relationships/hyperlink" Target="http://10.32.16.105/systest/Reports/TestLink/SuiteExecC.php?plan=309247&amp;rep=F&amp;platform=222" TargetMode="External"/><Relationship Id="rId122" Type="http://schemas.openxmlformats.org/officeDocument/2006/relationships/hyperlink" Target="http://10.32.16.105/systest/Reports/TestLink/SuiteExecC.php?plan=440944&amp;rep=F&amp;platform=222" TargetMode="External"/><Relationship Id="rId143" Type="http://schemas.openxmlformats.org/officeDocument/2006/relationships/hyperlink" Target="http://10.32.16.105/systest/Reports/TestLink/SuiteExecC.php?plan=53550&amp;rep=F" TargetMode="External"/><Relationship Id="rId148" Type="http://schemas.openxmlformats.org/officeDocument/2006/relationships/hyperlink" Target="http://10.32.16.105/systest/products/Accessories/pluggable_transceiver/results/SFP/AT-SPBX-SC-13/XEM-12S" TargetMode="External"/><Relationship Id="rId164" Type="http://schemas.openxmlformats.org/officeDocument/2006/relationships/hyperlink" Target="http://10.32.16.105/systest/Reports/TestLink/SuiteExecC.php?plan=50630&amp;rep=F" TargetMode="External"/><Relationship Id="rId169" Type="http://schemas.openxmlformats.org/officeDocument/2006/relationships/hyperlink" Target="http://10.32.16.105/systest/products/Accessories/pluggable_transceiver/results/SFP/DELTA-SPBD-155E_F4J1R/x900-24XS_XEM-12S" TargetMode="External"/><Relationship Id="rId185" Type="http://schemas.openxmlformats.org/officeDocument/2006/relationships/hyperlink" Target="https://wallace4.atlnz.lc/systest/Jira_Reports/testExecReport/jiraExecReport_wallace4.php?testPlanKey=126&amp;projectKey=TQUALTCM&amp;Report=Report" TargetMode="External"/><Relationship Id="rId4" Type="http://schemas.openxmlformats.org/officeDocument/2006/relationships/hyperlink" Target="http://www.alliedtelesis.com/media/datasheets/sbx908_ds.pdf" TargetMode="External"/><Relationship Id="rId9" Type="http://schemas.openxmlformats.org/officeDocument/2006/relationships/hyperlink" Target="http://10.32.16.105/systest/Reports/TestLink/SuiteExecC.php?plan=479406&amp;rep=F&amp;platform=220" TargetMode="External"/><Relationship Id="rId180" Type="http://schemas.openxmlformats.org/officeDocument/2006/relationships/hyperlink" Target="https://wallace4.atlnz.lc/systest/Jira_Reports/testExecReport/jiraExecReport_wallace4.php?testPlanKey=109&amp;projectKey=TQUALTCM&amp;Report=Report" TargetMode="External"/></Relationships>
</file>

<file path=xl/worksheets/_rels/sheet2.xml.rels><?xml version="1.0" encoding="UTF-8" standalone="yes"?>
<Relationships xmlns="http://schemas.openxmlformats.org/package/2006/relationships"><Relationship Id="rId1522" Type="http://schemas.openxmlformats.org/officeDocument/2006/relationships/hyperlink" Target="http://10.32.16.105/systest/Reports/TestLink/SuiteExecC.php?plan=308258&amp;rep=F&amp;platform=180" TargetMode="External"/><Relationship Id="rId21" Type="http://schemas.openxmlformats.org/officeDocument/2006/relationships/hyperlink" Target="http://10.32.16.105/systest/Reports/TestLink/SuiteExecC.php?plan=75503&amp;rep=F" TargetMode="External"/><Relationship Id="rId170" Type="http://schemas.openxmlformats.org/officeDocument/2006/relationships/hyperlink" Target="http://10.32.16.105/systest/Reports/TestLink/SuiteExecC.php?plan=453806&amp;rep=F&amp;platform=131" TargetMode="External"/><Relationship Id="rId268" Type="http://schemas.openxmlformats.org/officeDocument/2006/relationships/hyperlink" Target="http://10.32.16.105/systest/Reports/TestLink/SuiteExecC.php?plan=120841&amp;rep=F" TargetMode="External"/><Relationship Id="rId475" Type="http://schemas.openxmlformats.org/officeDocument/2006/relationships/hyperlink" Target="https://jira.atlnz.lc/secure/Tests.jspa" TargetMode="External"/><Relationship Id="rId682" Type="http://schemas.openxmlformats.org/officeDocument/2006/relationships/hyperlink" Target="http://10.32.16.105/systest/Reports/TestLink/SuiteExecC.php?plan=464959&amp;rep=F&amp;platform=1093" TargetMode="External"/><Relationship Id="rId128" Type="http://schemas.openxmlformats.org/officeDocument/2006/relationships/hyperlink" Target="http://10.32.16.105/systest/Reports/TestLink/SuiteExecC.php?plan=443246&amp;rep=F&amp;platform=171" TargetMode="External"/><Relationship Id="rId335" Type="http://schemas.openxmlformats.org/officeDocument/2006/relationships/hyperlink" Target="http://10.32.16.105/systest/Reports/TestLink/SuiteExecC.php?plan=479406&amp;rep=F&amp;platform=1194" TargetMode="External"/><Relationship Id="rId542" Type="http://schemas.openxmlformats.org/officeDocument/2006/relationships/hyperlink" Target="http://10.32.16.105/systest/Reports/TestLink/SuiteExecC.php?plan=190066&amp;rep=F&amp;platform=181" TargetMode="External"/><Relationship Id="rId987" Type="http://schemas.openxmlformats.org/officeDocument/2006/relationships/hyperlink" Target="http://10.32.16.105/systest/Reports/TestLink/SuiteExecC.php?plan=484370&amp;rep=F&amp;platform=1138" TargetMode="External"/><Relationship Id="rId1172" Type="http://schemas.openxmlformats.org/officeDocument/2006/relationships/hyperlink" Target="http://10.32.16.105/systest/products/Accessories/pluggable_transceiver/results/SFP/AT-SPLX10_RevB/x900-24XS" TargetMode="External"/><Relationship Id="rId402" Type="http://schemas.openxmlformats.org/officeDocument/2006/relationships/hyperlink" Target="http://10.32.16.105/systest/Reports/TestLink/SuiteExecC.php?plan=478731&amp;rep=F&amp;platform=1138" TargetMode="External"/><Relationship Id="rId847" Type="http://schemas.openxmlformats.org/officeDocument/2006/relationships/hyperlink" Target="http://10.32.16.105/systest/Reports/TestLink/SuiteExecC.php?plan=144574&amp;rep=F&amp;platform=94" TargetMode="External"/><Relationship Id="rId1032" Type="http://schemas.openxmlformats.org/officeDocument/2006/relationships/hyperlink" Target="https://jira.atlnz.lc/secure/Tests.jspa" TargetMode="External"/><Relationship Id="rId1477" Type="http://schemas.openxmlformats.org/officeDocument/2006/relationships/hyperlink" Target="http://10.32.16.105/systest/Reports/TestLink/SuiteExecC.php?plan=442278&amp;rep=F&amp;platform=185" TargetMode="External"/><Relationship Id="rId707" Type="http://schemas.openxmlformats.org/officeDocument/2006/relationships/hyperlink" Target="http://10.32.16.105/systest/Reports/TestLink/SuiteExecC.php?plan=464959&amp;rep=F&amp;platform=98" TargetMode="External"/><Relationship Id="rId914" Type="http://schemas.openxmlformats.org/officeDocument/2006/relationships/hyperlink" Target="https://jira.atlnz.lc/secure/Tests.jspa" TargetMode="External"/><Relationship Id="rId1337" Type="http://schemas.openxmlformats.org/officeDocument/2006/relationships/hyperlink" Target="http://10.32.16.105/systest/Reports/TestLink/SuiteExecC.php?plan=82169&amp;rep=F" TargetMode="External"/><Relationship Id="rId1544" Type="http://schemas.openxmlformats.org/officeDocument/2006/relationships/hyperlink" Target="http://10.32.16.105/systest/Reports/TestLink/SuiteExecC.php?plan=458186&amp;rep=F&amp;platform=187" TargetMode="External"/><Relationship Id="rId43" Type="http://schemas.openxmlformats.org/officeDocument/2006/relationships/hyperlink" Target="https://jira.atlnz.lc/secure/Tests.jspa" TargetMode="External"/><Relationship Id="rId1404" Type="http://schemas.openxmlformats.org/officeDocument/2006/relationships/hyperlink" Target="https://jira.atlnz.lc/secure/Tests.jspa" TargetMode="External"/><Relationship Id="rId1611" Type="http://schemas.openxmlformats.org/officeDocument/2006/relationships/hyperlink" Target="http://10.32.16.105/systest/Reports/TestLink/SuiteExecC.php?plan=120841&amp;rep=F&amp;platform=94" TargetMode="External"/><Relationship Id="rId192" Type="http://schemas.openxmlformats.org/officeDocument/2006/relationships/hyperlink" Target="http://10.32.16.105/systest/Reports/TestLink/SuiteExecC.php?plan=453806&amp;rep=F&amp;platform=387" TargetMode="External"/><Relationship Id="rId497" Type="http://schemas.openxmlformats.org/officeDocument/2006/relationships/hyperlink" Target="http://10.32.16.105/systest/Reports/TestLink/SuiteExecC.php?plan=158998&amp;rep=F&amp;platform=185" TargetMode="External"/><Relationship Id="rId357" Type="http://schemas.openxmlformats.org/officeDocument/2006/relationships/hyperlink" Target="https://jira.atlnz.lc/secure/Tests.jspa" TargetMode="External"/><Relationship Id="rId1194" Type="http://schemas.openxmlformats.org/officeDocument/2006/relationships/hyperlink" Target="http://10.32.16.105/systest/products/Accessories/pluggable_transceiver/results/SFP/WTD-RTXM191_AT-SPLX30/AT-86482SP_&amp;_x900-48FE-N_(AT-8948i-N)" TargetMode="External"/><Relationship Id="rId217" Type="http://schemas.openxmlformats.org/officeDocument/2006/relationships/hyperlink" Target="http://10.32.16.105/systest/Reports/TestLink/SuiteExecC.php?plan=458186&amp;rep=F&amp;platform=203" TargetMode="External"/><Relationship Id="rId564" Type="http://schemas.openxmlformats.org/officeDocument/2006/relationships/hyperlink" Target="http://10.32.16.105/systest/Reports/TestLink/SuiteExecC.php?plan=309805&amp;rep=F&amp;platform=181" TargetMode="External"/><Relationship Id="rId771" Type="http://schemas.openxmlformats.org/officeDocument/2006/relationships/hyperlink" Target="http://10.32.16.105/systest/Reports/TestLink/SuiteExecC.php?plan=453983&amp;rep=F&amp;platform=350" TargetMode="External"/><Relationship Id="rId869" Type="http://schemas.openxmlformats.org/officeDocument/2006/relationships/hyperlink" Target="http://10.32.16.105/systest/products/Accessories/pluggable_transceiver/results/SFP/FIBEREXON-FTM-9301C-SL20i/x900-24XS_XEM-12S_Mustang" TargetMode="External"/><Relationship Id="rId1499" Type="http://schemas.openxmlformats.org/officeDocument/2006/relationships/hyperlink" Target="http://10.32.16.105/systest/Reports/TestLink/SuiteExecC.php?plan=308256&amp;rep=F&amp;platform=179" TargetMode="External"/><Relationship Id="rId424" Type="http://schemas.openxmlformats.org/officeDocument/2006/relationships/hyperlink" Target="http://10.32.16.105/systest/Reports/TestLink/SuiteExecC.php?plan=479407&amp;rep=F&amp;platform=184" TargetMode="External"/><Relationship Id="rId631" Type="http://schemas.openxmlformats.org/officeDocument/2006/relationships/hyperlink" Target="http://10.32.16.105/systest/Reports/TestLink/SuiteExecC.php?plan=478729&amp;rep=F&amp;platform=1053" TargetMode="External"/><Relationship Id="rId729" Type="http://schemas.openxmlformats.org/officeDocument/2006/relationships/hyperlink" Target="https://jira.atlnz.lc/secure/Tests.jspa" TargetMode="External"/><Relationship Id="rId1054" Type="http://schemas.openxmlformats.org/officeDocument/2006/relationships/hyperlink" Target="http://10.32.16.105/systest/Reports/TestLink/SuiteExecC.php?plan=309247&amp;rep=F&amp;platform=187" TargetMode="External"/><Relationship Id="rId1261" Type="http://schemas.openxmlformats.org/officeDocument/2006/relationships/hyperlink" Target="http://10.32.16.105/systest/products/Accessories/pluggable_transceiver/results_aw+/SFP/1G%20fiber%20SFP/AT-SPSX_RevC_Delta/x600-44" TargetMode="External"/><Relationship Id="rId1359" Type="http://schemas.openxmlformats.org/officeDocument/2006/relationships/hyperlink" Target="https://intranet.atlnz.lc/systest/Jira_Reports/testExecReport/jiraExecReport.php?testPlanKey=440&amp;projectKey=TQUALTCM&amp;Report=Report" TargetMode="External"/><Relationship Id="rId936" Type="http://schemas.openxmlformats.org/officeDocument/2006/relationships/hyperlink" Target="https://jira.atlnz.lc/secure/Tests.jspa" TargetMode="External"/><Relationship Id="rId1121" Type="http://schemas.openxmlformats.org/officeDocument/2006/relationships/hyperlink" Target="http://10.32.16.105/systest/products/Accessories/pluggable_transceiver/results/SFP/SumitomoElectric-SBP6F44-AM-BN-49_Single_Fiber_1G/8948i" TargetMode="External"/><Relationship Id="rId1219" Type="http://schemas.openxmlformats.org/officeDocument/2006/relationships/hyperlink" Target="http://10.32.16.105/systest/Reports/TestLink/SuiteExecC.php?plan=440944&amp;rep=F&amp;platform=179" TargetMode="External"/><Relationship Id="rId1566" Type="http://schemas.openxmlformats.org/officeDocument/2006/relationships/hyperlink" Target="http://10.32.16.105/systest/products/Accessories/pluggable_transceiver/results/SFP/AT-SPBD10-13_Delta_RevB/A65_8624T_2M" TargetMode="External"/><Relationship Id="rId65" Type="http://schemas.openxmlformats.org/officeDocument/2006/relationships/hyperlink" Target="http://10.32.16.105/systest/Reports/TestLink/SuiteExecC.php?plan=95948&amp;rep=F&amp;platform=127" TargetMode="External"/><Relationship Id="rId1426" Type="http://schemas.openxmlformats.org/officeDocument/2006/relationships/hyperlink" Target="https://intranet.atlnz.lc/systest/Jira_Reports/testExecReport/jiraExecReport.php?testPlanKey=428&amp;projectKey=TQUALTCM&amp;Report=Report" TargetMode="External"/><Relationship Id="rId1633" Type="http://schemas.openxmlformats.org/officeDocument/2006/relationships/hyperlink" Target="https://wallace4.atlnz.lc/systest/Jira_Reports/testExecReport/jiraExecReport_wallace4.php?testPlanKey=571&amp;projectKey=TQUALTCM&amp;Report=Report" TargetMode="External"/><Relationship Id="rId281" Type="http://schemas.openxmlformats.org/officeDocument/2006/relationships/hyperlink" Target="http://10.32.16.105/systest/Reports/TestLink/SuiteExecC.php?plan=190067&amp;rep=F&amp;platform=182" TargetMode="External"/><Relationship Id="rId76" Type="http://schemas.openxmlformats.org/officeDocument/2006/relationships/hyperlink" Target="https://intranet.atlnz.lc/systest/Jira_Reports/testExecReport/jiraExecReport.php?testPlanKey=16&amp;projectKey=TQUALTCM&amp;Report=Report" TargetMode="External"/><Relationship Id="rId141" Type="http://schemas.openxmlformats.org/officeDocument/2006/relationships/hyperlink" Target="http://10.32.16.105/systest/Reports/TestLink/SuiteExecC.php?plan=453806&amp;rep=F&amp;platform=389" TargetMode="External"/><Relationship Id="rId379" Type="http://schemas.openxmlformats.org/officeDocument/2006/relationships/hyperlink" Target="http://10.32.16.105/systest/products/Accessories/pluggable_transceiver/results/SFP/AT-SPLX10_RevB/x900-12XT_S" TargetMode="External"/><Relationship Id="rId586" Type="http://schemas.openxmlformats.org/officeDocument/2006/relationships/hyperlink" Target="https://intranet.atlnz.lc/systest/Jira_Reports/testExecReport/jiraExecReport.php?testPlanKey=422&amp;projectKey=TQUALTCM&amp;Report=Report" TargetMode="External"/><Relationship Id="rId793" Type="http://schemas.openxmlformats.org/officeDocument/2006/relationships/hyperlink" Target="http://10.32.16.105/systest/Reports/TestLink/SuiteExecC.php?plan=151508&amp;rep=F&amp;platform=93" TargetMode="External"/><Relationship Id="rId807" Type="http://schemas.openxmlformats.org/officeDocument/2006/relationships/hyperlink" Target="https://jira.atlnz.lc/secure/Tests.jspa" TargetMode="External"/><Relationship Id="rId1437" Type="http://schemas.openxmlformats.org/officeDocument/2006/relationships/hyperlink" Target="https://wallace4.atlnz.lc/systest/Jira_Reports/testExecReport/jiraExecReport_wallace4.php?testPlanKey=529&amp;projectKey=TQUALTCM&amp;Report=Report" TargetMode="External"/><Relationship Id="rId7" Type="http://schemas.openxmlformats.org/officeDocument/2006/relationships/hyperlink" Target="http://www.alliedtelesis.com/media/datasheets/x900-48_ds.pdf" TargetMode="External"/><Relationship Id="rId239" Type="http://schemas.openxmlformats.org/officeDocument/2006/relationships/hyperlink" Target="http://10.32.16.105/systest/Reports/TestLink/SuiteExecC.php?plan=120841&amp;rep=F" TargetMode="External"/><Relationship Id="rId446" Type="http://schemas.openxmlformats.org/officeDocument/2006/relationships/hyperlink" Target="https://jira.atlnz.lc/secure/Tests.jspa" TargetMode="External"/><Relationship Id="rId653" Type="http://schemas.openxmlformats.org/officeDocument/2006/relationships/hyperlink" Target="http://10.32.16.105/systest/Reports/TestLink/SuiteExecC.php?plan=479406&amp;rep=F&amp;platform=180" TargetMode="External"/><Relationship Id="rId1076" Type="http://schemas.openxmlformats.org/officeDocument/2006/relationships/hyperlink" Target="http://10.32.16.105/systest/products/Accessories/pluggable_transceiver/results/SFP/AT-SPBD10-13_Sumitomo_SBP6H44-AM-BN-31/x900-48FE_8948i" TargetMode="External"/><Relationship Id="rId1283" Type="http://schemas.openxmlformats.org/officeDocument/2006/relationships/hyperlink" Target="http://10.32.16.105/systest/products/Accessories/pluggable_transceiver/results/SFP/AT-SPTX_Delta/SPsi" TargetMode="External"/><Relationship Id="rId1490" Type="http://schemas.openxmlformats.org/officeDocument/2006/relationships/hyperlink" Target="http://10.32.16.105/systest/products/Accessories/pluggable_transceiver/results/SFP/AT-SPLX-40_Delta/8948i" TargetMode="External"/><Relationship Id="rId1504" Type="http://schemas.openxmlformats.org/officeDocument/2006/relationships/hyperlink" Target="https://jira.atlnz.lc/secure/Tests.jspa" TargetMode="External"/><Relationship Id="rId292" Type="http://schemas.openxmlformats.org/officeDocument/2006/relationships/hyperlink" Target="http://10.32.16.105/systest/Reports/TestLink/SuiteExecC.php?plan=182009&amp;rep=F&amp;platform=182" TargetMode="External"/><Relationship Id="rId306" Type="http://schemas.openxmlformats.org/officeDocument/2006/relationships/hyperlink" Target="http://10.32.16.105/systest/Reports/TestLink/SuiteExecC.php?plan=442278&amp;rep=F&amp;platform=182" TargetMode="External"/><Relationship Id="rId860" Type="http://schemas.openxmlformats.org/officeDocument/2006/relationships/hyperlink" Target="http://10.32.16.105/systest/products/Accessories/pluggable_transceiver/results/SFP/AT-SPBDM-A_B_APACOpto/SB4442" TargetMode="External"/><Relationship Id="rId958" Type="http://schemas.openxmlformats.org/officeDocument/2006/relationships/hyperlink" Target="http://10.32.16.105/systest/Reports/TestLink/SuiteExecC.php?plan=484370&amp;rep=F&amp;platform=1264" TargetMode="External"/><Relationship Id="rId1143" Type="http://schemas.openxmlformats.org/officeDocument/2006/relationships/hyperlink" Target="http://10.32.16.105/systest/products/Accessories/pluggable_transceiver/results/SFP/AT-SPBD10-13_Delta/SB4442" TargetMode="External"/><Relationship Id="rId1588" Type="http://schemas.openxmlformats.org/officeDocument/2006/relationships/hyperlink" Target="http://10.32.16.105/systest/products/Accessories/pluggable_transceiver/results/SFP/AT-SPBD10-13_Delta_RevB/8648T_2SP" TargetMode="External"/><Relationship Id="rId87" Type="http://schemas.openxmlformats.org/officeDocument/2006/relationships/hyperlink" Target="http://10.32.16.105/systest/Reports/TestLink/SuiteExecC.php?plan=443246&amp;rep=F&amp;platform=390" TargetMode="External"/><Relationship Id="rId513" Type="http://schemas.openxmlformats.org/officeDocument/2006/relationships/hyperlink" Target="http://10.32.16.105/systest/Reports/TestLink/SuiteExecC.php?plan=459219&amp;rep=F&amp;platform=185" TargetMode="External"/><Relationship Id="rId597" Type="http://schemas.openxmlformats.org/officeDocument/2006/relationships/hyperlink" Target="https://intranet.atlnz.lc/systest/Jira_Reports/testExecReport/jiraExecReport.php?testPlanKey=422&amp;projectKey=TQUALTCM&amp;Report=Report" TargetMode="External"/><Relationship Id="rId720" Type="http://schemas.openxmlformats.org/officeDocument/2006/relationships/hyperlink" Target="http://10.32.16.105/systest/Reports/TestLink/SuiteExecC.php?plan=440944&amp;rep=F&amp;platform=225" TargetMode="External"/><Relationship Id="rId818" Type="http://schemas.openxmlformats.org/officeDocument/2006/relationships/hyperlink" Target="http://10.32.16.105/systest/Reports/TestLink/SuiteExecC.php?plan=153890&amp;rep=F&amp;platform=186" TargetMode="External"/><Relationship Id="rId1350" Type="http://schemas.openxmlformats.org/officeDocument/2006/relationships/hyperlink" Target="https://intranet.atlnz.lc/systest/Jira_Reports/testExecReport/jiraExecReport.php?testPlanKey=15&amp;projectKey=TQUALTCM&amp;Report=Report" TargetMode="External"/><Relationship Id="rId1448" Type="http://schemas.openxmlformats.org/officeDocument/2006/relationships/hyperlink" Target="https://wallace4.atlnz.lc/systest/Jira_Reports/testExecReport/jiraExecReport_wallace4.php?testPlanKey=424&amp;projectKey=TQUALTCM&amp;Report=Report" TargetMode="External"/><Relationship Id="rId152" Type="http://schemas.openxmlformats.org/officeDocument/2006/relationships/hyperlink" Target="https://jira.atlnz.lc/secure/Tests.jspa" TargetMode="External"/><Relationship Id="rId457" Type="http://schemas.openxmlformats.org/officeDocument/2006/relationships/hyperlink" Target="https://jira.atlnz.lc/secure/Tests.jspa" TargetMode="External"/><Relationship Id="rId1003" Type="http://schemas.openxmlformats.org/officeDocument/2006/relationships/hyperlink" Target="https://jira.atlnz.lc/secure/Tests.jspa" TargetMode="External"/><Relationship Id="rId1087" Type="http://schemas.openxmlformats.org/officeDocument/2006/relationships/hyperlink" Target="http://10.32.16.105/systest/Reports/TestLink/SuiteExecC.php?plan=182009&amp;rep=F&amp;platform=187" TargetMode="External"/><Relationship Id="rId1210" Type="http://schemas.openxmlformats.org/officeDocument/2006/relationships/hyperlink" Target="http://10.32.16.105/systest/products/Accessories/pluggable_transceiver/results_aw+/SFP/1G%20fiber%20SFP/AT-SPLX40/Switchblade-x908_XEM-12S" TargetMode="External"/><Relationship Id="rId1294" Type="http://schemas.openxmlformats.org/officeDocument/2006/relationships/hyperlink" Target="http://10.32.16.105/systest/products/Accessories/pluggable_transceiver/results/SFP/AT-SPTX2_Delta/x900-48FE" TargetMode="External"/><Relationship Id="rId1308" Type="http://schemas.openxmlformats.org/officeDocument/2006/relationships/hyperlink" Target="http://10.32.16.105/systest/products/Accessories/pluggable_transceiver/results_aw+/SFP/100M%20fiber%20SFP/AT-SPFX_40/Switchblade-x908_XEM-12S" TargetMode="External"/><Relationship Id="rId664" Type="http://schemas.openxmlformats.org/officeDocument/2006/relationships/hyperlink" Target="http://10.32.16.105/systest/Reports/TestLink/SuiteExecC.php?plan=79513&amp;rep=F" TargetMode="External"/><Relationship Id="rId871" Type="http://schemas.openxmlformats.org/officeDocument/2006/relationships/hyperlink" Target="http://10.32.16.105/systest/products/Accessories/pluggable_transceiver/results/SFP/FIBEREXON-FTM-9501C-SL20i/x900-24XS_XEM-12S_Mustang" TargetMode="External"/><Relationship Id="rId969" Type="http://schemas.openxmlformats.org/officeDocument/2006/relationships/hyperlink" Target="https://intranet.atlnz.lc/systest/Reports/TestLink/SuiteExecC.php?plan=484370&amp;rep=F&amp;platform=1265" TargetMode="External"/><Relationship Id="rId1515" Type="http://schemas.openxmlformats.org/officeDocument/2006/relationships/hyperlink" Target="http://intranet.atlnz.lc/systest/Reports/TestLink/SuiteExecC.php?plan=486647&amp;rep=F&amp;platform=1139" TargetMode="External"/><Relationship Id="rId1599" Type="http://schemas.openxmlformats.org/officeDocument/2006/relationships/hyperlink" Target="http://10.32.16.105/systest/Reports/TestLink/SuiteExecC.php?plan=309805&amp;rep=F&amp;platform=203" TargetMode="External"/><Relationship Id="rId14" Type="http://schemas.openxmlformats.org/officeDocument/2006/relationships/hyperlink" Target="http://10.32.16.105/systest/Reports/TestLink/SuiteExecC.php?plan=153890&amp;rep=F&amp;platform=188" TargetMode="External"/><Relationship Id="rId317" Type="http://schemas.openxmlformats.org/officeDocument/2006/relationships/hyperlink" Target="http://10.32.16.105/systest/products/Accessories/pluggable_transceiver/results_aw+/SFP/1G%20fiber%20SFP/AT-SPEX_Delta/x900-12" TargetMode="External"/><Relationship Id="rId524" Type="http://schemas.openxmlformats.org/officeDocument/2006/relationships/hyperlink" Target="http://10.32.16.105/systest/products/Accessories/pluggable_transceiver/results/SFP/AT-SPLX-40_Delta/8948i" TargetMode="External"/><Relationship Id="rId731" Type="http://schemas.openxmlformats.org/officeDocument/2006/relationships/hyperlink" Target="http://10.32.16.105/systest/Reports/TestLink/SuiteExecC.php?plan=479406&amp;rep=F&amp;platform=225" TargetMode="External"/><Relationship Id="rId1154" Type="http://schemas.openxmlformats.org/officeDocument/2006/relationships/hyperlink" Target="http://10.32.16.105/systest/products/Accessories/pluggable_transceiver/results_aw+/SFP/1G%20fiber%20SFP/AT-SPBD10-14_RevS1_Delta/x900-24XS" TargetMode="External"/><Relationship Id="rId1361" Type="http://schemas.openxmlformats.org/officeDocument/2006/relationships/hyperlink" Target="https://intranet.atlnz.lc/systest/Jira_Reports/testExecReport/jiraExecReport.php?testPlanKey=440&amp;projectKey=TQUALTCM&amp;Report=Report" TargetMode="External"/><Relationship Id="rId1459" Type="http://schemas.openxmlformats.org/officeDocument/2006/relationships/hyperlink" Target="https://wallace4.atlnz.lc/systest/Jira_Reports/testExecReport/jiraExecReport_wallace4.php?testPlanKey=141&amp;projectKey=TQUALTCM&amp;Report=Report" TargetMode="External"/><Relationship Id="rId98" Type="http://schemas.openxmlformats.org/officeDocument/2006/relationships/hyperlink" Target="http://10.32.16.105/systest/Reports/TestLink/SuiteExecC.php?plan=443246&amp;rep=F&amp;platform=171" TargetMode="External"/><Relationship Id="rId163" Type="http://schemas.openxmlformats.org/officeDocument/2006/relationships/hyperlink" Target="http://10.32.16.105/systest/Reports/TestLink/SuiteExecC.php?plan=453806&amp;rep=F&amp;platform=1091" TargetMode="External"/><Relationship Id="rId370" Type="http://schemas.openxmlformats.org/officeDocument/2006/relationships/hyperlink" Target="http://10.32.16.105/systest/Reports/TestLink/SuiteExecC.php?plan=459219&amp;rep=F&amp;platform=183" TargetMode="External"/><Relationship Id="rId829" Type="http://schemas.openxmlformats.org/officeDocument/2006/relationships/hyperlink" Target="https://jira.atlnz.lc/secure/Tests.jspa" TargetMode="External"/><Relationship Id="rId1014" Type="http://schemas.openxmlformats.org/officeDocument/2006/relationships/hyperlink" Target="https://jira.atlnz.lc/secure/Tests.jspa" TargetMode="External"/><Relationship Id="rId1221" Type="http://schemas.openxmlformats.org/officeDocument/2006/relationships/hyperlink" Target="http://10.32.16.105/systest/Reports/TestLink/SuiteExecC.php?plan=480293&amp;rep=F&amp;platform=179" TargetMode="External"/><Relationship Id="rId230" Type="http://schemas.openxmlformats.org/officeDocument/2006/relationships/hyperlink" Target="http://10.32.16.105/systest/Reports/TestLink/SuiteExecC.php?plan=120841&amp;rep=F&amp;platform=233" TargetMode="External"/><Relationship Id="rId468" Type="http://schemas.openxmlformats.org/officeDocument/2006/relationships/hyperlink" Target="https://jira.atlnz.lc/secure/Tests.jspa" TargetMode="External"/><Relationship Id="rId675" Type="http://schemas.openxmlformats.org/officeDocument/2006/relationships/hyperlink" Target="http://10.32.16.105/systest/products/Accessories/pluggable_transceiver/results/SFP/AT-SPSX_RevB_Delta/8948" TargetMode="External"/><Relationship Id="rId882" Type="http://schemas.openxmlformats.org/officeDocument/2006/relationships/hyperlink" Target="http://10.32.16.105/systest/products/Accessories/pluggable_transceiver/results/SFP/FIBEREXON-FTM-9501S-S20i/x900-24XS_XEM-12S_Mustang" TargetMode="External"/><Relationship Id="rId1098" Type="http://schemas.openxmlformats.org/officeDocument/2006/relationships/hyperlink" Target="http://10.32.16.105/systest/Reports/TestLink/SuiteExecC.php?plan=123414&amp;rep=F&amp;platform=187" TargetMode="External"/><Relationship Id="rId1319" Type="http://schemas.openxmlformats.org/officeDocument/2006/relationships/hyperlink" Target="http://10.32.16.105/systest/Reports/TestLink/SuiteExecC.php?plan=95958&amp;rep=F&amp;platform=202" TargetMode="External"/><Relationship Id="rId1526" Type="http://schemas.openxmlformats.org/officeDocument/2006/relationships/hyperlink" Target="http://10.32.16.105/systest/Reports/TestLink/SuiteExecC.php?plan=308258&amp;rep=F&amp;platform=181" TargetMode="External"/><Relationship Id="rId25" Type="http://schemas.openxmlformats.org/officeDocument/2006/relationships/hyperlink" Target="http://10.32.16.105/systest/products/Accessories/pluggable_transceiver/results/SFP/AT-SPBD10-13_Delta_RevB/x600-48Ts_XP" TargetMode="External"/><Relationship Id="rId328" Type="http://schemas.openxmlformats.org/officeDocument/2006/relationships/hyperlink" Target="https://jira.atlnz.lc/secure/Tests.jspa" TargetMode="External"/><Relationship Id="rId535" Type="http://schemas.openxmlformats.org/officeDocument/2006/relationships/hyperlink" Target="http://10.32.16.105/systest/Reports/TestLink/SuiteExecC.php?plan=478730&amp;rep=F&amp;platform=1052" TargetMode="External"/><Relationship Id="rId742" Type="http://schemas.openxmlformats.org/officeDocument/2006/relationships/hyperlink" Target="http://10.32.16.105/systest/products/Accessories/pluggable_transceiver/results/SFP/AT-SPTX_RevC/x900-24XS" TargetMode="External"/><Relationship Id="rId1165" Type="http://schemas.openxmlformats.org/officeDocument/2006/relationships/hyperlink" Target="http://10.32.16.105/systest/products/Accessories/pluggable_transceiver/results/SFP/AT-SPLX10_RevB/x900-48FE" TargetMode="External"/><Relationship Id="rId1372" Type="http://schemas.openxmlformats.org/officeDocument/2006/relationships/hyperlink" Target="https://intranet.atlnz.lc/systest/Jira_Reports/testExecReport/jiraExecReport.php?testPlanKey=440&amp;projectKey=TQUALTCM&amp;Report=Report" TargetMode="External"/><Relationship Id="rId174" Type="http://schemas.openxmlformats.org/officeDocument/2006/relationships/hyperlink" Target="http://10.32.16.105/systest/Reports/TestLink/SuiteExecC.php?plan=453806&amp;rep=F&amp;platform=389" TargetMode="External"/><Relationship Id="rId381" Type="http://schemas.openxmlformats.org/officeDocument/2006/relationships/hyperlink" Target="http://10.32.16.105/systest/products/Accessories/pluggable_transceiver/results/SFP/AT-SPLX10_RevB/x900-48FS" TargetMode="External"/><Relationship Id="rId602" Type="http://schemas.openxmlformats.org/officeDocument/2006/relationships/hyperlink" Target="https://intranet.atlnz.lc/systest/Jira_Reports/testExecReport/jiraExecReport.php?testPlanKey=422&amp;projectKey=TQUALTCM&amp;Report=Report" TargetMode="External"/><Relationship Id="rId1025" Type="http://schemas.openxmlformats.org/officeDocument/2006/relationships/hyperlink" Target="https://jira.atlnz.lc/secure/Tests.jspa" TargetMode="External"/><Relationship Id="rId1232" Type="http://schemas.openxmlformats.org/officeDocument/2006/relationships/hyperlink" Target="http://10.32.16.105/systest/Reports/TestLink/SuiteExecC.php?plan=479406&amp;rep=F&amp;platform=179" TargetMode="External"/><Relationship Id="rId241" Type="http://schemas.openxmlformats.org/officeDocument/2006/relationships/hyperlink" Target="https://intranet.atlnz.lc/systest/Jira_Reports/testExecReport/jiraExecReport.php?testPlanKey=38&amp;projectKey=TQUALTCM&amp;Report=Report" TargetMode="External"/><Relationship Id="rId479" Type="http://schemas.openxmlformats.org/officeDocument/2006/relationships/hyperlink" Target="https://jira.atlnz.lc/secure/Tests.jspa" TargetMode="External"/><Relationship Id="rId686" Type="http://schemas.openxmlformats.org/officeDocument/2006/relationships/hyperlink" Target="https://jira.atlnz.lc/secure/Tests.jspa" TargetMode="External"/><Relationship Id="rId893" Type="http://schemas.openxmlformats.org/officeDocument/2006/relationships/hyperlink" Target="https://jira.atlnz.lc/secure/Tests.jspa" TargetMode="External"/><Relationship Id="rId907" Type="http://schemas.openxmlformats.org/officeDocument/2006/relationships/hyperlink" Target="https://jira.atlnz.lc/secure/Tests.jspa" TargetMode="External"/><Relationship Id="rId1537" Type="http://schemas.openxmlformats.org/officeDocument/2006/relationships/hyperlink" Target="http://10.32.16.105/systest/Reports/TestLink/SuiteExecC.php?plan=308256&amp;rep=F&amp;platform=182" TargetMode="External"/><Relationship Id="rId36" Type="http://schemas.openxmlformats.org/officeDocument/2006/relationships/hyperlink" Target="http://10.32.16.105/systest/Reports/TestLink/SuiteExecC.php?plan=190067&amp;rep=F&amp;platform=188" TargetMode="External"/><Relationship Id="rId339" Type="http://schemas.openxmlformats.org/officeDocument/2006/relationships/hyperlink" Target="https://intranet.atlnz.lc/systest/Jira_Reports/testExecReport/jiraExecReport.php?testPlanKey=20&amp;projectKey=TQUALTCM&amp;Report=Report" TargetMode="External"/><Relationship Id="rId546" Type="http://schemas.openxmlformats.org/officeDocument/2006/relationships/hyperlink" Target="http://10.32.16.105/systest/Reports/TestLink/SuiteExecC.php?plan=476649&amp;rep=F&amp;platform=181" TargetMode="External"/><Relationship Id="rId753" Type="http://schemas.openxmlformats.org/officeDocument/2006/relationships/hyperlink" Target="https://jira.atlnz.lc/secure/Tests.jspa" TargetMode="External"/><Relationship Id="rId1176" Type="http://schemas.openxmlformats.org/officeDocument/2006/relationships/hyperlink" Target="http://10.32.16.105/systest/Reports/TestLink/SuiteExecC.php?plan=82166&amp;rep=F" TargetMode="External"/><Relationship Id="rId1383" Type="http://schemas.openxmlformats.org/officeDocument/2006/relationships/hyperlink" Target="https://intranet.atlnz.lc/systest/Jira_Reports/testExecReport/jiraExecReport.php?testPlanKey=480,481&amp;projectKey=TQUALTCM&amp;Report=Report" TargetMode="External"/><Relationship Id="rId1604" Type="http://schemas.openxmlformats.org/officeDocument/2006/relationships/hyperlink" Target="http://10.32.16.105/systest/Reports/TestLink/SuiteExecC.php?plan=458763&amp;rep=F&amp;platform=203" TargetMode="External"/><Relationship Id="rId101" Type="http://schemas.openxmlformats.org/officeDocument/2006/relationships/hyperlink" Target="http://10.32.16.105/systest/Reports/TestLink/SuiteExecC.php?plan=443246&amp;rep=F&amp;platform=233" TargetMode="External"/><Relationship Id="rId185" Type="http://schemas.openxmlformats.org/officeDocument/2006/relationships/hyperlink" Target="https://jira.atlnz.lc/secure/Tests.jspa" TargetMode="External"/><Relationship Id="rId406" Type="http://schemas.openxmlformats.org/officeDocument/2006/relationships/hyperlink" Target="http://10.32.16.105/systest/Reports/TestLink/SuiteExecC.php?plan=190067&amp;rep=F&amp;platform=184" TargetMode="External"/><Relationship Id="rId960" Type="http://schemas.openxmlformats.org/officeDocument/2006/relationships/hyperlink" Target="http://10.32.16.105/systest/Reports/TestLink/SuiteExecC.php?plan=484370&amp;rep=F&amp;platform=1224" TargetMode="External"/><Relationship Id="rId1036" Type="http://schemas.openxmlformats.org/officeDocument/2006/relationships/hyperlink" Target="https://jira.atlnz.lc/secure/Tests.jspa" TargetMode="External"/><Relationship Id="rId1243" Type="http://schemas.openxmlformats.org/officeDocument/2006/relationships/hyperlink" Target="http://10.32.16.105/systest/Reports/TestLink/SuiteExecC.php?plan=95955&amp;rep=F&amp;platform=99" TargetMode="External"/><Relationship Id="rId1590" Type="http://schemas.openxmlformats.org/officeDocument/2006/relationships/hyperlink" Target="http://10.32.16.105/systest/products/Accessories/pluggable_transceiver/results/SFP/AT-SPBD10-13_Delta_RevB/A65_8624T_2M" TargetMode="External"/><Relationship Id="rId392" Type="http://schemas.openxmlformats.org/officeDocument/2006/relationships/hyperlink" Target="https://intranet.atlnz.lc/systest/Jira_Reports/testExecReport/jiraExecReport.php?testPlanKey=370,371&amp;projectKey=TQUALTCM&amp;Report=Report" TargetMode="External"/><Relationship Id="rId613" Type="http://schemas.openxmlformats.org/officeDocument/2006/relationships/hyperlink" Target="https://intranet.atlnz.lc/systest/Jira_Reports/testExecReport/jiraExecReport.php?testPlanKey=422&amp;projectKey=TQUALTCM&amp;Report=Report" TargetMode="External"/><Relationship Id="rId697" Type="http://schemas.openxmlformats.org/officeDocument/2006/relationships/hyperlink" Target="http://10.32.16.105/systest/Reports/TestLink/SuiteExecC.php?plan=464959&amp;rep=F&amp;platform=172" TargetMode="External"/><Relationship Id="rId820" Type="http://schemas.openxmlformats.org/officeDocument/2006/relationships/hyperlink" Target="https://jira.atlnz.lc/secure/Tests.jspa" TargetMode="External"/><Relationship Id="rId918" Type="http://schemas.openxmlformats.org/officeDocument/2006/relationships/hyperlink" Target="https://jira.atlnz.lc/secure/Tests.jspa" TargetMode="External"/><Relationship Id="rId1450" Type="http://schemas.openxmlformats.org/officeDocument/2006/relationships/hyperlink" Target="https://wallace4.atlnz.lc/systest/Jira_Reports/testExecReport/jiraExecReport_wallace4.php?testPlanKey=497&amp;projectKey=TQUALTCM&amp;Report=Report" TargetMode="External"/><Relationship Id="rId1548" Type="http://schemas.openxmlformats.org/officeDocument/2006/relationships/hyperlink" Target="https://wallace4.atlnz.lc/systest/Jira_Reports/testExecReport/jiraExecReport_wallace4.php?testPlanKey=552&amp;projectKey=TQUALTCM&amp;Report=Report" TargetMode="External"/><Relationship Id="rId252" Type="http://schemas.openxmlformats.org/officeDocument/2006/relationships/hyperlink" Target="http://10.32.16.105/systest/Reports/TestLink/SuiteExecC.php?plan=182009&amp;rep=F&amp;platform=203" TargetMode="External"/><Relationship Id="rId1103" Type="http://schemas.openxmlformats.org/officeDocument/2006/relationships/hyperlink" Target="http://10.32.16.105/systest/Reports/TestLink/SuiteExecC.php?plan=130431&amp;rep=F&amp;platform=99" TargetMode="External"/><Relationship Id="rId1187" Type="http://schemas.openxmlformats.org/officeDocument/2006/relationships/hyperlink" Target="http://10.32.16.105/systest/products/Accessories/pluggable_transceiver/results_aw+/SFP/1G%20fiber%20SFP/AT-SPLX20_Delta/x900-12" TargetMode="External"/><Relationship Id="rId1310" Type="http://schemas.openxmlformats.org/officeDocument/2006/relationships/hyperlink" Target="http://10.32.16.105/systest/products/Accessories/pluggable_transceiver/results/SFP/AT-SPFX_40/x900-48FS" TargetMode="External"/><Relationship Id="rId1408" Type="http://schemas.openxmlformats.org/officeDocument/2006/relationships/hyperlink" Target="http://10.32.16.105/systest/Reports/TestLink/SuiteExecC.php?plan=453983&amp;rep=F&amp;platform=179" TargetMode="External"/><Relationship Id="rId47" Type="http://schemas.openxmlformats.org/officeDocument/2006/relationships/hyperlink" Target="http://10.32.16.105/systest/Reports/TestLink/SuiteExecC.php?plan=458186&amp;rep=F&amp;platform=188" TargetMode="External"/><Relationship Id="rId112" Type="http://schemas.openxmlformats.org/officeDocument/2006/relationships/hyperlink" Target="http://10.32.16.105/systest/Reports/TestLink/SuiteExecC.php?plan=443246&amp;rep=F&amp;platform=202" TargetMode="External"/><Relationship Id="rId557" Type="http://schemas.openxmlformats.org/officeDocument/2006/relationships/hyperlink" Target="https://jira.atlnz.lc/secure/Tests.jspa" TargetMode="External"/><Relationship Id="rId764" Type="http://schemas.openxmlformats.org/officeDocument/2006/relationships/hyperlink" Target="http://10.32.16.105/systest/Reports/TestLink/SuiteExecC.php?plan=476649&amp;rep=F&amp;platform=350" TargetMode="External"/><Relationship Id="rId971" Type="http://schemas.openxmlformats.org/officeDocument/2006/relationships/hyperlink" Target="http://10.32.16.105/systest/Reports/TestLink/SuiteExecC.php?plan=484370&amp;rep=F&amp;platform=204" TargetMode="External"/><Relationship Id="rId1394" Type="http://schemas.openxmlformats.org/officeDocument/2006/relationships/hyperlink" Target="http://10.32.16.105/systest/Reports/TestLink/SuiteExecC.php?plan=95948&amp;rep=F&amp;platform=201" TargetMode="External"/><Relationship Id="rId1615" Type="http://schemas.openxmlformats.org/officeDocument/2006/relationships/hyperlink" Target="http://10.32.16.105/systest/Reports/TestLink/SuiteExecC.php?plan=120841&amp;rep=F&amp;platform=133" TargetMode="External"/><Relationship Id="rId196" Type="http://schemas.openxmlformats.org/officeDocument/2006/relationships/hyperlink" Target="http://10.32.16.105/systest/Reports/TestLink/SuiteExecC.php?plan=453806&amp;rep=F&amp;platform=1091" TargetMode="External"/><Relationship Id="rId417" Type="http://schemas.openxmlformats.org/officeDocument/2006/relationships/hyperlink" Target="http://10.32.16.105/systest/Reports/TestLink/SuiteExecC.php?plan=458186&amp;rep=F&amp;platform=184" TargetMode="External"/><Relationship Id="rId624" Type="http://schemas.openxmlformats.org/officeDocument/2006/relationships/hyperlink" Target="https://jira.atlnz.lc/secure/Tests.jspa" TargetMode="External"/><Relationship Id="rId831" Type="http://schemas.openxmlformats.org/officeDocument/2006/relationships/hyperlink" Target="http://10.32.16.105/systest/Reports/TestLink/SuiteExecC.php?plan=309247&amp;rep=F&amp;platform=186" TargetMode="External"/><Relationship Id="rId1047" Type="http://schemas.openxmlformats.org/officeDocument/2006/relationships/hyperlink" Target="http://10.32.16.105/systest/Reports/TestLink/SuiteExecC.php?plan=158999&amp;rep=F&amp;platform=187" TargetMode="External"/><Relationship Id="rId1254" Type="http://schemas.openxmlformats.org/officeDocument/2006/relationships/hyperlink" Target="http://10.32.16.105/systest/products/Accessories/pluggable_transceiver/results/SFP/AT-SPSX_Avago/8948" TargetMode="External"/><Relationship Id="rId1461" Type="http://schemas.openxmlformats.org/officeDocument/2006/relationships/hyperlink" Target="https://wallace4.atlnz.lc/systest/Jira_Reports/testExecReport/jiraExecReport_wallace4.php?testPlanKey=145&amp;projectKey=TQUALTCM&amp;Report=Report" TargetMode="External"/><Relationship Id="rId263" Type="http://schemas.openxmlformats.org/officeDocument/2006/relationships/hyperlink" Target="http://10.32.16.105/systest/Reports/TestLink/SuiteExecC.php?plan=120841&amp;rep=F" TargetMode="External"/><Relationship Id="rId470" Type="http://schemas.openxmlformats.org/officeDocument/2006/relationships/hyperlink" Target="https://jira.atlnz.lc/secure/Tests.jspa" TargetMode="External"/><Relationship Id="rId929" Type="http://schemas.openxmlformats.org/officeDocument/2006/relationships/hyperlink" Target="https://jira.atlnz.lc/secure/Tests.jspa" TargetMode="External"/><Relationship Id="rId1114" Type="http://schemas.openxmlformats.org/officeDocument/2006/relationships/hyperlink" Target="http://10.32.16.105/systest/products/Accessories/pluggable_transceiver/results/SFP/AT-SPBD10-14_Sumitomo_SBP6H44-AM-BN-49/x900-48FS" TargetMode="External"/><Relationship Id="rId1321" Type="http://schemas.openxmlformats.org/officeDocument/2006/relationships/hyperlink" Target="http://10.32.16.105/systest/Reports/TestLink/SuiteExecC.php?plan=75672&amp;rep=F" TargetMode="External"/><Relationship Id="rId1559" Type="http://schemas.openxmlformats.org/officeDocument/2006/relationships/hyperlink" Target="http://10.32.16.105/systest/products/Accessories/pluggable_transceiver/results/SFP/AT-SPBD10-13_Delta_RevB/x600-24Ts_XP" TargetMode="External"/><Relationship Id="rId58" Type="http://schemas.openxmlformats.org/officeDocument/2006/relationships/hyperlink" Target="http://10.32.16.105/systest/Reports/TestLink/SuiteExecC.php?plan=442278&amp;rep=F&amp;platform=188" TargetMode="External"/><Relationship Id="rId123" Type="http://schemas.openxmlformats.org/officeDocument/2006/relationships/hyperlink" Target="http://10.32.16.105/systest/Reports/TestLink/SuiteExecC.php?plan=443246&amp;rep=F&amp;platform=201" TargetMode="External"/><Relationship Id="rId330" Type="http://schemas.openxmlformats.org/officeDocument/2006/relationships/hyperlink" Target="https://jira.atlnz.lc/secure/Tests.jspa" TargetMode="External"/><Relationship Id="rId568" Type="http://schemas.openxmlformats.org/officeDocument/2006/relationships/hyperlink" Target="http://10.32.16.105/systest/Reports/TestLink/SuiteExecC.php?plan=152235&amp;rep=F&amp;platform=181" TargetMode="External"/><Relationship Id="rId775" Type="http://schemas.openxmlformats.org/officeDocument/2006/relationships/hyperlink" Target="https://jira.atlnz.lc/secure/Tests.jspa" TargetMode="External"/><Relationship Id="rId982" Type="http://schemas.openxmlformats.org/officeDocument/2006/relationships/hyperlink" Target="http://10.32.16.105/systest/Reports/TestLink/SuiteExecC.php?plan=484370&amp;rep=F&amp;platform=171" TargetMode="External"/><Relationship Id="rId1198" Type="http://schemas.openxmlformats.org/officeDocument/2006/relationships/hyperlink" Target="http://10.32.16.105/systest/Reports/TestLink/SuiteExecC.php?plan=96099&amp;rep=F&amp;platform=172" TargetMode="External"/><Relationship Id="rId1419" Type="http://schemas.openxmlformats.org/officeDocument/2006/relationships/hyperlink" Target="https://intranet.atlnz.lc/systest/Jira_Reports/testExecReport/jiraExecReport.php?testPlanKey=504&amp;projectKey=TQUALTCM&amp;Report=Report" TargetMode="External"/><Relationship Id="rId1626" Type="http://schemas.openxmlformats.org/officeDocument/2006/relationships/hyperlink" Target="http://10.32.16.105/systest/Reports/TestLink/SuiteExecC.php?plan=120841&amp;rep=F" TargetMode="External"/><Relationship Id="rId428" Type="http://schemas.openxmlformats.org/officeDocument/2006/relationships/hyperlink" Target="http://10.32.16.105/systest/Reports/TestLink/SuiteExecC.php?plan=123414&amp;rep=F&amp;platform=184" TargetMode="External"/><Relationship Id="rId635" Type="http://schemas.openxmlformats.org/officeDocument/2006/relationships/hyperlink" Target="http://10.32.16.105/systest/Reports/TestLink/SuiteExecC.php?plan=190066&amp;rep=F&amp;platform=180" TargetMode="External"/><Relationship Id="rId842" Type="http://schemas.openxmlformats.org/officeDocument/2006/relationships/hyperlink" Target="http://10.32.16.105/systest/Reports/TestLink/SuiteExecC.php?plan=144574&amp;rep=F&amp;platform=202" TargetMode="External"/><Relationship Id="rId1058" Type="http://schemas.openxmlformats.org/officeDocument/2006/relationships/hyperlink" Target="http://10.32.16.105/systest/Reports/TestLink/SuiteExecC.php?plan=95949&amp;rep=F" TargetMode="External"/><Relationship Id="rId1265" Type="http://schemas.openxmlformats.org/officeDocument/2006/relationships/hyperlink" Target="http://10.32.16.105/systest/products/Accessories/pluggable_transceiver/results/SFP/AT-SPSX_RevC_Delta/Switchblade" TargetMode="External"/><Relationship Id="rId1472" Type="http://schemas.openxmlformats.org/officeDocument/2006/relationships/hyperlink" Target="http://10.32.16.105/systest/Reports/TestLink/SuiteExecC.php?plan=309247&amp;rep=F&amp;platform=185" TargetMode="External"/><Relationship Id="rId274" Type="http://schemas.openxmlformats.org/officeDocument/2006/relationships/hyperlink" Target="http://10.32.16.105/systest/Reports/TestLink/SuiteExecC.php?plan=120841&amp;rep=F" TargetMode="External"/><Relationship Id="rId481" Type="http://schemas.openxmlformats.org/officeDocument/2006/relationships/hyperlink" Target="https://jira.atlnz.lc/secure/Tests.jspa" TargetMode="External"/><Relationship Id="rId702" Type="http://schemas.openxmlformats.org/officeDocument/2006/relationships/hyperlink" Target="http://10.32.16.105/systest/Reports/TestLink/SuiteExecC.php?plan=464959&amp;rep=F&amp;platform=1138" TargetMode="External"/><Relationship Id="rId1125" Type="http://schemas.openxmlformats.org/officeDocument/2006/relationships/hyperlink" Target="http://www.alliedtelesis.com/media/datasheets/sbx908_ds.pdf" TargetMode="External"/><Relationship Id="rId1332" Type="http://schemas.openxmlformats.org/officeDocument/2006/relationships/hyperlink" Target="http://10.32.16.105/systest/products/Accessories/pluggable_transceiver/results/SFP/AT-SPZX80_Delta/8948i" TargetMode="External"/><Relationship Id="rId69" Type="http://schemas.openxmlformats.org/officeDocument/2006/relationships/hyperlink" Target="http://10.32.16.105/systest/products/Accessories/pluggable_transceiver/results/SFP/AT-SPBD10-13_Delta_RevB/x900-48FS" TargetMode="External"/><Relationship Id="rId134" Type="http://schemas.openxmlformats.org/officeDocument/2006/relationships/hyperlink" Target="http://10.32.16.105/systest/Reports/TestLink/SuiteExecC.php?plan=443246&amp;rep=F&amp;platform=98" TargetMode="External"/><Relationship Id="rId579" Type="http://schemas.openxmlformats.org/officeDocument/2006/relationships/hyperlink" Target="http://10.32.16.105/systest/Reports/TestLink/SuiteExecC.php?plan=68020&amp;rep=F" TargetMode="External"/><Relationship Id="rId786" Type="http://schemas.openxmlformats.org/officeDocument/2006/relationships/hyperlink" Target="http://10.32.16.105/systest/Reports/TestLink/SuiteExecC.php?plan=443653&amp;rep=F&amp;platform=350" TargetMode="External"/><Relationship Id="rId993" Type="http://schemas.openxmlformats.org/officeDocument/2006/relationships/hyperlink" Target="http://10.32.16.105/systest/Reports/TestLink/SuiteExecC.php?plan=484370&amp;rep=F&amp;platform=131" TargetMode="External"/><Relationship Id="rId1637" Type="http://schemas.openxmlformats.org/officeDocument/2006/relationships/comments" Target="../comments2.xml"/><Relationship Id="rId341" Type="http://schemas.openxmlformats.org/officeDocument/2006/relationships/hyperlink" Target="http://10.32.16.105/systest/Reports/TestLink/SuiteExecC.php?plan=190067&amp;rep=F&amp;platform=183" TargetMode="External"/><Relationship Id="rId439" Type="http://schemas.openxmlformats.org/officeDocument/2006/relationships/hyperlink" Target="http://10.32.16.105/systest/Reports/TestLink/SuiteExecC.php?plan=95953&amp;rep=F&amp;platform=117" TargetMode="External"/><Relationship Id="rId646" Type="http://schemas.openxmlformats.org/officeDocument/2006/relationships/hyperlink" Target="https://jira.atlnz.lc/secure/Tests.jspa" TargetMode="External"/><Relationship Id="rId1069" Type="http://schemas.openxmlformats.org/officeDocument/2006/relationships/hyperlink" Target="http://10.32.16.105/systest/products/Accessories/pluggable_transceiver/results/SFP/AT-SPBD10-13_Sumitomo_SBP6H44-AM-BN-31" TargetMode="External"/><Relationship Id="rId1276" Type="http://schemas.openxmlformats.org/officeDocument/2006/relationships/hyperlink" Target="http://10.32.16.105/systest/products/Accessories/pluggable_transceiver/results_aw+/SFP/Copper%20SFP/Avago_QBCU5730R/x900-12XT-S" TargetMode="External"/><Relationship Id="rId1483" Type="http://schemas.openxmlformats.org/officeDocument/2006/relationships/hyperlink" Target="http://10.32.16.105/systest/Reports/TestLink/SuiteExecC.php?plan=96099&amp;rep=F&amp;platform=98" TargetMode="External"/><Relationship Id="rId201" Type="http://schemas.openxmlformats.org/officeDocument/2006/relationships/hyperlink" Target="http://10.32.16.105/systest/Reports/TestLink/SuiteExecC.php?plan=453806&amp;rep=F&amp;platform=99" TargetMode="External"/><Relationship Id="rId285" Type="http://schemas.openxmlformats.org/officeDocument/2006/relationships/hyperlink" Target="http://10.32.16.105/systest/Reports/TestLink/SuiteExecC.php?plan=153890&amp;rep=F&amp;platform=182" TargetMode="External"/><Relationship Id="rId506" Type="http://schemas.openxmlformats.org/officeDocument/2006/relationships/hyperlink" Target="http://10.32.16.105/systest/Reports/TestLink/SuiteExecC.php?plan=479406&amp;rep=F&amp;platform=185" TargetMode="External"/><Relationship Id="rId853" Type="http://schemas.openxmlformats.org/officeDocument/2006/relationships/hyperlink" Target="http://10.32.16.105/systest/Reports/TestLink/SuiteExecC.php?plan=79511&amp;rep=F" TargetMode="External"/><Relationship Id="rId1136" Type="http://schemas.openxmlformats.org/officeDocument/2006/relationships/hyperlink" Target="http://10.32.16.105/systest/products/Accessories/pluggable_transceiver/results/SFP/AT-SPBD10-14_Delta/x900-48FS/" TargetMode="External"/><Relationship Id="rId492" Type="http://schemas.openxmlformats.org/officeDocument/2006/relationships/hyperlink" Target="https://jira.atlnz.lc/secure/Tests.jspa" TargetMode="External"/><Relationship Id="rId713" Type="http://schemas.openxmlformats.org/officeDocument/2006/relationships/hyperlink" Target="https://intranet.atlnz.lc/systest/Jira_Reports/testExecReport/jiraExecReport.php?testPlanKey=94&amp;projectKey=TQUALTCM&amp;Report=Report" TargetMode="External"/><Relationship Id="rId797" Type="http://schemas.openxmlformats.org/officeDocument/2006/relationships/hyperlink" Target="https://intranet.atlnz.lc/systest/Jira_Reports/testExecReport/jiraExecReport.php?testPlanKey=428&amp;projectKey=TQUALTCM&amp;Report=Report" TargetMode="External"/><Relationship Id="rId920" Type="http://schemas.openxmlformats.org/officeDocument/2006/relationships/hyperlink" Target="https://jira.atlnz.lc/secure/Tests.jspa" TargetMode="External"/><Relationship Id="rId1343" Type="http://schemas.openxmlformats.org/officeDocument/2006/relationships/hyperlink" Target="http://10.32.16.105/systest/products/Accessories/pluggable_transceiver/results/SFP/AT-SPSX_RevBC/8648T_2SP" TargetMode="External"/><Relationship Id="rId1550" Type="http://schemas.openxmlformats.org/officeDocument/2006/relationships/hyperlink" Target="https://intranet.atlnz.lc/systest/Jira_Reports/testExecReport/jiraExecReport.php?testPlanKey=540&amp;projectKey=TQUALTCM&amp;Report=Report" TargetMode="External"/><Relationship Id="rId145" Type="http://schemas.openxmlformats.org/officeDocument/2006/relationships/hyperlink" Target="http://10.32.16.105/systest/Reports/TestLink/SuiteExecC.php?plan=453806&amp;rep=F&amp;platform=386" TargetMode="External"/><Relationship Id="rId352" Type="http://schemas.openxmlformats.org/officeDocument/2006/relationships/hyperlink" Target="http://10.32.16.105/systest/Reports/TestLink/SuiteExecC.php?plan=158997&amp;rep=F&amp;platform=183" TargetMode="External"/><Relationship Id="rId1203" Type="http://schemas.openxmlformats.org/officeDocument/2006/relationships/hyperlink" Target="http://10.32.16.105/systest/products/Accessories/pluggable_transceiver/results/SFP/AT-SPLX-40_Delta/x600-24Ts-POE" TargetMode="External"/><Relationship Id="rId1287" Type="http://schemas.openxmlformats.org/officeDocument/2006/relationships/hyperlink" Target="http://10.32.16.105/systest/products/Accessories/pluggable_transceiver/results/SFP/AT-SPTX2_Delta/x600-48Ts" TargetMode="External"/><Relationship Id="rId1410" Type="http://schemas.openxmlformats.org/officeDocument/2006/relationships/hyperlink" Target="https://intranet.atlnz.lc/systest/Jira_Reports/testExecReport/jiraExecReport.php?testPlanKey=428&amp;projectKey=TQUALTCM&amp;Report=Report" TargetMode="External"/><Relationship Id="rId1508" Type="http://schemas.openxmlformats.org/officeDocument/2006/relationships/hyperlink" Target="https://jira.atlnz.lc/secure/Tests.jspa" TargetMode="External"/><Relationship Id="rId212" Type="http://schemas.openxmlformats.org/officeDocument/2006/relationships/hyperlink" Target="https://intranet.atlnz.lc/systest/Jira_Reports/testExecReport/jiraExecReport.php?testPlanKey=370,371&amp;projectKey=TQUALTCM&amp;Report=Report" TargetMode="External"/><Relationship Id="rId657" Type="http://schemas.openxmlformats.org/officeDocument/2006/relationships/hyperlink" Target="http://10.32.16.105/systest/Reports/TestLink/SuiteExecC.php?plan=123414&amp;rep=F&amp;platform=180" TargetMode="External"/><Relationship Id="rId864" Type="http://schemas.openxmlformats.org/officeDocument/2006/relationships/hyperlink" Target="http://10.32.16.105/systest/products/Accessories/pluggable_transceiver/results/SFP/AT-SPBDM-A_B_APACOpto/x900-12XT_S" TargetMode="External"/><Relationship Id="rId1494" Type="http://schemas.openxmlformats.org/officeDocument/2006/relationships/hyperlink" Target="https://wallace4.atlnz.lc/systest/Jira_Reports/testExecReport/jiraExecReport_wallace4.php?testPlanKey=144&amp;projectKey=TQUALTCM&amp;Report=Report" TargetMode="External"/><Relationship Id="rId296" Type="http://schemas.openxmlformats.org/officeDocument/2006/relationships/hyperlink" Target="https://intranet.atlnz.lc/systest/Jira_Reports/testExecReport/jiraExecReport.php?testPlanKey=18,145&amp;projectKey=TQUALTCM&amp;Report=Report" TargetMode="External"/><Relationship Id="rId517" Type="http://schemas.openxmlformats.org/officeDocument/2006/relationships/hyperlink" Target="http://10.32.16.105/systest/Reports/TestLink/SuiteExecC.php?plan=96099&amp;rep=F&amp;platform=98" TargetMode="External"/><Relationship Id="rId724" Type="http://schemas.openxmlformats.org/officeDocument/2006/relationships/hyperlink" Target="http://10.32.16.105/systest/Reports/TestLink/SuiteExecC.php?plan=159000&amp;rep=F&amp;platform=225" TargetMode="External"/><Relationship Id="rId931" Type="http://schemas.openxmlformats.org/officeDocument/2006/relationships/hyperlink" Target="https://jira.atlnz.lc/secure/Tests.jspa" TargetMode="External"/><Relationship Id="rId1147" Type="http://schemas.openxmlformats.org/officeDocument/2006/relationships/hyperlink" Target="http://10.32.16.105/systest/products/Accessories/pluggable_transceiver/results/SFP/AT-SPBD10-13_Sumitomo_SBP6H44-AM-BN-31/x900-12XT_S" TargetMode="External"/><Relationship Id="rId1354" Type="http://schemas.openxmlformats.org/officeDocument/2006/relationships/hyperlink" Target="https://intranet.atlnz.lc/systest/Jira_Reports/testExecReport/jiraExecReport.php?testPlanKey=440&amp;projectKey=TQUALTCM&amp;Report=Report" TargetMode="External"/><Relationship Id="rId1561" Type="http://schemas.openxmlformats.org/officeDocument/2006/relationships/hyperlink" Target="http://10.32.16.105/systest/products/Accessories/pluggable_transceiver/results/SFP/AT-SPBD10-14_Delta_RevB/x900-12XT_S" TargetMode="External"/><Relationship Id="rId60" Type="http://schemas.openxmlformats.org/officeDocument/2006/relationships/hyperlink" Target="http://10.32.16.105/systest/Reports/TestLink/SuiteExecC.php?plan=95948&amp;rep=F&amp;platform=233" TargetMode="External"/><Relationship Id="rId156" Type="http://schemas.openxmlformats.org/officeDocument/2006/relationships/hyperlink" Target="http://10.32.16.105/systest/Reports/TestLink/SuiteExecC.php?plan=453806&amp;rep=F&amp;platform=1052" TargetMode="External"/><Relationship Id="rId363" Type="http://schemas.openxmlformats.org/officeDocument/2006/relationships/hyperlink" Target="http://10.32.16.105/systest/Reports/TestLink/SuiteExecC.php?plan=150484&amp;rep=F&amp;platform=183" TargetMode="External"/><Relationship Id="rId570" Type="http://schemas.openxmlformats.org/officeDocument/2006/relationships/hyperlink" Target="http://10.32.16.105/systest/Reports/TestLink/SuiteExecC.php?plan=458763&amp;rep=F&amp;platform=181" TargetMode="External"/><Relationship Id="rId1007" Type="http://schemas.openxmlformats.org/officeDocument/2006/relationships/hyperlink" Target="https://intranet.atlnz.lc/systest/Jira_Reports/testExecReport/jiraExecReport.php?testPlanKey=370,371&amp;projectKey=TQUALTCM&amp;Report=Report" TargetMode="External"/><Relationship Id="rId1214" Type="http://schemas.openxmlformats.org/officeDocument/2006/relationships/hyperlink" Target="http://10.32.16.105/systest/Reports/TestLink/SuiteExecC.php?plan=309805&amp;rep=F&amp;platform=179" TargetMode="External"/><Relationship Id="rId1421" Type="http://schemas.openxmlformats.org/officeDocument/2006/relationships/hyperlink" Target="https://intranet.atlnz.lc/systest/Jira_Reports/testExecReport/jiraExecReport.php?testPlanKey=496,497&amp;projectKey=TQUALTCM&amp;Report=Report" TargetMode="External"/><Relationship Id="rId223" Type="http://schemas.openxmlformats.org/officeDocument/2006/relationships/hyperlink" Target="http://10.32.16.105/systest/Reports/TestLink/SuiteExecC.php?plan=479406&amp;rep=F&amp;platform=203" TargetMode="External"/><Relationship Id="rId430" Type="http://schemas.openxmlformats.org/officeDocument/2006/relationships/hyperlink" Target="http://10.32.16.105/systest/Reports/TestLink/SuiteExecC.php?plan=458763&amp;rep=F&amp;platform=184" TargetMode="External"/><Relationship Id="rId668" Type="http://schemas.openxmlformats.org/officeDocument/2006/relationships/hyperlink" Target="http://10.32.16.105/systest/products/Accessories/pluggable_transceiver/results_aw+/SFP/1G%20fiber%20SFP/AT-SPSX_RevB_Delta/x600-44" TargetMode="External"/><Relationship Id="rId875" Type="http://schemas.openxmlformats.org/officeDocument/2006/relationships/hyperlink" Target="http://10.32.16.105/systest/products/Accessories/pluggable_transceiver/results/SFP/FIBEREXON-FTM-9301S-S20i/x900-24XS_XEM-12S_Mustang" TargetMode="External"/><Relationship Id="rId1060" Type="http://schemas.openxmlformats.org/officeDocument/2006/relationships/hyperlink" Target="http://10.32.16.105/systest/Reports/TestLink/SuiteExecC.php?plan=442278&amp;rep=F&amp;platform=187" TargetMode="External"/><Relationship Id="rId1298" Type="http://schemas.openxmlformats.org/officeDocument/2006/relationships/hyperlink" Target="http://10.32.16.105/systest/products/Accessories/pluggable_transceiver/results_aw+/SFP/Copper%20SFP/AT-SPTX2_Delta/Switchblade-x908_XEM-12S" TargetMode="External"/><Relationship Id="rId1519" Type="http://schemas.openxmlformats.org/officeDocument/2006/relationships/hyperlink" Target="http://10.32.16.105/systest/Reports/TestLink/SuiteExecC.php?plan=308256&amp;rep=F&amp;platform=225" TargetMode="External"/><Relationship Id="rId18" Type="http://schemas.openxmlformats.org/officeDocument/2006/relationships/hyperlink" Target="http://10.32.16.105/systest/Reports/TestLink/SuiteExecC.php?plan=95948&amp;rep=F&amp;platform=233" TargetMode="External"/><Relationship Id="rId528" Type="http://schemas.openxmlformats.org/officeDocument/2006/relationships/hyperlink" Target="https://jira.atlnz.lc/secure/Tests.jspa" TargetMode="External"/><Relationship Id="rId735" Type="http://schemas.openxmlformats.org/officeDocument/2006/relationships/hyperlink" Target="http://10.32.16.105/systest/Reports/TestLink/SuiteExecC.php?plan=443653&amp;rep=F&amp;platform=225" TargetMode="External"/><Relationship Id="rId942" Type="http://schemas.openxmlformats.org/officeDocument/2006/relationships/hyperlink" Target="https://jira.atlnz.lc/secure/Tests.jspa" TargetMode="External"/><Relationship Id="rId1158" Type="http://schemas.openxmlformats.org/officeDocument/2006/relationships/hyperlink" Target="http://10.32.16.105/systest/Reports/TestLink/SuiteExecC.php?plan=50633&amp;rep=F" TargetMode="External"/><Relationship Id="rId1365" Type="http://schemas.openxmlformats.org/officeDocument/2006/relationships/hyperlink" Target="https://intranet.atlnz.lc/systest/Jira_Reports/testExecReport/jiraExecReport.php?testPlanKey=440&amp;projectKey=TQUALTCM&amp;Report=Report" TargetMode="External"/><Relationship Id="rId1572" Type="http://schemas.openxmlformats.org/officeDocument/2006/relationships/hyperlink" Target="http://10.32.16.105/systest/Reports/TestLink/SuiteExecC.php?plan=150360&amp;rep=F&amp;platform=188" TargetMode="External"/><Relationship Id="rId167" Type="http://schemas.openxmlformats.org/officeDocument/2006/relationships/hyperlink" Target="http://10.32.16.105/systest/Reports/TestLink/SuiteExecC.php?plan=453806&amp;rep=F&amp;platform=1093" TargetMode="External"/><Relationship Id="rId374" Type="http://schemas.openxmlformats.org/officeDocument/2006/relationships/hyperlink" Target="http://10.32.16.105/systest/Reports/TestLink/SuiteExecC.php?plan=75667&amp;rep=F" TargetMode="External"/><Relationship Id="rId581" Type="http://schemas.openxmlformats.org/officeDocument/2006/relationships/hyperlink" Target="http://10.32.16.105/systest/Reports/TestLink/SuiteExecC.php?plan=69211&amp;rep=F" TargetMode="External"/><Relationship Id="rId1018" Type="http://schemas.openxmlformats.org/officeDocument/2006/relationships/hyperlink" Target="https://jira.atlnz.lc/secure/Tests.jspa" TargetMode="External"/><Relationship Id="rId1225" Type="http://schemas.openxmlformats.org/officeDocument/2006/relationships/hyperlink" Target="http://10.32.16.105/systest/Reports/TestLink/SuiteExecC.php?plan=82168&amp;rep=F" TargetMode="External"/><Relationship Id="rId1432" Type="http://schemas.openxmlformats.org/officeDocument/2006/relationships/hyperlink" Target="https://intranet.atlnz.lc/systest/Jira_Reports/testExecReport/jiraExecReport.php?testPlanKey=428&amp;projectKey=TQUALTCM&amp;Report=Report" TargetMode="External"/><Relationship Id="rId71" Type="http://schemas.openxmlformats.org/officeDocument/2006/relationships/hyperlink" Target="http://10.32.16.105/systest/products/Accessories/pluggable_transceiver/results/SFP/AT-SPBD10-13_Delta_RevB/8648T_2SP" TargetMode="External"/><Relationship Id="rId234" Type="http://schemas.openxmlformats.org/officeDocument/2006/relationships/hyperlink" Target="http://10.32.16.105/systest/Reports/TestLink/SuiteExecC.php?plan=120841&amp;rep=F" TargetMode="External"/><Relationship Id="rId679" Type="http://schemas.openxmlformats.org/officeDocument/2006/relationships/hyperlink" Target="https://intranet.atlnz.lc/systest/Jira_Reports/testExecReport/jiraExecReport.php?testPlanKey=29&amp;projectKey=TQUALTCM&amp;Report=Report" TargetMode="External"/><Relationship Id="rId802" Type="http://schemas.openxmlformats.org/officeDocument/2006/relationships/hyperlink" Target="https://jira.atlnz.lc/secure/Tests.jspa" TargetMode="External"/><Relationship Id="rId886" Type="http://schemas.openxmlformats.org/officeDocument/2006/relationships/hyperlink" Target="https://jira.atlnz.lc/secure/Tests.jspa" TargetMode="External"/><Relationship Id="rId2" Type="http://schemas.openxmlformats.org/officeDocument/2006/relationships/hyperlink" Target="http://www.alliedtelesis.com/media/datasheets/8948_ds.pdf" TargetMode="External"/><Relationship Id="rId29" Type="http://schemas.openxmlformats.org/officeDocument/2006/relationships/hyperlink" Target="http://10.32.16.105/systest/products/Accessories/pluggable_transceiver/results/SFP/AT-SPBD10-13_Delta_RevB/8648T_2SP" TargetMode="External"/><Relationship Id="rId441" Type="http://schemas.openxmlformats.org/officeDocument/2006/relationships/hyperlink" Target="https://intranet.atlnz.lc/systest/Jira_Reports/testExecReport/jiraExecReport.php?testPlanKey=233&amp;projectKey=TQUALTCM&amp;Report=Report" TargetMode="External"/><Relationship Id="rId539" Type="http://schemas.openxmlformats.org/officeDocument/2006/relationships/hyperlink" Target="http://10.32.16.105/systest/Reports/TestLink/SuiteExecC.php?plan=478730&amp;rep=F&amp;platform=1138" TargetMode="External"/><Relationship Id="rId746" Type="http://schemas.openxmlformats.org/officeDocument/2006/relationships/hyperlink" Target="http://10.32.16.105/systest/products/Accessories/pluggable_transceiver/results/SFP/AT-SPTX_RevC/XEM-12S" TargetMode="External"/><Relationship Id="rId1071" Type="http://schemas.openxmlformats.org/officeDocument/2006/relationships/hyperlink" Target="http://10.32.16.105/systest/products/Accessories/pluggable_transceiver/results/SFP/AT-SPBD10-13_Sumitomo_SBP6H44-AM-BN-31/x900-24XS" TargetMode="External"/><Relationship Id="rId1169" Type="http://schemas.openxmlformats.org/officeDocument/2006/relationships/hyperlink" Target="http://10.32.16.105/systest/products/Accessories/pluggable_transceiver/results/SFP/AT-SPLX10_RevB/8948" TargetMode="External"/><Relationship Id="rId1376" Type="http://schemas.openxmlformats.org/officeDocument/2006/relationships/hyperlink" Target="https://intranet.atlnz.lc/systest/Jira_Reports/testExecReport/jiraExecReport.php?testPlanKey=440&amp;projectKey=TQUALTCM&amp;Report=Report" TargetMode="External"/><Relationship Id="rId1583" Type="http://schemas.openxmlformats.org/officeDocument/2006/relationships/hyperlink" Target="http://10.32.16.105/systest/products/Accessories/pluggable_transceiver/results/SFP/AT-SPBD10-13_Delta_RevB/x600-24Ts_XP" TargetMode="External"/><Relationship Id="rId178" Type="http://schemas.openxmlformats.org/officeDocument/2006/relationships/hyperlink" Target="http://10.32.16.105/systest/Reports/TestLink/SuiteExecC.php?plan=453806&amp;rep=F&amp;platform=386" TargetMode="External"/><Relationship Id="rId301" Type="http://schemas.openxmlformats.org/officeDocument/2006/relationships/hyperlink" Target="http://10.32.16.105/systest/Reports/TestLink/SuiteExecC.php?plan=309805&amp;rep=F&amp;platform=182" TargetMode="External"/><Relationship Id="rId953" Type="http://schemas.openxmlformats.org/officeDocument/2006/relationships/hyperlink" Target="http://10.32.16.105/systest/Reports/TestLink/SuiteExecC.php?plan=484370&amp;rep=F&amp;platform=1051" TargetMode="External"/><Relationship Id="rId1029" Type="http://schemas.openxmlformats.org/officeDocument/2006/relationships/hyperlink" Target="https://jira.atlnz.lc/secure/Tests.jspa" TargetMode="External"/><Relationship Id="rId1236" Type="http://schemas.openxmlformats.org/officeDocument/2006/relationships/hyperlink" Target="http://10.32.16.105/systest/Reports/TestLink/SuiteExecC.php?plan=123414&amp;rep=F&amp;platform=179" TargetMode="External"/><Relationship Id="rId82" Type="http://schemas.openxmlformats.org/officeDocument/2006/relationships/hyperlink" Target="http://10.32.16.105/systest/Reports/TestLink/SuiteExecC.php?plan=443246&amp;rep=F&amp;platform=202" TargetMode="External"/><Relationship Id="rId385" Type="http://schemas.openxmlformats.org/officeDocument/2006/relationships/hyperlink" Target="http://10.32.16.105/systest/products/Accessories/pluggable_transceiver/results/SFP/AT-SPLX10_RevB/8948" TargetMode="External"/><Relationship Id="rId592" Type="http://schemas.openxmlformats.org/officeDocument/2006/relationships/hyperlink" Target="https://intranet.atlnz.lc/systest/Jira_Reports/testExecReport/jiraExecReport.php?testPlanKey=422&amp;projectKey=TQUALTCM&amp;Report=Report" TargetMode="External"/><Relationship Id="rId606" Type="http://schemas.openxmlformats.org/officeDocument/2006/relationships/hyperlink" Target="https://intranet.atlnz.lc/systest/Jira_Reports/testExecReport/jiraExecReport.php?testPlanKey=422&amp;projectKey=TQUALTCM&amp;Report=Report" TargetMode="External"/><Relationship Id="rId813" Type="http://schemas.openxmlformats.org/officeDocument/2006/relationships/hyperlink" Target="https://intranet.atlnz.lc/systest/Jira_Reports/testExecReport/jiraExecReport.php?testPlanKey=31&amp;projectKey=TQUALTCM&amp;Report=Report" TargetMode="External"/><Relationship Id="rId1443" Type="http://schemas.openxmlformats.org/officeDocument/2006/relationships/hyperlink" Target="https://wallace4.atlnz.lc/systest/Jira_Reports/testExecReport/jiraExecReport_wallace4.php?testPlanKey=480&amp;projectKey=TQUALTCM&amp;Report=Report" TargetMode="External"/><Relationship Id="rId245" Type="http://schemas.openxmlformats.org/officeDocument/2006/relationships/hyperlink" Target="http://10.32.16.105/systest/Reports/TestLink/SuiteExecC.php?plan=476649&amp;rep=F&amp;platform=203" TargetMode="External"/><Relationship Id="rId452" Type="http://schemas.openxmlformats.org/officeDocument/2006/relationships/hyperlink" Target="https://jira.atlnz.lc/secure/Tests.jspa" TargetMode="External"/><Relationship Id="rId897" Type="http://schemas.openxmlformats.org/officeDocument/2006/relationships/hyperlink" Target="https://jira.atlnz.lc/secure/Tests.jspa" TargetMode="External"/><Relationship Id="rId1082" Type="http://schemas.openxmlformats.org/officeDocument/2006/relationships/hyperlink" Target="http://10.32.16.105/systest/Reports/TestLink/SuiteExecC.php?plan=478894&amp;rep=F&amp;platform=187" TargetMode="External"/><Relationship Id="rId1303" Type="http://schemas.openxmlformats.org/officeDocument/2006/relationships/hyperlink" Target="http://10.32.16.105/systest/products/Accessories/pluggable_transceiver/results/SFP/AT-SPTX2_Delta/XEM-12S" TargetMode="External"/><Relationship Id="rId1510" Type="http://schemas.openxmlformats.org/officeDocument/2006/relationships/hyperlink" Target="https://jira.atlnz.lc/secure/Tests.jspa" TargetMode="External"/><Relationship Id="rId105" Type="http://schemas.openxmlformats.org/officeDocument/2006/relationships/hyperlink" Target="http://10.32.16.105/systest/Reports/TestLink/SuiteExecC.php?plan=443246&amp;rep=F&amp;platform=131" TargetMode="External"/><Relationship Id="rId312" Type="http://schemas.openxmlformats.org/officeDocument/2006/relationships/hyperlink" Target="http://10.32.16.105/systest/Reports/TestLink/SuiteExecC.php?plan=75504&amp;rep=F" TargetMode="External"/><Relationship Id="rId757" Type="http://schemas.openxmlformats.org/officeDocument/2006/relationships/hyperlink" Target="http://10.32.16.105/systest/Reports/TestLink/SuiteExecC.php?plan=479406&amp;rep=F&amp;platform=1197" TargetMode="External"/><Relationship Id="rId964" Type="http://schemas.openxmlformats.org/officeDocument/2006/relationships/hyperlink" Target="https://jira.atlnz.lc/secure/Tests.jspa" TargetMode="External"/><Relationship Id="rId1387" Type="http://schemas.openxmlformats.org/officeDocument/2006/relationships/hyperlink" Target="http://10.32.16.105/systest/Reports/TestLink/SuiteExecC.php?plan=158997&amp;rep=F&amp;platform=188" TargetMode="External"/><Relationship Id="rId1594" Type="http://schemas.openxmlformats.org/officeDocument/2006/relationships/hyperlink" Target="http://10.32.16.105/systest/Reports/TestLink/SuiteExecC.php?plan=309805&amp;rep=F&amp;platform=188" TargetMode="External"/><Relationship Id="rId1608" Type="http://schemas.openxmlformats.org/officeDocument/2006/relationships/hyperlink" Target="http://10.32.16.105/systest/Reports/TestLink/SuiteExecC.php?plan=120841&amp;rep=F" TargetMode="External"/><Relationship Id="rId93" Type="http://schemas.openxmlformats.org/officeDocument/2006/relationships/hyperlink" Target="http://10.32.16.105/systest/Reports/TestLink/SuiteExecC.php?plan=443246&amp;rep=F&amp;platform=201" TargetMode="External"/><Relationship Id="rId189" Type="http://schemas.openxmlformats.org/officeDocument/2006/relationships/hyperlink" Target="http://10.32.16.105/systest/Reports/TestLink/SuiteExecC.php?plan=453806&amp;rep=F&amp;platform=1052" TargetMode="External"/><Relationship Id="rId396" Type="http://schemas.openxmlformats.org/officeDocument/2006/relationships/hyperlink" Target="https://jira.atlnz.lc/secure/Tests.jspa" TargetMode="External"/><Relationship Id="rId617" Type="http://schemas.openxmlformats.org/officeDocument/2006/relationships/hyperlink" Target="https://intranet.atlnz.lc/systest/Jira_Reports/testExecReport/jiraExecReport.php?testPlanKey=422&amp;projectKey=TQUALTCM&amp;Report=Report" TargetMode="External"/><Relationship Id="rId824" Type="http://schemas.openxmlformats.org/officeDocument/2006/relationships/hyperlink" Target="http://10.32.16.105/systest/Reports/TestLink/SuiteExecC.php?plan=182009&amp;rep=F&amp;platform=186" TargetMode="External"/><Relationship Id="rId1247" Type="http://schemas.openxmlformats.org/officeDocument/2006/relationships/hyperlink" Target="http://10.32.16.105/systest/products/Accessories/pluggable_transceiver/results/SFP/AT-SPSX_Avago/x600-24Ts-POE" TargetMode="External"/><Relationship Id="rId1454" Type="http://schemas.openxmlformats.org/officeDocument/2006/relationships/hyperlink" Target="https://wallace4.atlnz.lc/systest/Jira_Reports/testExecReport/jiraExecReport_wallace4.php?testPlanKey=136&amp;projectKey=TQUALTCM&amp;Report=Report" TargetMode="External"/><Relationship Id="rId256" Type="http://schemas.openxmlformats.org/officeDocument/2006/relationships/hyperlink" Target="https://jira.atlnz.lc/secure/Tests.jspa" TargetMode="External"/><Relationship Id="rId463" Type="http://schemas.openxmlformats.org/officeDocument/2006/relationships/hyperlink" Target="https://jira.atlnz.lc/secure/Tests.jspa" TargetMode="External"/><Relationship Id="rId670" Type="http://schemas.openxmlformats.org/officeDocument/2006/relationships/hyperlink" Target="http://10.32.16.105/systest/products/Accessories/pluggable_transceiver/results_aw+/SFP/1G%20fiber%20SFP/AT-SPSX_RevB_Delta/x900-24" TargetMode="External"/><Relationship Id="rId1093" Type="http://schemas.openxmlformats.org/officeDocument/2006/relationships/hyperlink" Target="http://10.32.16.105/systest/Reports/TestLink/SuiteExecC.php?plan=309247&amp;rep=F&amp;platform=187" TargetMode="External"/><Relationship Id="rId1107" Type="http://schemas.openxmlformats.org/officeDocument/2006/relationships/hyperlink" Target="http://10.32.16.105/systest/products/Accessories/pluggable_transceiver/results/SFP/AT-SPBD10-14_Sumitomo_SBP6H44-AM-BN-49/x600-24Ts-POE" TargetMode="External"/><Relationship Id="rId1314" Type="http://schemas.openxmlformats.org/officeDocument/2006/relationships/hyperlink" Target="http://10.32.16.105/systest/products/Accessories/pluggable_transceiver/results/SFP/AT-SPFX_40/SPsi" TargetMode="External"/><Relationship Id="rId1521" Type="http://schemas.openxmlformats.org/officeDocument/2006/relationships/hyperlink" Target="http://10.32.16.105/systest/Reports/TestLink/SuiteExecC.php?plan=464959&amp;rep=F&amp;platform=1139" TargetMode="External"/><Relationship Id="rId116" Type="http://schemas.openxmlformats.org/officeDocument/2006/relationships/hyperlink" Target="https://jira.atlnz.lc/secure/Tests.jspa" TargetMode="External"/><Relationship Id="rId323" Type="http://schemas.openxmlformats.org/officeDocument/2006/relationships/hyperlink" Target="http://10.32.16.105/systest/products/Accessories/pluggable_transceiver/results/SFP/AT-SPEX/A65/" TargetMode="External"/><Relationship Id="rId530" Type="http://schemas.openxmlformats.org/officeDocument/2006/relationships/hyperlink" Target="https://jira.atlnz.lc/secure/Tests.jspa" TargetMode="External"/><Relationship Id="rId768" Type="http://schemas.openxmlformats.org/officeDocument/2006/relationships/hyperlink" Target="https://intranet.atlnz.lc/systest/Jira_Reports/testExecReport/jiraExecReport.php?testPlanKey=370,371&amp;projectKey=TQUALTCM&amp;Report=Report" TargetMode="External"/><Relationship Id="rId975" Type="http://schemas.openxmlformats.org/officeDocument/2006/relationships/hyperlink" Target="http://10.32.16.105/systest/Reports/TestLink/SuiteExecC.php?plan=484370&amp;rep=F&amp;platform=201" TargetMode="External"/><Relationship Id="rId1160" Type="http://schemas.openxmlformats.org/officeDocument/2006/relationships/hyperlink" Target="http://10.32.16.105/systest/products/Accessories/pluggable_transceiver/results/SFP/AT-SPLX10_RevB/XEM-12S_SBx908" TargetMode="External"/><Relationship Id="rId1398" Type="http://schemas.openxmlformats.org/officeDocument/2006/relationships/hyperlink" Target="http://10.32.16.105/systest/Reports/TestLink/SuiteExecC.php?plan=150360&amp;rep=F&amp;platform=188" TargetMode="External"/><Relationship Id="rId1619" Type="http://schemas.openxmlformats.org/officeDocument/2006/relationships/hyperlink" Target="http://10.32.16.105/systest/Reports/TestLink/SuiteExecC.php?plan=120841&amp;rep=F" TargetMode="External"/><Relationship Id="rId20" Type="http://schemas.openxmlformats.org/officeDocument/2006/relationships/hyperlink" Target="http://10.32.16.105/systest/Reports/TestLink/SuiteExecC.php?plan=50623&amp;rep=F" TargetMode="External"/><Relationship Id="rId628" Type="http://schemas.openxmlformats.org/officeDocument/2006/relationships/hyperlink" Target="http://10.32.16.105/systest/Reports/TestLink/SuiteExecC.php?plan=478729&amp;rep=F&amp;platform=1052" TargetMode="External"/><Relationship Id="rId835" Type="http://schemas.openxmlformats.org/officeDocument/2006/relationships/hyperlink" Target="http://10.32.16.105/systest/Reports/TestLink/SuiteExecC.php?plan=150200&amp;rep=F&amp;platform=186" TargetMode="External"/><Relationship Id="rId1258" Type="http://schemas.openxmlformats.org/officeDocument/2006/relationships/hyperlink" Target="http://10.32.16.105/systest/products/Accessories/pluggable_transceiver/results/SFP/AT-SPSX_Avago/SB4442" TargetMode="External"/><Relationship Id="rId1465" Type="http://schemas.openxmlformats.org/officeDocument/2006/relationships/hyperlink" Target="https://wallace4.atlnz.lc/systest/Jira_Reports/testExecReport/jiraExecReport_wallace4.php?testPlanKey=117&amp;projectKey=TQUALTCM&amp;Report=Report" TargetMode="External"/><Relationship Id="rId267" Type="http://schemas.openxmlformats.org/officeDocument/2006/relationships/hyperlink" Target="http://10.32.16.105/systest/Reports/TestLink/SuiteExecC.php?plan=120841&amp;rep=F&amp;platform=202" TargetMode="External"/><Relationship Id="rId474" Type="http://schemas.openxmlformats.org/officeDocument/2006/relationships/hyperlink" Target="https://jira.atlnz.lc/secure/Tests.jspa" TargetMode="External"/><Relationship Id="rId1020" Type="http://schemas.openxmlformats.org/officeDocument/2006/relationships/hyperlink" Target="https://jira.atlnz.lc/secure/Tests.jspa" TargetMode="External"/><Relationship Id="rId1118" Type="http://schemas.openxmlformats.org/officeDocument/2006/relationships/hyperlink" Target="http://www.alliedtelesis.com/media/datasheets/sbx908_ds.pdf" TargetMode="External"/><Relationship Id="rId1325" Type="http://schemas.openxmlformats.org/officeDocument/2006/relationships/hyperlink" Target="http://10.32.16.105/systest/products/Accessories/pluggable_transceiver/results/SFP/AT-SPZX80_Delta/x600-48Ts" TargetMode="External"/><Relationship Id="rId1532" Type="http://schemas.openxmlformats.org/officeDocument/2006/relationships/hyperlink" Target="http://10.32.16.105/systest/Reports/TestLink/SuiteExecC.php?plan=308258&amp;rep=F&amp;platform=184" TargetMode="External"/><Relationship Id="rId127" Type="http://schemas.openxmlformats.org/officeDocument/2006/relationships/hyperlink" Target="http://10.32.16.105/systest/Reports/TestLink/SuiteExecC.php?plan=443246&amp;rep=F&amp;platform=172" TargetMode="External"/><Relationship Id="rId681" Type="http://schemas.openxmlformats.org/officeDocument/2006/relationships/hyperlink" Target="http://10.32.16.105/systest/Reports/TestLink/SuiteExecC.php?plan=464959&amp;rep=F&amp;platform=1051" TargetMode="External"/><Relationship Id="rId779" Type="http://schemas.openxmlformats.org/officeDocument/2006/relationships/hyperlink" Target="http://10.32.16.105/systest/Reports/TestLink/SuiteExecC.php?plan=309247&amp;rep=F&amp;platform=350" TargetMode="External"/><Relationship Id="rId902" Type="http://schemas.openxmlformats.org/officeDocument/2006/relationships/hyperlink" Target="https://jira.atlnz.lc/secure/Tests.jspa" TargetMode="External"/><Relationship Id="rId986" Type="http://schemas.openxmlformats.org/officeDocument/2006/relationships/hyperlink" Target="http://10.32.16.105/systest/Reports/TestLink/SuiteExecC.php?plan=484370&amp;rep=F&amp;platform=1091" TargetMode="External"/><Relationship Id="rId31" Type="http://schemas.openxmlformats.org/officeDocument/2006/relationships/hyperlink" Target="http://10.32.16.105/systest/products/Accessories/pluggable_transceiver/results/SFP/AT-SPBD10-13_Delta_RevB/A65_8624T_2M" TargetMode="External"/><Relationship Id="rId334" Type="http://schemas.openxmlformats.org/officeDocument/2006/relationships/hyperlink" Target="http://10.32.16.105/systest/Reports/TestLink/SuiteExecC.php?plan=479406&amp;rep=F&amp;platform=1194" TargetMode="External"/><Relationship Id="rId541" Type="http://schemas.openxmlformats.org/officeDocument/2006/relationships/hyperlink" Target="https://intranet.atlnz.lc/systest/Jira_Reports/testExecReport/jiraExecReport.php?testPlanKey=25&amp;projectKey=TQUALTCM&amp;Report=Report" TargetMode="External"/><Relationship Id="rId639" Type="http://schemas.openxmlformats.org/officeDocument/2006/relationships/hyperlink" Target="http://10.32.16.105/systest/Reports/TestLink/SuiteExecC.php?plan=153890&amp;rep=F&amp;platform=180" TargetMode="External"/><Relationship Id="rId1171" Type="http://schemas.openxmlformats.org/officeDocument/2006/relationships/hyperlink" Target="http://10.32.16.105/systest/products/Accessories/pluggable_transceiver/results/SFP/AT-SPLX10_RevB/XEM-12S_SBx908" TargetMode="External"/><Relationship Id="rId1269" Type="http://schemas.openxmlformats.org/officeDocument/2006/relationships/hyperlink" Target="http://10.32.16.105/systest/products/Accessories/pluggable_transceiver/results/SFP/AT-SPSX_Delta/8948i" TargetMode="External"/><Relationship Id="rId1476" Type="http://schemas.openxmlformats.org/officeDocument/2006/relationships/hyperlink" Target="http://10.32.16.105/systest/Reports/TestLink/SuiteExecC.php?plan=123414&amp;rep=F&amp;platform=185" TargetMode="External"/><Relationship Id="rId180" Type="http://schemas.openxmlformats.org/officeDocument/2006/relationships/hyperlink" Target="https://intranet.atlnz.lc/systest/Jira_Reports/testExecReport/jiraExecReport.php?testPlanKey=370,371&amp;projectKey=TQUALTCM&amp;Report=Report" TargetMode="External"/><Relationship Id="rId278" Type="http://schemas.openxmlformats.org/officeDocument/2006/relationships/hyperlink" Target="https://jira.atlnz.lc/secure/Tests.jspa" TargetMode="External"/><Relationship Id="rId401" Type="http://schemas.openxmlformats.org/officeDocument/2006/relationships/hyperlink" Target="http://10.32.16.105/systest/Reports/TestLink/SuiteExecC.php?plan=478731&amp;rep=F&amp;platform=1053" TargetMode="External"/><Relationship Id="rId846" Type="http://schemas.openxmlformats.org/officeDocument/2006/relationships/hyperlink" Target="http://10.32.16.105/systest/Reports/TestLink/SuiteExecC.php?plan=144574&amp;rep=F&amp;platform=127" TargetMode="External"/><Relationship Id="rId1031" Type="http://schemas.openxmlformats.org/officeDocument/2006/relationships/hyperlink" Target="https://jira.atlnz.lc/secure/Tests.jspa" TargetMode="External"/><Relationship Id="rId1129" Type="http://schemas.openxmlformats.org/officeDocument/2006/relationships/hyperlink" Target="http://10.32.16.105/systest/products/Accessories/pluggable_transceiver/results/SFP/SumitomoElectric-SBP6F44-AM-BN-49_Single_Fiber_1G/XEM-12S" TargetMode="External"/><Relationship Id="rId485" Type="http://schemas.openxmlformats.org/officeDocument/2006/relationships/hyperlink" Target="http://10.32.16.105/systest/Reports/TestLink/SuiteExecC.php?plan=190066&amp;rep=F&amp;platform=185" TargetMode="External"/><Relationship Id="rId692" Type="http://schemas.openxmlformats.org/officeDocument/2006/relationships/hyperlink" Target="https://jira.atlnz.lc/secure/Tests.jspa" TargetMode="External"/><Relationship Id="rId706" Type="http://schemas.openxmlformats.org/officeDocument/2006/relationships/hyperlink" Target="http://10.32.16.105/systest/Reports/TestLink/SuiteExecC.php?plan=464959&amp;rep=F&amp;platform=99" TargetMode="External"/><Relationship Id="rId913" Type="http://schemas.openxmlformats.org/officeDocument/2006/relationships/hyperlink" Target="https://jira.atlnz.lc/secure/Tests.jspa" TargetMode="External"/><Relationship Id="rId1336" Type="http://schemas.openxmlformats.org/officeDocument/2006/relationships/hyperlink" Target="http://10.32.16.105/systest/Reports/TestLink/SuiteExecC.php?plan=75670&amp;rep=F" TargetMode="External"/><Relationship Id="rId1543" Type="http://schemas.openxmlformats.org/officeDocument/2006/relationships/hyperlink" Target="https://jira.atlnz.lc/secure/Tests.jspa" TargetMode="External"/><Relationship Id="rId42" Type="http://schemas.openxmlformats.org/officeDocument/2006/relationships/hyperlink" Target="https://intranet.atlnz.lc/systest/Jira_Reports/testExecReport/jiraExecReport.php?testPlanKey=370,371&amp;projectKey=TQUALTCM&amp;Report=Report" TargetMode="External"/><Relationship Id="rId138" Type="http://schemas.openxmlformats.org/officeDocument/2006/relationships/hyperlink" Target="https://intranet.atlnz.lc/systest/Jira_Reports/testExecReport/jiraExecReport.php?testPlanKey=39&amp;projectKey=TQUALTCM&amp;Report=Report" TargetMode="External"/><Relationship Id="rId345" Type="http://schemas.openxmlformats.org/officeDocument/2006/relationships/hyperlink" Target="http://10.32.16.105/systest/Reports/TestLink/SuiteExecC.php?plan=153890&amp;rep=F&amp;platform=183" TargetMode="External"/><Relationship Id="rId552" Type="http://schemas.openxmlformats.org/officeDocument/2006/relationships/hyperlink" Target="https://jira.atlnz.lc/secure/Tests.jspa" TargetMode="External"/><Relationship Id="rId997" Type="http://schemas.openxmlformats.org/officeDocument/2006/relationships/hyperlink" Target="https://jira.atlnz.lc/secure/Tests.jspa" TargetMode="External"/><Relationship Id="rId1182" Type="http://schemas.openxmlformats.org/officeDocument/2006/relationships/hyperlink" Target="http://10.32.16.105/systest/products/Accessories/pluggable_transceiver/results/SFP/AT-SPLX-10_Delta/x900-24XS" TargetMode="External"/><Relationship Id="rId1403" Type="http://schemas.openxmlformats.org/officeDocument/2006/relationships/hyperlink" Target="https://intranet.atlnz.lc/systest/Jira_Reports/testExecReport/jiraExecReport.php?testPlanKey=440&amp;projectKey=TQUALTCM&amp;Report=Report" TargetMode="External"/><Relationship Id="rId1610" Type="http://schemas.openxmlformats.org/officeDocument/2006/relationships/hyperlink" Target="http://10.32.16.105/systest/Reports/TestLink/SuiteExecC.php?plan=120841&amp;rep=F&amp;platform=127" TargetMode="External"/><Relationship Id="rId191" Type="http://schemas.openxmlformats.org/officeDocument/2006/relationships/hyperlink" Target="http://10.32.16.105/systest/Reports/TestLink/SuiteExecC.php?plan=453806&amp;rep=F&amp;platform=1053" TargetMode="External"/><Relationship Id="rId205" Type="http://schemas.openxmlformats.org/officeDocument/2006/relationships/hyperlink" Target="http://10.32.16.105/systest/Reports/TestLink/SuiteExecC.php?plan=190066&amp;rep=F&amp;platform=203" TargetMode="External"/><Relationship Id="rId412" Type="http://schemas.openxmlformats.org/officeDocument/2006/relationships/hyperlink" Target="https://intranet.atlnz.lc/systest/Jira_Reports/testExecReport/jiraExecReport.php?testPlanKey=370,371&amp;projectKey=TQUALTCM&amp;Report=Report" TargetMode="External"/><Relationship Id="rId857" Type="http://schemas.openxmlformats.org/officeDocument/2006/relationships/hyperlink" Target="http://10.32.16.105/systest/products/Accessories/pluggable_transceiver/results/SFP/AT-SPBDM-A_B_APACOpto/x600-48Ts" TargetMode="External"/><Relationship Id="rId1042" Type="http://schemas.openxmlformats.org/officeDocument/2006/relationships/hyperlink" Target="http://10.32.16.105/systest/Reports/TestLink/SuiteExecC.php?plan=309805&amp;rep=F&amp;platform=187" TargetMode="External"/><Relationship Id="rId1487" Type="http://schemas.openxmlformats.org/officeDocument/2006/relationships/hyperlink" Target="http://10.32.16.105/systest/Reports/TestLink/SuiteExecC.php?plan=96099&amp;rep=F&amp;platform=93" TargetMode="External"/><Relationship Id="rId289" Type="http://schemas.openxmlformats.org/officeDocument/2006/relationships/hyperlink" Target="https://intranet.atlnz.lc/systest/Jira_Reports/testExecReport/jiraExecReport.php?testPlanKey=18,134&amp;projectKey=TQUALTCM&amp;Report=Report" TargetMode="External"/><Relationship Id="rId496" Type="http://schemas.openxmlformats.org/officeDocument/2006/relationships/hyperlink" Target="http://10.32.16.105/systest/Reports/TestLink/SuiteExecC.php?plan=480293&amp;rep=F&amp;platform=185" TargetMode="External"/><Relationship Id="rId717" Type="http://schemas.openxmlformats.org/officeDocument/2006/relationships/hyperlink" Target="http://10.32.16.105/systest/Reports/TestLink/SuiteExecC.php?plan=478894&amp;rep=F&amp;platform=203" TargetMode="External"/><Relationship Id="rId924" Type="http://schemas.openxmlformats.org/officeDocument/2006/relationships/hyperlink" Target="https://jira.atlnz.lc/secure/Tests.jspa" TargetMode="External"/><Relationship Id="rId1347" Type="http://schemas.openxmlformats.org/officeDocument/2006/relationships/hyperlink" Target="http://10.32.16.105/systest/products/Accessories/pluggable_transceiver/results_aw+/SFP/1G%20fiber%20SFP/AT-SPSX_RevBC/XEM-12S_SBx908" TargetMode="External"/><Relationship Id="rId1554" Type="http://schemas.openxmlformats.org/officeDocument/2006/relationships/hyperlink" Target="http://10.32.16.105/systest/Reports/TestLink/SuiteExecC.php?plan=95948&amp;rep=F&amp;platform=202" TargetMode="External"/><Relationship Id="rId53" Type="http://schemas.openxmlformats.org/officeDocument/2006/relationships/hyperlink" Target="http://10.32.16.105/systest/Reports/TestLink/SuiteExecC.php?plan=479406&amp;rep=F&amp;platform=188" TargetMode="External"/><Relationship Id="rId149" Type="http://schemas.openxmlformats.org/officeDocument/2006/relationships/hyperlink" Target="http://10.32.16.105/systest/Reports/TestLink/SuiteExecC.php?plan=453806&amp;rep=F&amp;platform=390" TargetMode="External"/><Relationship Id="rId356" Type="http://schemas.openxmlformats.org/officeDocument/2006/relationships/hyperlink" Target="https://jira.atlnz.lc/secure/Tests.jspa" TargetMode="External"/><Relationship Id="rId563" Type="http://schemas.openxmlformats.org/officeDocument/2006/relationships/hyperlink" Target="http://10.32.16.105/systest/Reports/TestLink/SuiteExecC.php?plan=479407&amp;rep=F&amp;platform=181" TargetMode="External"/><Relationship Id="rId770" Type="http://schemas.openxmlformats.org/officeDocument/2006/relationships/hyperlink" Target="https://jira.atlnz.lc/secure/Tests.jspa" TargetMode="External"/><Relationship Id="rId1193" Type="http://schemas.openxmlformats.org/officeDocument/2006/relationships/hyperlink" Target="http://10.32.16.105/systest/products/Accessories/pluggable_transceiver/results/SFP/WTD-RTXM191_AT-SPLX30/9924T4SP_&amp;_AT-8948" TargetMode="External"/><Relationship Id="rId1207" Type="http://schemas.openxmlformats.org/officeDocument/2006/relationships/hyperlink" Target="http://10.32.16.105/systest/products/Accessories/pluggable_transceiver/results/SFP/AT-SPLX-40_Delta/8648T_2SP" TargetMode="External"/><Relationship Id="rId1414" Type="http://schemas.openxmlformats.org/officeDocument/2006/relationships/hyperlink" Target="https://wallace4.atlnz.lc/systest/Jira_Reports/testExecReport/jiraExecReport_wallace4.php?testPlanKey=504&amp;projectKey=TQUALTCM&amp;Report=Report" TargetMode="External"/><Relationship Id="rId1621" Type="http://schemas.openxmlformats.org/officeDocument/2006/relationships/hyperlink" Target="http://10.32.16.105/systest/Reports/TestLink/SuiteExecC.php?plan=458763&amp;rep=F&amp;platform=203" TargetMode="External"/><Relationship Id="rId216" Type="http://schemas.openxmlformats.org/officeDocument/2006/relationships/hyperlink" Target="https://jira.atlnz.lc/secure/Tests.jspa" TargetMode="External"/><Relationship Id="rId423" Type="http://schemas.openxmlformats.org/officeDocument/2006/relationships/hyperlink" Target="http://10.32.16.105/systest/Reports/TestLink/SuiteExecC.php?plan=479406&amp;rep=F&amp;platform=184" TargetMode="External"/><Relationship Id="rId868" Type="http://schemas.openxmlformats.org/officeDocument/2006/relationships/hyperlink" Target="http://10.32.16.105/systest/products/Accessories/pluggable_transceiver/results/SFP/FIBEREXON-FTM-9301C-SL20i/x900-24XS_XEM-12S_Mustang" TargetMode="External"/><Relationship Id="rId1053" Type="http://schemas.openxmlformats.org/officeDocument/2006/relationships/hyperlink" Target="http://10.32.16.105/systest/Reports/TestLink/SuiteExecC.php?plan=309247&amp;rep=F&amp;platform=187" TargetMode="External"/><Relationship Id="rId1260" Type="http://schemas.openxmlformats.org/officeDocument/2006/relationships/hyperlink" Target="http://10.32.16.105/systest/products/Accessories/pluggable_transceiver/results_aw+/SFP/1G%20fiber%20SFP/AT-SPSX_RevC_Delta/x600-24" TargetMode="External"/><Relationship Id="rId1498" Type="http://schemas.openxmlformats.org/officeDocument/2006/relationships/hyperlink" Target="http://10.32.16.105/systest/Reports/TestLink/SuiteExecC.php?plan=308258&amp;rep=F&amp;platform=179" TargetMode="External"/><Relationship Id="rId630" Type="http://schemas.openxmlformats.org/officeDocument/2006/relationships/hyperlink" Target="http://10.32.16.105/systest/Reports/TestLink/SuiteExecC.php?plan=479406&amp;rep=F&amp;platform=1193" TargetMode="External"/><Relationship Id="rId728" Type="http://schemas.openxmlformats.org/officeDocument/2006/relationships/hyperlink" Target="https://jira.atlnz.lc/secure/Tests.jspa" TargetMode="External"/><Relationship Id="rId935" Type="http://schemas.openxmlformats.org/officeDocument/2006/relationships/hyperlink" Target="https://jira.atlnz.lc/secure/Tests.jspa" TargetMode="External"/><Relationship Id="rId1358" Type="http://schemas.openxmlformats.org/officeDocument/2006/relationships/hyperlink" Target="https://intranet.atlnz.lc/systest/Jira_Reports/testExecReport/jiraExecReport.php?testPlanKey=440&amp;projectKey=TQUALTCM&amp;Report=Report" TargetMode="External"/><Relationship Id="rId1565" Type="http://schemas.openxmlformats.org/officeDocument/2006/relationships/hyperlink" Target="http://10.32.16.105/systest/products/Accessories/pluggable_transceiver/results/SFP/AT-SPBD10-13_Delta_RevB/AR570S" TargetMode="External"/><Relationship Id="rId64" Type="http://schemas.openxmlformats.org/officeDocument/2006/relationships/hyperlink" Target="http://10.32.16.105/systest/Reports/TestLink/SuiteExecC.php?plan=82161&amp;rep=F" TargetMode="External"/><Relationship Id="rId367" Type="http://schemas.openxmlformats.org/officeDocument/2006/relationships/hyperlink" Target="http://10.32.16.105/systest/Reports/TestLink/SuiteExecC.php?plan=442278&amp;rep=F&amp;platform=183" TargetMode="External"/><Relationship Id="rId574" Type="http://schemas.openxmlformats.org/officeDocument/2006/relationships/hyperlink" Target="http://10.32.16.105/systest/Reports/TestLink/SuiteExecC.php?plan=68116&amp;rep=F" TargetMode="External"/><Relationship Id="rId1120" Type="http://schemas.openxmlformats.org/officeDocument/2006/relationships/hyperlink" Target="http://10.32.16.105/systest/products/Accessories/pluggable_transceiver/results/SFP/SumitomoElectric-SBP6F44-AM-BN-49_Single_Fiber_1G/8948i" TargetMode="External"/><Relationship Id="rId1218" Type="http://schemas.openxmlformats.org/officeDocument/2006/relationships/hyperlink" Target="http://10.32.16.105/systest/Reports/TestLink/SuiteExecC.php?plan=153890&amp;rep=F&amp;platform=179" TargetMode="External"/><Relationship Id="rId1425" Type="http://schemas.openxmlformats.org/officeDocument/2006/relationships/hyperlink" Target="https://intranet.atlnz.lc/systest/Jira_Reports/testExecReport/jiraExecReport.php?testPlanKey=488,489&amp;projectKey=TQUALTCM&amp;Report=Report" TargetMode="External"/><Relationship Id="rId227" Type="http://schemas.openxmlformats.org/officeDocument/2006/relationships/hyperlink" Target="http://10.32.16.105/systest/Reports/TestLink/SuiteExecC.php?plan=123414&amp;rep=F&amp;platform=203" TargetMode="External"/><Relationship Id="rId781" Type="http://schemas.openxmlformats.org/officeDocument/2006/relationships/hyperlink" Target="http://10.32.16.105/systest/Reports/TestLink/SuiteExecC.php?plan=479407&amp;rep=F&amp;platform=350" TargetMode="External"/><Relationship Id="rId879" Type="http://schemas.openxmlformats.org/officeDocument/2006/relationships/hyperlink" Target="http://10.32.16.105/systest/products/Accessories/pluggable_transceiver/results_aw+/SFP/100M%20fiber%20SFP/Fiberxon_FTM-9501S-S20iG/x900-12XT-S" TargetMode="External"/><Relationship Id="rId1632" Type="http://schemas.openxmlformats.org/officeDocument/2006/relationships/hyperlink" Target="http://10.32.16.105/systest/Reports/TestLink/SuiteExecC.php?plan=120841&amp;rep=F&amp;platform=133" TargetMode="External"/><Relationship Id="rId434" Type="http://schemas.openxmlformats.org/officeDocument/2006/relationships/hyperlink" Target="http://intranet.alliedtelesyn.co.nz/systest/Reports/TestLink/SuiteExecC.php?plan=92175&amp;platform=67&amp;rep=f" TargetMode="External"/><Relationship Id="rId641" Type="http://schemas.openxmlformats.org/officeDocument/2006/relationships/hyperlink" Target="https://jira.atlnz.lc/secure/Tests.jspa" TargetMode="External"/><Relationship Id="rId739" Type="http://schemas.openxmlformats.org/officeDocument/2006/relationships/hyperlink" Target="http://10.32.16.105/systest/products/Accessories/pluggable_transceiver/results/SFP/AT-SPTX_RevC/XEM-12S" TargetMode="External"/><Relationship Id="rId1064" Type="http://schemas.openxmlformats.org/officeDocument/2006/relationships/hyperlink" Target="http://10.32.16.105/systest/Reports/TestLink/SuiteExecC.php?plan=130431&amp;rep=F&amp;platform=99" TargetMode="External"/><Relationship Id="rId1271" Type="http://schemas.openxmlformats.org/officeDocument/2006/relationships/hyperlink" Target="http://10.32.16.105/systest/products/Accessories/pluggable_transceiver/results/SFP/AT-SPSX_Delta/SPsi" TargetMode="External"/><Relationship Id="rId1369" Type="http://schemas.openxmlformats.org/officeDocument/2006/relationships/hyperlink" Target="https://intranet.atlnz.lc/systest/Jira_Reports/testExecReport/jiraExecReport.php?testPlanKey=440&amp;projectKey=TQUALTCM&amp;Report=Report" TargetMode="External"/><Relationship Id="rId1576" Type="http://schemas.openxmlformats.org/officeDocument/2006/relationships/hyperlink" Target="http://10.32.16.105/systest/Reports/TestLink/SuiteExecC.php?plan=458763&amp;rep=F&amp;platform=188" TargetMode="External"/><Relationship Id="rId280" Type="http://schemas.openxmlformats.org/officeDocument/2006/relationships/hyperlink" Target="http://10.32.16.105/systest/Reports/TestLink/SuiteExecC.php?plan=190066&amp;rep=F&amp;platform=182" TargetMode="External"/><Relationship Id="rId501" Type="http://schemas.openxmlformats.org/officeDocument/2006/relationships/hyperlink" Target="https://jira.atlnz.lc/secure/Tests.jspa" TargetMode="External"/><Relationship Id="rId946" Type="http://schemas.openxmlformats.org/officeDocument/2006/relationships/hyperlink" Target="https://jira.atlnz.lc/secure/Tests.jspa" TargetMode="External"/><Relationship Id="rId1131" Type="http://schemas.openxmlformats.org/officeDocument/2006/relationships/hyperlink" Target="http://10.32.16.105/systest/products/Accessories/pluggable_transceiver/results/SFP/SumitomoElectric-SBP6F44-AM-BN-49_Single_Fiber_1G/Switchblade" TargetMode="External"/><Relationship Id="rId1229" Type="http://schemas.openxmlformats.org/officeDocument/2006/relationships/hyperlink" Target="http://10.32.16.105/systest/Reports/TestLink/SuiteExecC.php?plan=95955&amp;rep=F&amp;platform=201" TargetMode="External"/><Relationship Id="rId75" Type="http://schemas.openxmlformats.org/officeDocument/2006/relationships/hyperlink" Target="http://10.32.16.105/systest/products/Accessories/pluggable_transceiver/results/SFP/AT-SPBD10-13_Delta_RevB/SB4442_V2" TargetMode="External"/><Relationship Id="rId140" Type="http://schemas.openxmlformats.org/officeDocument/2006/relationships/hyperlink" Target="http://10.32.16.105/systest/Reports/TestLink/SuiteExecC.php?plan=453806&amp;rep=F&amp;platform=390" TargetMode="External"/><Relationship Id="rId378" Type="http://schemas.openxmlformats.org/officeDocument/2006/relationships/hyperlink" Target="http://10.32.16.105/systest/products/Accessories/pluggable_transceiver/results/SFP/AT-SPLX10_RevB/x600-48Ts" TargetMode="External"/><Relationship Id="rId585" Type="http://schemas.openxmlformats.org/officeDocument/2006/relationships/hyperlink" Target="http://10.32.16.105/systest/Reports/TestLink/SuiteExecC.php?plan=67775&amp;rep=F" TargetMode="External"/><Relationship Id="rId792" Type="http://schemas.openxmlformats.org/officeDocument/2006/relationships/hyperlink" Target="http://10.32.16.105/systest/Reports/TestLink/SuiteExecC.php?plan=151508&amp;rep=F&amp;platform=127" TargetMode="External"/><Relationship Id="rId806" Type="http://schemas.openxmlformats.org/officeDocument/2006/relationships/hyperlink" Target="http://intranet.atlnz.lc/systest/Reports/TestLink/SuiteExecC.php?plan=486647&amp;rep=F&amp;platform=1265" TargetMode="External"/><Relationship Id="rId1436" Type="http://schemas.openxmlformats.org/officeDocument/2006/relationships/hyperlink" Target="https://wallace4.atlnz.lc/systest/Jira_Reports/testExecReport/jiraExecReport_wallace4.php?testPlanKey=516&amp;projectKey=TQUALTCM&amp;Report=Report" TargetMode="External"/><Relationship Id="rId6" Type="http://schemas.openxmlformats.org/officeDocument/2006/relationships/hyperlink" Target="http://www.alliedtelesis.com/media/datasheets/8948_ds.pdf" TargetMode="External"/><Relationship Id="rId238" Type="http://schemas.openxmlformats.org/officeDocument/2006/relationships/hyperlink" Target="http://10.32.16.105/systest/Reports/TestLink/SuiteExecC.php?plan=120841&amp;rep=F" TargetMode="External"/><Relationship Id="rId445" Type="http://schemas.openxmlformats.org/officeDocument/2006/relationships/hyperlink" Target="https://jira.atlnz.lc/secure/Tests.jspa" TargetMode="External"/><Relationship Id="rId652" Type="http://schemas.openxmlformats.org/officeDocument/2006/relationships/hyperlink" Target="http://10.32.16.105/systest/Reports/TestLink/SuiteExecC.php?plan=309247&amp;rep=F&amp;platform=180" TargetMode="External"/><Relationship Id="rId1075" Type="http://schemas.openxmlformats.org/officeDocument/2006/relationships/hyperlink" Target="http://10.32.16.105/systest/products/Accessories/pluggable_transceiver/results/SFP/AT-SPBD10-13_Sumitomo_SBP6H44-AM-BN-31/x900-48FS" TargetMode="External"/><Relationship Id="rId1282" Type="http://schemas.openxmlformats.org/officeDocument/2006/relationships/hyperlink" Target="http://10.32.16.105/systest/products/Accessories/pluggable_transceiver/results/SFP/AT-SPTX_Delta/XEM-12S" TargetMode="External"/><Relationship Id="rId1503" Type="http://schemas.openxmlformats.org/officeDocument/2006/relationships/hyperlink" Target="http://10.32.16.105/systest/Reports/TestLink/SuiteExecC.php?plan=308256&amp;rep=F&amp;platform=187" TargetMode="External"/><Relationship Id="rId291" Type="http://schemas.openxmlformats.org/officeDocument/2006/relationships/hyperlink" Target="http://10.32.16.105/systest/Reports/TestLink/SuiteExecC.php?plan=122631&amp;rep=F&amp;platform=182" TargetMode="External"/><Relationship Id="rId305" Type="http://schemas.openxmlformats.org/officeDocument/2006/relationships/hyperlink" Target="http://10.32.16.105/systest/Reports/TestLink/SuiteExecC.php?plan=152235&amp;rep=F&amp;platform=182" TargetMode="External"/><Relationship Id="rId512" Type="http://schemas.openxmlformats.org/officeDocument/2006/relationships/hyperlink" Target="http://10.32.16.105/systest/Reports/TestLink/SuiteExecC.php?plan=458763&amp;rep=F&amp;platform=185" TargetMode="External"/><Relationship Id="rId957" Type="http://schemas.openxmlformats.org/officeDocument/2006/relationships/hyperlink" Target="http://10.32.16.105/systest/Reports/TestLink/SuiteExecC.php?plan=484370&amp;rep=F&amp;platform=703" TargetMode="External"/><Relationship Id="rId1142" Type="http://schemas.openxmlformats.org/officeDocument/2006/relationships/hyperlink" Target="http://10.32.16.105/systest/products/Accessories/pluggable_transceiver/results_aw+/SFP/1G%20fiber%20SFP/AT-SPBD10-13_RevS1_Delta/x900-24XS/" TargetMode="External"/><Relationship Id="rId1587" Type="http://schemas.openxmlformats.org/officeDocument/2006/relationships/hyperlink" Target="http://10.32.16.105/systest/products/Accessories/pluggable_transceiver/results/SFP/AT-SPBD10-13_Delta_RevB/9924SP" TargetMode="External"/><Relationship Id="rId86" Type="http://schemas.openxmlformats.org/officeDocument/2006/relationships/hyperlink" Target="https://jira.atlnz.lc/secure/Tests.jspa" TargetMode="External"/><Relationship Id="rId151" Type="http://schemas.openxmlformats.org/officeDocument/2006/relationships/hyperlink" Target="https://jira.atlnz.lc/secure/Tests.jspa" TargetMode="External"/><Relationship Id="rId389" Type="http://schemas.openxmlformats.org/officeDocument/2006/relationships/hyperlink" Target="http://10.32.16.105/systest/products/Accessories/pluggable_transceiver/results/SFP/AT-SPLX10_RevB/SB4442" TargetMode="External"/><Relationship Id="rId596" Type="http://schemas.openxmlformats.org/officeDocument/2006/relationships/hyperlink" Target="https://intranet.atlnz.lc/systest/Jira_Reports/testExecReport/jiraExecReport.php?testPlanKey=422&amp;projectKey=TQUALTCM&amp;Report=Report" TargetMode="External"/><Relationship Id="rId817" Type="http://schemas.openxmlformats.org/officeDocument/2006/relationships/hyperlink" Target="http://10.32.16.105/systest/Reports/TestLink/SuiteExecC.php?plan=476649&amp;rep=F&amp;platform=186" TargetMode="External"/><Relationship Id="rId1002" Type="http://schemas.openxmlformats.org/officeDocument/2006/relationships/hyperlink" Target="https://jira.atlnz.lc/secure/Tests.jspa" TargetMode="External"/><Relationship Id="rId1447" Type="http://schemas.openxmlformats.org/officeDocument/2006/relationships/hyperlink" Target="https://wallace4.atlnz.lc/systest/Jira_Reports/testExecReport/jiraExecReport_wallace4.php?testPlanKey=440&amp;projectKey=TQUALTCM&amp;Report=Report" TargetMode="External"/><Relationship Id="rId249" Type="http://schemas.openxmlformats.org/officeDocument/2006/relationships/hyperlink" Target="https://intranet.atlnz.lc/systest/Jira_Reports/testExecReport/jiraExecReport.php?testPlanKey=370,371&amp;projectKey=TQUALTCM&amp;Report=Report" TargetMode="External"/><Relationship Id="rId456" Type="http://schemas.openxmlformats.org/officeDocument/2006/relationships/hyperlink" Target="https://jira.atlnz.lc/secure/Tests.jspa" TargetMode="External"/><Relationship Id="rId663" Type="http://schemas.openxmlformats.org/officeDocument/2006/relationships/hyperlink" Target="http://10.32.16.105/systest/Reports/TestLink/SuiteExecC.php?plan=50632&amp;rep=F" TargetMode="External"/><Relationship Id="rId870" Type="http://schemas.openxmlformats.org/officeDocument/2006/relationships/hyperlink" Target="http://10.32.16.105/systest/products/Accessories/pluggable_transceiver/results/SFP/FIBEREXON-FTM-9501C-SL20i/x900-24XS_XEM-12S_Mustang" TargetMode="External"/><Relationship Id="rId1086" Type="http://schemas.openxmlformats.org/officeDocument/2006/relationships/hyperlink" Target="http://10.32.16.105/systest/Reports/TestLink/SuiteExecC.php?plan=158999&amp;rep=F&amp;platform=187" TargetMode="External"/><Relationship Id="rId1293" Type="http://schemas.openxmlformats.org/officeDocument/2006/relationships/hyperlink" Target="http://10.32.16.105/systest/products/Accessories/pluggable_transceiver/results/SFP/AT-SPTX2_Delta/8948" TargetMode="External"/><Relationship Id="rId1307" Type="http://schemas.openxmlformats.org/officeDocument/2006/relationships/hyperlink" Target="http://10.32.16.105/systest/products/Accessories/pluggable_transceiver/results_aw+/SFP/1G%20fiber%20SFP/AT-ZX80/x900-12TXs" TargetMode="External"/><Relationship Id="rId1514" Type="http://schemas.openxmlformats.org/officeDocument/2006/relationships/hyperlink" Target="http://intranet.atlnz.lc/systest/Reports/TestLink/SuiteExecC.php?plan=486647&amp;rep=F&amp;platform=706" TargetMode="External"/><Relationship Id="rId13" Type="http://schemas.openxmlformats.org/officeDocument/2006/relationships/hyperlink" Target="http://10.32.16.105/systest/Reports/TestLink/SuiteExecC.php?plan=476649&amp;rep=F&amp;platform=188" TargetMode="External"/><Relationship Id="rId109" Type="http://schemas.openxmlformats.org/officeDocument/2006/relationships/hyperlink" Target="http://10.32.16.105/systest/Reports/TestLink/SuiteExecC.php?plan=443246&amp;rep=F&amp;platform=389" TargetMode="External"/><Relationship Id="rId316" Type="http://schemas.openxmlformats.org/officeDocument/2006/relationships/hyperlink" Target="http://10.32.16.105/systest/products/Accessories/pluggable_transceiver/results_aw+/SFP/1G%20fiber%20SFP/AT-SPEX_Delta/x600-48" TargetMode="External"/><Relationship Id="rId523" Type="http://schemas.openxmlformats.org/officeDocument/2006/relationships/hyperlink" Target="http://10.32.16.105/systest/products/Accessories/pluggable_transceiver/results_aw+/SFP/1G%20fiber%20SFP/AT-SPLX40_Delta/x900-24XS" TargetMode="External"/><Relationship Id="rId968" Type="http://schemas.openxmlformats.org/officeDocument/2006/relationships/hyperlink" Target="http://10.32.16.105/systest/Reports/TestLink/SuiteExecC.php?plan=484370&amp;rep=F&amp;platform=389" TargetMode="External"/><Relationship Id="rId1153" Type="http://schemas.openxmlformats.org/officeDocument/2006/relationships/hyperlink" Target="http://10.32.16.105/systest/products/Accessories/pluggable_transceiver/results_aw+/SFP/100M%20fiber%20SFP/AT-SPFX_40/x900-24XS" TargetMode="External"/><Relationship Id="rId1598" Type="http://schemas.openxmlformats.org/officeDocument/2006/relationships/hyperlink" Target="http://10.32.16.105/systest/Reports/TestLink/SuiteExecC.php?plan=309247&amp;rep=F&amp;platform=203" TargetMode="External"/><Relationship Id="rId97" Type="http://schemas.openxmlformats.org/officeDocument/2006/relationships/hyperlink" Target="http://10.32.16.105/systest/Reports/TestLink/SuiteExecC.php?plan=443246&amp;rep=F&amp;platform=172" TargetMode="External"/><Relationship Id="rId730" Type="http://schemas.openxmlformats.org/officeDocument/2006/relationships/hyperlink" Target="http://10.32.16.105/systest/Reports/TestLink/SuiteExecC.php?plan=95942&amp;rep=F&amp;platform=201" TargetMode="External"/><Relationship Id="rId828" Type="http://schemas.openxmlformats.org/officeDocument/2006/relationships/hyperlink" Target="https://jira.atlnz.lc/secure/Tests.jspa" TargetMode="External"/><Relationship Id="rId1013" Type="http://schemas.openxmlformats.org/officeDocument/2006/relationships/hyperlink" Target="https://jira.atlnz.lc/secure/Tests.jspa" TargetMode="External"/><Relationship Id="rId1360" Type="http://schemas.openxmlformats.org/officeDocument/2006/relationships/hyperlink" Target="https://intranet.atlnz.lc/systest/Jira_Reports/testExecReport/jiraExecReport.php?testPlanKey=440&amp;projectKey=TQUALTCM&amp;Report=Report" TargetMode="External"/><Relationship Id="rId1458" Type="http://schemas.openxmlformats.org/officeDocument/2006/relationships/hyperlink" Target="https://wallace4.atlnz.lc/systest/Jira_Reports/testExecReport/jiraExecReport_wallace4.php?testPlanKey=140&amp;projectKey=TQUALTCM&amp;Report=Report" TargetMode="External"/><Relationship Id="rId162" Type="http://schemas.openxmlformats.org/officeDocument/2006/relationships/hyperlink" Target="http://10.32.16.105/systest/Reports/TestLink/SuiteExecC.php?plan=453806&amp;rep=F&amp;platform=1092" TargetMode="External"/><Relationship Id="rId467" Type="http://schemas.openxmlformats.org/officeDocument/2006/relationships/hyperlink" Target="https://intranet.atlnz.lc/systest/Jira_Reports/testExecReport/jiraExecReport.php?testPlanKey=116,233&amp;projectKey=TQUALTCM&amp;Report=Report" TargetMode="External"/><Relationship Id="rId1097" Type="http://schemas.openxmlformats.org/officeDocument/2006/relationships/hyperlink" Target="http://10.32.16.105/systest/Reports/TestLink/SuiteExecC.php?plan=95949&amp;rep=F" TargetMode="External"/><Relationship Id="rId1220" Type="http://schemas.openxmlformats.org/officeDocument/2006/relationships/hyperlink" Target="http://10.32.16.105/systest/Reports/TestLink/SuiteExecC.php?plan=453983&amp;rep=F&amp;platform=179" TargetMode="External"/><Relationship Id="rId1318" Type="http://schemas.openxmlformats.org/officeDocument/2006/relationships/hyperlink" Target="http://10.32.16.105/systest/Reports/TestLink/SuiteExecC.php?plan=95958&amp;rep=F&amp;platform=233" TargetMode="External"/><Relationship Id="rId1525" Type="http://schemas.openxmlformats.org/officeDocument/2006/relationships/hyperlink" Target="https://intranet.atlnz.lc/systest/Jira_Reports/testExecReport/jiraExecReport.php?testPlanKey=422&amp;projectKey=TQUALTCM&amp;Report=Report" TargetMode="External"/><Relationship Id="rId674" Type="http://schemas.openxmlformats.org/officeDocument/2006/relationships/hyperlink" Target="http://10.32.16.105/systest/products/Accessories/pluggable_transceiver/results/SFP/AT-SPSX_RevB_Delta/AT-A65" TargetMode="External"/><Relationship Id="rId881" Type="http://schemas.openxmlformats.org/officeDocument/2006/relationships/hyperlink" Target="http://10.32.16.105/systest/products/Accessories/pluggable_transceiver/results/SFP/FIBEREXON-FTM-9501S-S20i/x900-24XS_XEM-12S_Mustang" TargetMode="External"/><Relationship Id="rId979" Type="http://schemas.openxmlformats.org/officeDocument/2006/relationships/hyperlink" Target="http://10.32.16.105/systest/Reports/TestLink/SuiteExecC.php?plan=484370&amp;rep=F&amp;platform=1053" TargetMode="External"/><Relationship Id="rId24" Type="http://schemas.openxmlformats.org/officeDocument/2006/relationships/hyperlink" Target="http://10.32.16.105/systest/products/Accessories/pluggable_transceiver/results/SFP/AT-SPBD10-13_Delta_RevB/x600-24Ts_XP" TargetMode="External"/><Relationship Id="rId327" Type="http://schemas.openxmlformats.org/officeDocument/2006/relationships/hyperlink" Target="https://intranet.atlnz.lc/systest/Jira_Reports/testExecReport/jiraExecReport.php?testPlanKey=370,371&amp;projectKey=TQUALTCM&amp;Report=Report" TargetMode="External"/><Relationship Id="rId534" Type="http://schemas.openxmlformats.org/officeDocument/2006/relationships/hyperlink" Target="https://jira.atlnz.lc/secure/Tests.jspa" TargetMode="External"/><Relationship Id="rId741" Type="http://schemas.openxmlformats.org/officeDocument/2006/relationships/hyperlink" Target="http://10.32.16.105/systest/products/Accessories/pluggable_transceiver/results/SFP/AT-SPTX_RevC/x900-12XT_S" TargetMode="External"/><Relationship Id="rId839" Type="http://schemas.openxmlformats.org/officeDocument/2006/relationships/hyperlink" Target="http://10.32.16.105/systest/Reports/TestLink/SuiteExecC.php?plan=458763&amp;rep=F&amp;platform=186" TargetMode="External"/><Relationship Id="rId1164" Type="http://schemas.openxmlformats.org/officeDocument/2006/relationships/hyperlink" Target="http://10.32.16.105/systest/products/Accessories/pluggable_transceiver/results/SFP/AT-SPLX10_RevB/x900-48FS" TargetMode="External"/><Relationship Id="rId1371" Type="http://schemas.openxmlformats.org/officeDocument/2006/relationships/hyperlink" Target="https://intranet.atlnz.lc/systest/Jira_Reports/testExecReport/jiraExecReport.php?testPlanKey=440&amp;projectKey=TQUALTCM&amp;Report=Report" TargetMode="External"/><Relationship Id="rId1469" Type="http://schemas.openxmlformats.org/officeDocument/2006/relationships/hyperlink" Target="https://wallace4.atlnz.lc/systest/Jira_Reports/testExecReport/jiraExecReport_wallace4.php?testPlanKey=32&amp;projectKey=TQUALTCM&amp;Report=Report" TargetMode="External"/><Relationship Id="rId173" Type="http://schemas.openxmlformats.org/officeDocument/2006/relationships/hyperlink" Target="http://10.32.16.105/systest/Reports/TestLink/SuiteExecC.php?plan=453806&amp;rep=F&amp;platform=390" TargetMode="External"/><Relationship Id="rId380" Type="http://schemas.openxmlformats.org/officeDocument/2006/relationships/hyperlink" Target="http://10.32.16.105/systest/products/Accessories/pluggable_transceiver/results/SFP/AT-SPLX10_RevB/x900-24XS" TargetMode="External"/><Relationship Id="rId601" Type="http://schemas.openxmlformats.org/officeDocument/2006/relationships/hyperlink" Target="https://intranet.atlnz.lc/systest/Jira_Reports/testExecReport/jiraExecReport.php?testPlanKey=422&amp;projectKey=TQUALTCM&amp;Report=Report" TargetMode="External"/><Relationship Id="rId1024" Type="http://schemas.openxmlformats.org/officeDocument/2006/relationships/hyperlink" Target="https://jira.atlnz.lc/secure/Tests.jspa" TargetMode="External"/><Relationship Id="rId1231" Type="http://schemas.openxmlformats.org/officeDocument/2006/relationships/hyperlink" Target="http://10.32.16.105/systest/Reports/TestLink/SuiteExecC.php?plan=309247&amp;rep=F&amp;platform=179" TargetMode="External"/><Relationship Id="rId240" Type="http://schemas.openxmlformats.org/officeDocument/2006/relationships/hyperlink" Target="http://10.32.16.105/systest/Reports/TestLink/SuiteExecC.php?plan=120841&amp;rep=F&amp;platform=133" TargetMode="External"/><Relationship Id="rId478" Type="http://schemas.openxmlformats.org/officeDocument/2006/relationships/hyperlink" Target="https://jira.atlnz.lc/secure/Tests.jspa" TargetMode="External"/><Relationship Id="rId685" Type="http://schemas.openxmlformats.org/officeDocument/2006/relationships/hyperlink" Target="https://intranet.atlnz.lc/systest/Jira_Reports/testExecReport/jiraExecReport.php?testPlanKey=370,371&amp;projectKey=TQUALTCM&amp;Report=Report" TargetMode="External"/><Relationship Id="rId892" Type="http://schemas.openxmlformats.org/officeDocument/2006/relationships/hyperlink" Target="https://jira.atlnz.lc/secure/Tests.jspa" TargetMode="External"/><Relationship Id="rId906" Type="http://schemas.openxmlformats.org/officeDocument/2006/relationships/hyperlink" Target="https://jira.atlnz.lc/secure/Tests.jspa" TargetMode="External"/><Relationship Id="rId1329" Type="http://schemas.openxmlformats.org/officeDocument/2006/relationships/hyperlink" Target="http://10.32.16.105/systest/products/Accessories/pluggable_transceiver/results/SFP/AT-SPZX80_Delta/8648T_2SP" TargetMode="External"/><Relationship Id="rId1536" Type="http://schemas.openxmlformats.org/officeDocument/2006/relationships/hyperlink" Target="http://10.32.16.105/systest/Reports/TestLink/SuiteExecC.php?plan=308258&amp;rep=F&amp;platform=182" TargetMode="External"/><Relationship Id="rId35" Type="http://schemas.openxmlformats.org/officeDocument/2006/relationships/hyperlink" Target="http://10.32.16.105/systest/Reports/TestLink/SuiteExecC.php?plan=190066&amp;rep=F&amp;platform=188" TargetMode="External"/><Relationship Id="rId100" Type="http://schemas.openxmlformats.org/officeDocument/2006/relationships/hyperlink" Target="http://10.32.16.105/systest/Reports/TestLink/SuiteExecC.php?plan=443246&amp;rep=F&amp;platform=1091" TargetMode="External"/><Relationship Id="rId338" Type="http://schemas.openxmlformats.org/officeDocument/2006/relationships/hyperlink" Target="http://10.32.16.105/systest/Reports/TestLink/SuiteExecC.php?plan=478732&amp;rep=F&amp;platform=1144" TargetMode="External"/><Relationship Id="rId545" Type="http://schemas.openxmlformats.org/officeDocument/2006/relationships/hyperlink" Target="http://10.32.16.105/systest/Reports/TestLink/SuiteExecC.php?plan=478894&amp;rep=F&amp;platform=181" TargetMode="External"/><Relationship Id="rId752" Type="http://schemas.openxmlformats.org/officeDocument/2006/relationships/hyperlink" Target="https://jira.atlnz.lc/secure/Tests.jspa" TargetMode="External"/><Relationship Id="rId1175" Type="http://schemas.openxmlformats.org/officeDocument/2006/relationships/hyperlink" Target="http://10.32.16.105/systest/Reports/TestLink/SuiteExecC.php?plan=75668&amp;rep=F" TargetMode="External"/><Relationship Id="rId1382" Type="http://schemas.openxmlformats.org/officeDocument/2006/relationships/hyperlink" Target="https://intranet.atlnz.lc/systest/Jira_Reports/testExecReport/jiraExecReport.php?testPlanKey=480,481&amp;projectKey=TQUALTCM&amp;Report=Report" TargetMode="External"/><Relationship Id="rId1603" Type="http://schemas.openxmlformats.org/officeDocument/2006/relationships/hyperlink" Target="http://10.32.16.105/systest/Reports/TestLink/SuiteExecC.php?plan=191480&amp;rep=F&amp;platform=203" TargetMode="External"/><Relationship Id="rId184" Type="http://schemas.openxmlformats.org/officeDocument/2006/relationships/hyperlink" Target="https://jira.atlnz.lc/secure/Tests.jspa" TargetMode="External"/><Relationship Id="rId391" Type="http://schemas.openxmlformats.org/officeDocument/2006/relationships/hyperlink" Target="https://jira.atlnz.lc/secure/Tests.jspa" TargetMode="External"/><Relationship Id="rId405" Type="http://schemas.openxmlformats.org/officeDocument/2006/relationships/hyperlink" Target="http://10.32.16.105/systest/Reports/TestLink/SuiteExecC.php?plan=190066&amp;rep=F&amp;platform=184" TargetMode="External"/><Relationship Id="rId612" Type="http://schemas.openxmlformats.org/officeDocument/2006/relationships/hyperlink" Target="https://intranet.atlnz.lc/systest/Jira_Reports/testExecReport/jiraExecReport.php?testPlanKey=422&amp;projectKey=TQUALTCM&amp;Report=Report" TargetMode="External"/><Relationship Id="rId1035" Type="http://schemas.openxmlformats.org/officeDocument/2006/relationships/hyperlink" Target="https://jira.atlnz.lc/secure/Tests.jspa" TargetMode="External"/><Relationship Id="rId1242" Type="http://schemas.openxmlformats.org/officeDocument/2006/relationships/hyperlink" Target="http://10.32.16.105/systest/Reports/TestLink/SuiteExecC.php?plan=95955&amp;rep=F&amp;platform=202" TargetMode="External"/><Relationship Id="rId251" Type="http://schemas.openxmlformats.org/officeDocument/2006/relationships/hyperlink" Target="http://10.32.16.105/systest/Reports/TestLink/SuiteExecC.php?plan=158997&amp;rep=F&amp;platform=203" TargetMode="External"/><Relationship Id="rId489" Type="http://schemas.openxmlformats.org/officeDocument/2006/relationships/hyperlink" Target="http://10.32.16.105/systest/Reports/TestLink/SuiteExecC.php?plan=476649&amp;rep=F&amp;platform=185" TargetMode="External"/><Relationship Id="rId696" Type="http://schemas.openxmlformats.org/officeDocument/2006/relationships/hyperlink" Target="http://10.32.16.105/systest/Reports/TestLink/SuiteExecC.php?plan=464959&amp;rep=F&amp;platform=387" TargetMode="External"/><Relationship Id="rId917" Type="http://schemas.openxmlformats.org/officeDocument/2006/relationships/hyperlink" Target="https://jira.atlnz.lc/secure/Tests.jspa" TargetMode="External"/><Relationship Id="rId1102" Type="http://schemas.openxmlformats.org/officeDocument/2006/relationships/hyperlink" Target="http://10.32.16.105/systest/Reports/TestLink/SuiteExecC.php?plan=130431&amp;rep=F&amp;platform=202" TargetMode="External"/><Relationship Id="rId1547" Type="http://schemas.openxmlformats.org/officeDocument/2006/relationships/hyperlink" Target="https://wallace4.atlnz.lc/systest/Jira_Reports/testExecReport/jiraExecReport_wallace4.php?testPlanKey=536&amp;projectKey=TQUALTCM&amp;Report=Report" TargetMode="External"/><Relationship Id="rId46" Type="http://schemas.openxmlformats.org/officeDocument/2006/relationships/hyperlink" Target="https://jira.atlnz.lc/secure/Tests.jspa" TargetMode="External"/><Relationship Id="rId349" Type="http://schemas.openxmlformats.org/officeDocument/2006/relationships/hyperlink" Target="https://jira.atlnz.lc/secure/Tests.jspa" TargetMode="External"/><Relationship Id="rId556" Type="http://schemas.openxmlformats.org/officeDocument/2006/relationships/hyperlink" Target="http://10.32.16.105/systest/Reports/TestLink/SuiteExecC.php?plan=458186&amp;rep=F&amp;platform=181" TargetMode="External"/><Relationship Id="rId763" Type="http://schemas.openxmlformats.org/officeDocument/2006/relationships/hyperlink" Target="http://10.32.16.105/systest/Reports/TestLink/SuiteExecC.php?plan=478894&amp;rep=F&amp;platform=350" TargetMode="External"/><Relationship Id="rId1186" Type="http://schemas.openxmlformats.org/officeDocument/2006/relationships/hyperlink" Target="http://10.32.16.105/systest/products/Accessories/pluggable_transceiver/results_aw+/SFP/1G%20fiber%20SFP/AT-SPLX20_Delta/x600-44" TargetMode="External"/><Relationship Id="rId1393" Type="http://schemas.openxmlformats.org/officeDocument/2006/relationships/hyperlink" Target="https://jira.atlnz.lc/secure/Tests.jspa" TargetMode="External"/><Relationship Id="rId1407" Type="http://schemas.openxmlformats.org/officeDocument/2006/relationships/hyperlink" Target="https://jira.atlnz.lc/secure/Tests.jspa" TargetMode="External"/><Relationship Id="rId1614" Type="http://schemas.openxmlformats.org/officeDocument/2006/relationships/hyperlink" Target="http://10.32.16.105/systest/Reports/TestLink/SuiteExecC.php?plan=120841&amp;rep=F" TargetMode="External"/><Relationship Id="rId111" Type="http://schemas.openxmlformats.org/officeDocument/2006/relationships/hyperlink" Target="http://10.32.16.105/systest/Reports/TestLink/SuiteExecC.php?plan=476649&amp;rep=F&amp;platform=1059" TargetMode="External"/><Relationship Id="rId195" Type="http://schemas.openxmlformats.org/officeDocument/2006/relationships/hyperlink" Target="http://10.32.16.105/systest/Reports/TestLink/SuiteExecC.php?plan=453806&amp;rep=F&amp;platform=1092" TargetMode="External"/><Relationship Id="rId209" Type="http://schemas.openxmlformats.org/officeDocument/2006/relationships/hyperlink" Target="http://10.32.16.105/systest/Reports/TestLink/SuiteExecC.php?plan=153890&amp;rep=F&amp;platform=203" TargetMode="External"/><Relationship Id="rId416" Type="http://schemas.openxmlformats.org/officeDocument/2006/relationships/hyperlink" Target="https://jira.atlnz.lc/secure/Tests.jspa" TargetMode="External"/><Relationship Id="rId970" Type="http://schemas.openxmlformats.org/officeDocument/2006/relationships/hyperlink" Target="https://jira.atlnz.lc/secure/Tests.jspa" TargetMode="External"/><Relationship Id="rId1046" Type="http://schemas.openxmlformats.org/officeDocument/2006/relationships/hyperlink" Target="http://10.32.16.105/systest/Reports/TestLink/SuiteExecC.php?plan=440944&amp;rep=F&amp;platform=187" TargetMode="External"/><Relationship Id="rId1253" Type="http://schemas.openxmlformats.org/officeDocument/2006/relationships/hyperlink" Target="http://10.32.16.105/systest/products/Accessories/pluggable_transceiver/results/SFP/AT-SPSX_Avago/AR570S" TargetMode="External"/><Relationship Id="rId623" Type="http://schemas.openxmlformats.org/officeDocument/2006/relationships/hyperlink" Target="https://jira.atlnz.lc/secure/Tests.jspa" TargetMode="External"/><Relationship Id="rId830" Type="http://schemas.openxmlformats.org/officeDocument/2006/relationships/hyperlink" Target="http://10.32.16.105/systest/Reports/TestLink/SuiteExecC.php?plan=144574&amp;rep=F&amp;platform=201" TargetMode="External"/><Relationship Id="rId928" Type="http://schemas.openxmlformats.org/officeDocument/2006/relationships/hyperlink" Target="https://jira.atlnz.lc/secure/Tests.jspa" TargetMode="External"/><Relationship Id="rId1460" Type="http://schemas.openxmlformats.org/officeDocument/2006/relationships/hyperlink" Target="https://wallace4.atlnz.lc/systest/Jira_Reports/testExecReport/jiraExecReport_wallace4.php?testPlanKey=142&amp;projectKey=TQUALTCM&amp;Report=Report" TargetMode="External"/><Relationship Id="rId1558" Type="http://schemas.openxmlformats.org/officeDocument/2006/relationships/hyperlink" Target="http://10.32.16.105/systest/Reports/TestLink/SuiteExecC.php?plan=95948&amp;rep=F&amp;platform=127" TargetMode="External"/><Relationship Id="rId57" Type="http://schemas.openxmlformats.org/officeDocument/2006/relationships/hyperlink" Target="http://10.32.16.105/systest/Reports/TestLink/SuiteExecC.php?plan=123414&amp;rep=F&amp;platform=188" TargetMode="External"/><Relationship Id="rId262" Type="http://schemas.openxmlformats.org/officeDocument/2006/relationships/hyperlink" Target="http://10.32.16.105/systest/Reports/TestLink/SuiteExecC.php?plan=150485&amp;rep=F&amp;platform=203" TargetMode="External"/><Relationship Id="rId567" Type="http://schemas.openxmlformats.org/officeDocument/2006/relationships/hyperlink" Target="http://10.32.16.105/systest/Reports/TestLink/SuiteExecC.php?plan=123414&amp;rep=F&amp;platform=181" TargetMode="External"/><Relationship Id="rId1113" Type="http://schemas.openxmlformats.org/officeDocument/2006/relationships/hyperlink" Target="http://10.32.16.105/systest/products/Accessories/pluggable_transceiver/results/SFP/AT-SPBD10-14_Sumitomo_SBP6H44-AM-BN-49/AT-A65" TargetMode="External"/><Relationship Id="rId1197" Type="http://schemas.openxmlformats.org/officeDocument/2006/relationships/hyperlink" Target="http://10.32.16.105/systest/products/Accessories/pluggable_transceiver/results/SFP/WTD-RTXM191_AT-SPLX30/AT-SB4442_(24-1000X_%5BSFP%5D)" TargetMode="External"/><Relationship Id="rId1320" Type="http://schemas.openxmlformats.org/officeDocument/2006/relationships/hyperlink" Target="http://10.32.16.105/systest/Reports/TestLink/SuiteExecC.php?plan=50635&amp;rep=F" TargetMode="External"/><Relationship Id="rId1418" Type="http://schemas.openxmlformats.org/officeDocument/2006/relationships/hyperlink" Target="https://intranet.atlnz.lc/systest/Jira_Reports/testExecReport/jiraExecReport.php?testPlanKey=496,497&amp;projectKey=TQUALTCM&amp;Report=Report" TargetMode="External"/><Relationship Id="rId122" Type="http://schemas.openxmlformats.org/officeDocument/2006/relationships/hyperlink" Target="https://jira.atlnz.lc/secure/Tests.jspa" TargetMode="External"/><Relationship Id="rId774" Type="http://schemas.openxmlformats.org/officeDocument/2006/relationships/hyperlink" Target="http://10.32.16.105/systest/Reports/TestLink/SuiteExecC.php?plan=458186&amp;rep=F&amp;platform=350" TargetMode="External"/><Relationship Id="rId981" Type="http://schemas.openxmlformats.org/officeDocument/2006/relationships/hyperlink" Target="http://10.32.16.105/systest/Reports/TestLink/SuiteExecC.php?plan=484370&amp;rep=F&amp;platform=172" TargetMode="External"/><Relationship Id="rId1057" Type="http://schemas.openxmlformats.org/officeDocument/2006/relationships/hyperlink" Target="http://10.32.16.105/systest/Reports/TestLink/SuiteExecC.php?plan=150200&amp;rep=F&amp;platform=187" TargetMode="External"/><Relationship Id="rId1625" Type="http://schemas.openxmlformats.org/officeDocument/2006/relationships/hyperlink" Target="http://10.32.16.105/systest/Reports/TestLink/SuiteExecC.php?plan=120841&amp;rep=F" TargetMode="External"/><Relationship Id="rId427" Type="http://schemas.openxmlformats.org/officeDocument/2006/relationships/hyperlink" Target="http://10.32.16.105/systest/Reports/TestLink/SuiteExecC.php?plan=95953&amp;rep=F" TargetMode="External"/><Relationship Id="rId634" Type="http://schemas.openxmlformats.org/officeDocument/2006/relationships/hyperlink" Target="https://intranet.atlnz.lc/systest/Jira_Reports/testExecReport/jiraExecReport.php?testPlanKey=28&amp;projectKey=TQUALTCM&amp;Report=Report" TargetMode="External"/><Relationship Id="rId841" Type="http://schemas.openxmlformats.org/officeDocument/2006/relationships/hyperlink" Target="http://10.32.16.105/systest/Reports/TestLink/SuiteExecC.php?plan=144574&amp;rep=F&amp;platform=233" TargetMode="External"/><Relationship Id="rId1264" Type="http://schemas.openxmlformats.org/officeDocument/2006/relationships/hyperlink" Target="http://10.32.16.105/systest/products/Accessories/pluggable_transceiver/results/SFP/AT-SPSX_RevC_Delta/A65" TargetMode="External"/><Relationship Id="rId1471" Type="http://schemas.openxmlformats.org/officeDocument/2006/relationships/hyperlink" Target="https://intranet.atlnz.lc/systest/Jira_Reports/testExecReport/jiraExecReport.php?testPlanKey=537&amp;projectKey=TQUALTCM&amp;Report=Report" TargetMode="External"/><Relationship Id="rId1569" Type="http://schemas.openxmlformats.org/officeDocument/2006/relationships/hyperlink" Target="https://intranet.atlnz.lc/systest/Jira_Reports/testExecReport/jiraExecReport.php?testPlanKey=541&amp;projectKey=TQUALTCM&amp;Report=Report" TargetMode="External"/><Relationship Id="rId273" Type="http://schemas.openxmlformats.org/officeDocument/2006/relationships/hyperlink" Target="http://10.32.16.105/systest/Reports/TestLink/SuiteExecC.php?plan=120841&amp;rep=F&amp;platform=93" TargetMode="External"/><Relationship Id="rId480" Type="http://schemas.openxmlformats.org/officeDocument/2006/relationships/hyperlink" Target="https://jira.atlnz.lc/secure/Tests.jspa" TargetMode="External"/><Relationship Id="rId701" Type="http://schemas.openxmlformats.org/officeDocument/2006/relationships/hyperlink" Target="http://10.32.16.105/systest/Reports/TestLink/SuiteExecC.php?plan=464959&amp;rep=F&amp;platform=1091" TargetMode="External"/><Relationship Id="rId939" Type="http://schemas.openxmlformats.org/officeDocument/2006/relationships/hyperlink" Target="https://jira.atlnz.lc/secure/Tests.jspa" TargetMode="External"/><Relationship Id="rId1124" Type="http://schemas.openxmlformats.org/officeDocument/2006/relationships/hyperlink" Target="http://10.32.16.105/systest/products/Accessories/pluggable_transceiver/results/SFP/SumitomoElectric-SBP6F44-AM-BN-49_Single_Fiber_1G/Switchblade" TargetMode="External"/><Relationship Id="rId1331" Type="http://schemas.openxmlformats.org/officeDocument/2006/relationships/hyperlink" Target="http://10.32.16.105/systest/products/Accessories/pluggable_transceiver/results/SFP/AT-SPZX80_Delta/AT-A65" TargetMode="External"/><Relationship Id="rId68" Type="http://schemas.openxmlformats.org/officeDocument/2006/relationships/hyperlink" Target="http://10.32.16.105/systest/products/Accessories/pluggable_transceiver/results/SFP/AT-SPBD10-14_Delta_RevB/x900-12XT_S" TargetMode="External"/><Relationship Id="rId133" Type="http://schemas.openxmlformats.org/officeDocument/2006/relationships/hyperlink" Target="http://10.32.16.105/systest/Reports/TestLink/SuiteExecC.php?plan=443246&amp;rep=F&amp;platform=99" TargetMode="External"/><Relationship Id="rId340" Type="http://schemas.openxmlformats.org/officeDocument/2006/relationships/hyperlink" Target="http://10.32.16.105/systest/Reports/TestLink/SuiteExecC.php?plan=190066&amp;rep=F&amp;platform=183" TargetMode="External"/><Relationship Id="rId578" Type="http://schemas.openxmlformats.org/officeDocument/2006/relationships/hyperlink" Target="http://10.32.16.105/systest/Reports/TestLink/SuiteExecC.php?plan=68036&amp;rep=F" TargetMode="External"/><Relationship Id="rId785" Type="http://schemas.openxmlformats.org/officeDocument/2006/relationships/hyperlink" Target="http://10.32.16.105/systest/Reports/TestLink/SuiteExecC.php?plan=152235&amp;rep=F&amp;platform=350" TargetMode="External"/><Relationship Id="rId992" Type="http://schemas.openxmlformats.org/officeDocument/2006/relationships/hyperlink" Target="http://10.32.16.105/systest/Reports/TestLink/SuiteExecC.php?plan=484370&amp;rep=F&amp;platform=98" TargetMode="External"/><Relationship Id="rId1429" Type="http://schemas.openxmlformats.org/officeDocument/2006/relationships/hyperlink" Target="https://intranet.atlnz.lc/systest/Jira_Reports/testExecReport/jiraExecReport.php?testPlanKey=428&amp;projectKey=TQUALTCM&amp;Report=Report" TargetMode="External"/><Relationship Id="rId1636" Type="http://schemas.openxmlformats.org/officeDocument/2006/relationships/vmlDrawing" Target="../drawings/vmlDrawing2.vml"/><Relationship Id="rId200" Type="http://schemas.openxmlformats.org/officeDocument/2006/relationships/hyperlink" Target="http://10.32.16.105/systest/Reports/TestLink/SuiteExecC.php?plan=453806&amp;rep=F&amp;platform=1093" TargetMode="External"/><Relationship Id="rId438" Type="http://schemas.openxmlformats.org/officeDocument/2006/relationships/hyperlink" Target="http://intranet.alliedtelesyn.co.nz/systest/Reports/TestLink/SuiteExecC.php?plan=92175&amp;platform=40&amp;rep=f" TargetMode="External"/><Relationship Id="rId645" Type="http://schemas.openxmlformats.org/officeDocument/2006/relationships/hyperlink" Target="http://10.32.16.105/systest/Reports/TestLink/SuiteExecC.php?plan=182009&amp;rep=F&amp;platform=180" TargetMode="External"/><Relationship Id="rId852" Type="http://schemas.openxmlformats.org/officeDocument/2006/relationships/hyperlink" Target="http://10.32.16.105/systest/Reports/TestLink/SuiteExecC.php?plan=54086&amp;rep=F" TargetMode="External"/><Relationship Id="rId1068" Type="http://schemas.openxmlformats.org/officeDocument/2006/relationships/hyperlink" Target="http://10.32.16.105/systest/products/Accessories/pluggable_transceiver/results/SFP/AT-SPBD10-13_Sumitomo_SBP6H44-AM-BN-31/x600-24Ts-POE" TargetMode="External"/><Relationship Id="rId1275" Type="http://schemas.openxmlformats.org/officeDocument/2006/relationships/hyperlink" Target="http://10.32.16.105/systest/products/Accessories/pluggable_transceiver/results_aw+/SFP/Copper%20SFP/Avago_QBCU5730R/Switchblade-x908_XEM-12S" TargetMode="External"/><Relationship Id="rId1482" Type="http://schemas.openxmlformats.org/officeDocument/2006/relationships/hyperlink" Target="http://10.32.16.105/systest/Reports/TestLink/SuiteExecC.php?plan=96099&amp;rep=F&amp;platform=99" TargetMode="External"/><Relationship Id="rId284" Type="http://schemas.openxmlformats.org/officeDocument/2006/relationships/hyperlink" Target="http://10.32.16.105/systest/Reports/TestLink/SuiteExecC.php?plan=476649&amp;rep=F&amp;platform=182" TargetMode="External"/><Relationship Id="rId491" Type="http://schemas.openxmlformats.org/officeDocument/2006/relationships/hyperlink" Target="http://10.32.16.105/systest/Reports/TestLink/SuiteExecC.php?plan=440944&amp;rep=F&amp;platform=185" TargetMode="External"/><Relationship Id="rId505" Type="http://schemas.openxmlformats.org/officeDocument/2006/relationships/hyperlink" Target="http://10.32.16.105/systest/Reports/TestLink/SuiteExecC.php?plan=309247&amp;rep=F&amp;platform=185" TargetMode="External"/><Relationship Id="rId712" Type="http://schemas.openxmlformats.org/officeDocument/2006/relationships/hyperlink" Target="https://intranet.atlnz.lc/systest/Jira_Reports/testExecReport/jiraExecReport.php?testPlanKey=94&amp;projectKey=TQUALTCM&amp;Report=Report" TargetMode="External"/><Relationship Id="rId1135" Type="http://schemas.openxmlformats.org/officeDocument/2006/relationships/hyperlink" Target="http://10.32.16.105/systest/products/Accessories/pluggable_transceiver/results/SFP/AT-SPBD10-13_Delta/x900-12XT_S" TargetMode="External"/><Relationship Id="rId1342" Type="http://schemas.openxmlformats.org/officeDocument/2006/relationships/hyperlink" Target="http://10.32.16.105/systest/products/Accessories/pluggable_transceiver/results/SFP/AT-SPSX_RevBC/x900-48FE_AT-8948i" TargetMode="External"/><Relationship Id="rId79" Type="http://schemas.openxmlformats.org/officeDocument/2006/relationships/hyperlink" Target="http://10.32.16.105/systest/Reports/TestLink/SuiteExecC.php?plan=443246&amp;rep=F&amp;platform=389" TargetMode="External"/><Relationship Id="rId144" Type="http://schemas.openxmlformats.org/officeDocument/2006/relationships/hyperlink" Target="http://10.32.16.105/systest/Reports/TestLink/SuiteExecC.php?plan=453806&amp;rep=F&amp;platform=202" TargetMode="External"/><Relationship Id="rId589" Type="http://schemas.openxmlformats.org/officeDocument/2006/relationships/hyperlink" Target="https://intranet.atlnz.lc/systest/Jira_Reports/testExecReport/jiraExecReport.php?testPlanKey=422&amp;projectKey=TQUALTCM&amp;Report=Report" TargetMode="External"/><Relationship Id="rId796" Type="http://schemas.openxmlformats.org/officeDocument/2006/relationships/hyperlink" Target="https://intranet.atlnz.lc/systest/Jira_Reports/testExecReport/jiraExecReport.php?testPlanKey=428&amp;projectKey=TQUALTCM&amp;Report=Report" TargetMode="External"/><Relationship Id="rId1202" Type="http://schemas.openxmlformats.org/officeDocument/2006/relationships/hyperlink" Target="http://10.32.16.105/systest/products/Accessories/pluggable_transceiver/results_aw+/SFP/1G%20fiber%20SFP/AT-SPLX40_Delta/Switchblade-x908_XEM-12S" TargetMode="External"/><Relationship Id="rId351" Type="http://schemas.openxmlformats.org/officeDocument/2006/relationships/hyperlink" Target="http://10.32.16.105/systest/Reports/TestLink/SuiteExecC.php?plan=480293&amp;rep=F&amp;platform=183" TargetMode="External"/><Relationship Id="rId449" Type="http://schemas.openxmlformats.org/officeDocument/2006/relationships/hyperlink" Target="https://jira.atlnz.lc/secure/Tests.jspa" TargetMode="External"/><Relationship Id="rId656" Type="http://schemas.openxmlformats.org/officeDocument/2006/relationships/hyperlink" Target="http://10.32.16.105/systest/Reports/TestLink/SuiteExecC.php?plan=150360&amp;rep=F&amp;platform=180" TargetMode="External"/><Relationship Id="rId863" Type="http://schemas.openxmlformats.org/officeDocument/2006/relationships/hyperlink" Target="http://10.32.16.105/systest/products/Accessories/pluggable_transceiver/results/SFP/AT-SPBDM-A_B_APACOpto/x600-48Ts" TargetMode="External"/><Relationship Id="rId1079" Type="http://schemas.openxmlformats.org/officeDocument/2006/relationships/hyperlink" Target="http://10.32.16.105/systest/Reports/TestLink/SuiteExecC.php?plan=190066&amp;rep=F&amp;platform=187" TargetMode="External"/><Relationship Id="rId1286" Type="http://schemas.openxmlformats.org/officeDocument/2006/relationships/hyperlink" Target="http://10.32.16.105/systest/products/Accessories/pluggable_transceiver/results/SFP/AT-SPTX2_Delta/x600-24Ts_XP" TargetMode="External"/><Relationship Id="rId1493" Type="http://schemas.openxmlformats.org/officeDocument/2006/relationships/hyperlink" Target="http://10.32.16.105/systest/products/Accessories/pluggable_transceiver/results/SFP/AT-SPLX-40_Delta/Switchblade" TargetMode="External"/><Relationship Id="rId1507" Type="http://schemas.openxmlformats.org/officeDocument/2006/relationships/hyperlink" Target="http://10.32.16.105/systest/Reports/TestLink/SuiteExecC.php?plan=484370&amp;rep=F&amp;platform=1139" TargetMode="External"/><Relationship Id="rId211" Type="http://schemas.openxmlformats.org/officeDocument/2006/relationships/hyperlink" Target="https://jira.atlnz.lc/secure/Tests.jspa" TargetMode="External"/><Relationship Id="rId295" Type="http://schemas.openxmlformats.org/officeDocument/2006/relationships/hyperlink" Target="https://intranet.atlnz.lc/systest/Jira_Reports/testExecReport/jiraExecReport.php?testPlanKey=18,142&amp;projectKey=TQUALTCM&amp;Report=Report" TargetMode="External"/><Relationship Id="rId309" Type="http://schemas.openxmlformats.org/officeDocument/2006/relationships/hyperlink" Target="http://10.32.16.105/systest/Reports/TestLink/SuiteExecC.php?plan=95951&amp;rep=F&amp;platform=233" TargetMode="External"/><Relationship Id="rId516" Type="http://schemas.openxmlformats.org/officeDocument/2006/relationships/hyperlink" Target="http://10.32.16.105/systest/Reports/TestLink/SuiteExecC.php?plan=96099&amp;rep=F&amp;platform=99" TargetMode="External"/><Relationship Id="rId1146" Type="http://schemas.openxmlformats.org/officeDocument/2006/relationships/hyperlink" Target="http://10.32.16.105/systest/products/Accessories/pluggable_transceiver/results/SFP/AT-SPBD10-14_Delta/x600-48Ts" TargetMode="External"/><Relationship Id="rId723" Type="http://schemas.openxmlformats.org/officeDocument/2006/relationships/hyperlink" Target="https://jira.atlnz.lc/secure/Tests.jspa" TargetMode="External"/><Relationship Id="rId930" Type="http://schemas.openxmlformats.org/officeDocument/2006/relationships/hyperlink" Target="https://jira.atlnz.lc/secure/Tests.jspa" TargetMode="External"/><Relationship Id="rId1006" Type="http://schemas.openxmlformats.org/officeDocument/2006/relationships/hyperlink" Target="https://jira.atlnz.lc/secure/Tests.jspa" TargetMode="External"/><Relationship Id="rId1353" Type="http://schemas.openxmlformats.org/officeDocument/2006/relationships/hyperlink" Target="https://intranet.atlnz.lc/systest/Jira_Reports/testExecReport/jiraExecReport.php?testPlanKey=36&amp;projectKey=TQUALTCM&amp;Report=Report" TargetMode="External"/><Relationship Id="rId1560" Type="http://schemas.openxmlformats.org/officeDocument/2006/relationships/hyperlink" Target="http://10.32.16.105/systest/products/Accessories/pluggable_transceiver/results/SFP/AT-SPBD10-13_Delta_RevB/x600-48Ts_XP" TargetMode="External"/><Relationship Id="rId155" Type="http://schemas.openxmlformats.org/officeDocument/2006/relationships/hyperlink" Target="http://10.32.16.105/systest/Reports/TestLink/SuiteExecC.php?plan=453806&amp;rep=F&amp;platform=201" TargetMode="External"/><Relationship Id="rId362" Type="http://schemas.openxmlformats.org/officeDocument/2006/relationships/hyperlink" Target="http://10.32.16.105/systest/Reports/TestLink/SuiteExecC.php?plan=309247&amp;rep=F&amp;platform=183" TargetMode="External"/><Relationship Id="rId1213" Type="http://schemas.openxmlformats.org/officeDocument/2006/relationships/hyperlink" Target="http://10.32.16.105/systest/products/Accessories/pluggable_transceiver/results_aw+/SFP/1G%20fiber%20SFP/AT-SPSX/x900-12TXs" TargetMode="External"/><Relationship Id="rId1297" Type="http://schemas.openxmlformats.org/officeDocument/2006/relationships/hyperlink" Target="http://10.32.16.105/systest/products/Accessories/pluggable_transceiver/results/SFP/AT-SPTX2_Delta/Switchblade4000" TargetMode="External"/><Relationship Id="rId1420" Type="http://schemas.openxmlformats.org/officeDocument/2006/relationships/hyperlink" Target="https://intranet.atlnz.lc/systest/Jira_Reports/testExecReport/jiraExecReport.php?testPlanKey=496,497&amp;projectKey=TQUALTCM&amp;Report=Report" TargetMode="External"/><Relationship Id="rId1518" Type="http://schemas.openxmlformats.org/officeDocument/2006/relationships/hyperlink" Target="http://10.32.16.105/systest/Reports/TestLink/SuiteExecC.php?plan=308258&amp;rep=F&amp;platform=225" TargetMode="External"/><Relationship Id="rId222" Type="http://schemas.openxmlformats.org/officeDocument/2006/relationships/hyperlink" Target="http://10.32.16.105/systest/Reports/TestLink/SuiteExecC.php?plan=309247&amp;rep=F&amp;platform=203" TargetMode="External"/><Relationship Id="rId667" Type="http://schemas.openxmlformats.org/officeDocument/2006/relationships/hyperlink" Target="http://10.32.16.105/systest/products/Accessories/pluggable_transceiver/results_aw+/SFP/1G%20fiber%20SFP/AT-SPSX_RevB_Delta/x600-24" TargetMode="External"/><Relationship Id="rId874" Type="http://schemas.openxmlformats.org/officeDocument/2006/relationships/hyperlink" Target="http://10.32.16.105/systest/products/Accessories/pluggable_transceiver/results_aw+/SFP/100M%20fiber%20SFP/Fiberxon_FTM-9301S-S20iG/x900-12XT-S" TargetMode="External"/><Relationship Id="rId17" Type="http://schemas.openxmlformats.org/officeDocument/2006/relationships/hyperlink" Target="http://10.32.16.105/systest/Reports/TestLink/SuiteExecC.php?plan=458763&amp;rep=F&amp;platform=188" TargetMode="External"/><Relationship Id="rId527" Type="http://schemas.openxmlformats.org/officeDocument/2006/relationships/hyperlink" Target="https://intranet.atlnz.lc/systest/Jira_Reports/testExecReport/jiraExecReport.php?testPlanKey=24&amp;projectKey=TQUALTCM&amp;Report=Report" TargetMode="External"/><Relationship Id="rId734" Type="http://schemas.openxmlformats.org/officeDocument/2006/relationships/hyperlink" Target="http://10.32.16.105/systest/Reports/TestLink/SuiteExecC.php?plan=152235&amp;rep=F&amp;platform=225" TargetMode="External"/><Relationship Id="rId941" Type="http://schemas.openxmlformats.org/officeDocument/2006/relationships/hyperlink" Target="https://jira.atlnz.lc/secure/Tests.jspa" TargetMode="External"/><Relationship Id="rId1157" Type="http://schemas.openxmlformats.org/officeDocument/2006/relationships/hyperlink" Target="http://10.32.16.105/systest/products/Accessories/pluggable_transceiver/results_aw+/SFP/1G%20fiber%20SFP/AT-SPLX10/x900-12TXs" TargetMode="External"/><Relationship Id="rId1364" Type="http://schemas.openxmlformats.org/officeDocument/2006/relationships/hyperlink" Target="https://intranet.atlnz.lc/systest/Jira_Reports/testExecReport/jiraExecReport.php?testPlanKey=440&amp;projectKey=TQUALTCM&amp;Report=Report" TargetMode="External"/><Relationship Id="rId1571" Type="http://schemas.openxmlformats.org/officeDocument/2006/relationships/hyperlink" Target="http://10.32.16.105/systest/Reports/TestLink/SuiteExecC.php?plan=309805&amp;rep=F&amp;platform=188" TargetMode="External"/><Relationship Id="rId70" Type="http://schemas.openxmlformats.org/officeDocument/2006/relationships/hyperlink" Target="http://10.32.16.105/systest/products/Accessories/pluggable_transceiver/results/SFP/AT-SPBD10-13_Delta_RevB/9924SP" TargetMode="External"/><Relationship Id="rId166" Type="http://schemas.openxmlformats.org/officeDocument/2006/relationships/hyperlink" Target="http://10.32.16.105/systest/Reports/TestLink/SuiteExecC.php?plan=453806&amp;rep=F&amp;platform=233" TargetMode="External"/><Relationship Id="rId373" Type="http://schemas.openxmlformats.org/officeDocument/2006/relationships/hyperlink" Target="http://10.32.16.105/systest/Reports/TestLink/SuiteExecC.php?plan=50633&amp;rep=F" TargetMode="External"/><Relationship Id="rId580" Type="http://schemas.openxmlformats.org/officeDocument/2006/relationships/hyperlink" Target="http://10.32.16.105/systest/Reports/TestLink/SuiteExecC.php?plan=95956&amp;rep=F&amp;platform=117" TargetMode="External"/><Relationship Id="rId801" Type="http://schemas.openxmlformats.org/officeDocument/2006/relationships/hyperlink" Target="https://intranet.atlnz.lc/systest/Jira_Reports/testExecReport/jiraExecReport.php?testPlanKey=30&amp;projectKey=TQUALTCM&amp;Report=Report" TargetMode="External"/><Relationship Id="rId1017" Type="http://schemas.openxmlformats.org/officeDocument/2006/relationships/hyperlink" Target="https://jira.atlnz.lc/secure/Tests.jspa" TargetMode="External"/><Relationship Id="rId1224" Type="http://schemas.openxmlformats.org/officeDocument/2006/relationships/hyperlink" Target="http://10.32.16.105/systest/Reports/TestLink/SuiteExecC.php?plan=458186&amp;rep=F&amp;platform=179" TargetMode="External"/><Relationship Id="rId1431" Type="http://schemas.openxmlformats.org/officeDocument/2006/relationships/hyperlink" Target="https://intranet.atlnz.lc/systest/Jira_Reports/testExecReport/jiraExecReport.php?testPlanKey=428&amp;projectKey=TQUALTCM&amp;Report=Report" TargetMode="External"/><Relationship Id="rId1" Type="http://schemas.openxmlformats.org/officeDocument/2006/relationships/hyperlink" Target="http://www.alliedtelesis.com/media/datasheets/sbx908_ds.pdf" TargetMode="External"/><Relationship Id="rId233" Type="http://schemas.openxmlformats.org/officeDocument/2006/relationships/hyperlink" Target="http://10.32.16.105/systest/Reports/TestLink/SuiteExecC.php?plan=120841&amp;rep=F" TargetMode="External"/><Relationship Id="rId440" Type="http://schemas.openxmlformats.org/officeDocument/2006/relationships/hyperlink" Target="http://10.32.16.105/systest/Reports/TestLink/SuiteExecC.php?plan=95953&amp;rep=F&amp;platform=174" TargetMode="External"/><Relationship Id="rId678" Type="http://schemas.openxmlformats.org/officeDocument/2006/relationships/hyperlink" Target="http://10.32.16.105/systest/products/Accessories/pluggable_transceiver/results/SFP/AT-SPSX_RevB_Delta/Switchblade" TargetMode="External"/><Relationship Id="rId885" Type="http://schemas.openxmlformats.org/officeDocument/2006/relationships/hyperlink" Target="https://jira.atlnz.lc/secure/Tests.jspa" TargetMode="External"/><Relationship Id="rId1070" Type="http://schemas.openxmlformats.org/officeDocument/2006/relationships/hyperlink" Target="http://10.32.16.105/systest/products/Accessories/pluggable_transceiver/results/SFP/AT-SPBD10-14_Delta/x900-12XT_S" TargetMode="External"/><Relationship Id="rId1529" Type="http://schemas.openxmlformats.org/officeDocument/2006/relationships/hyperlink" Target="http://10.32.16.105/systest/Reports/TestLink/SuiteExecC.php?plan=308256&amp;rep=F&amp;platform=185" TargetMode="External"/><Relationship Id="rId28" Type="http://schemas.openxmlformats.org/officeDocument/2006/relationships/hyperlink" Target="http://10.32.16.105/systest/products/Accessories/pluggable_transceiver/results/SFP/AT-SPBD10-13_Delta_RevB/9924SP" TargetMode="External"/><Relationship Id="rId300" Type="http://schemas.openxmlformats.org/officeDocument/2006/relationships/hyperlink" Target="http://10.32.16.105/systest/Reports/TestLink/SuiteExecC.php?plan=479406&amp;rep=F&amp;platform=182" TargetMode="External"/><Relationship Id="rId538" Type="http://schemas.openxmlformats.org/officeDocument/2006/relationships/hyperlink" Target="http://10.32.16.105/systest/Reports/TestLink/SuiteExecC.php?plan=478730&amp;rep=F&amp;platform=1053" TargetMode="External"/><Relationship Id="rId745" Type="http://schemas.openxmlformats.org/officeDocument/2006/relationships/hyperlink" Target="http://10.32.16.105/systest/products/Accessories/pluggable_transceiver/results/SFP/AT-SPSX_Avago/x900-48FS" TargetMode="External"/><Relationship Id="rId952" Type="http://schemas.openxmlformats.org/officeDocument/2006/relationships/hyperlink" Target="https://intranet.atlnz.lc/systest/Jira_Reports/testExecReport/jiraExecReport.php?testPlanKey=26&amp;projectKey=TQUALTCM&amp;Report=Report" TargetMode="External"/><Relationship Id="rId1168" Type="http://schemas.openxmlformats.org/officeDocument/2006/relationships/hyperlink" Target="http://10.32.16.105/systest/products/Accessories/pluggable_transceiver/results/SFP/AT-SPLX10_RevB/A65/" TargetMode="External"/><Relationship Id="rId1375" Type="http://schemas.openxmlformats.org/officeDocument/2006/relationships/hyperlink" Target="https://intranet.atlnz.lc/systest/Jira_Reports/testExecReport/jiraExecReport.php?testPlanKey=440&amp;projectKey=TQUALTCM&amp;Report=Report" TargetMode="External"/><Relationship Id="rId1582" Type="http://schemas.openxmlformats.org/officeDocument/2006/relationships/hyperlink" Target="http://10.32.16.105/systest/Reports/TestLink/SuiteExecC.php?plan=95948&amp;rep=F&amp;platform=127" TargetMode="External"/><Relationship Id="rId81" Type="http://schemas.openxmlformats.org/officeDocument/2006/relationships/hyperlink" Target="http://10.32.16.105/systest/Reports/TestLink/SuiteExecC.php?plan=476649&amp;rep=F&amp;platform=1059" TargetMode="External"/><Relationship Id="rId177" Type="http://schemas.openxmlformats.org/officeDocument/2006/relationships/hyperlink" Target="http://10.32.16.105/systest/Reports/TestLink/SuiteExecC.php?plan=453806&amp;rep=F&amp;platform=202" TargetMode="External"/><Relationship Id="rId384" Type="http://schemas.openxmlformats.org/officeDocument/2006/relationships/hyperlink" Target="http://10.32.16.105/systest/products/Accessories/pluggable_transceiver/results/SFP/AT-SPLX10_RevB/A65/" TargetMode="External"/><Relationship Id="rId591" Type="http://schemas.openxmlformats.org/officeDocument/2006/relationships/hyperlink" Target="https://intranet.atlnz.lc/systest/Jira_Reports/testExecReport/jiraExecReport.php?testPlanKey=422&amp;projectKey=TQUALTCM&amp;Report=Report" TargetMode="External"/><Relationship Id="rId605" Type="http://schemas.openxmlformats.org/officeDocument/2006/relationships/hyperlink" Target="https://intranet.atlnz.lc/systest/Jira_Reports/testExecReport/jiraExecReport.php?testPlanKey=422&amp;projectKey=TQUALTCM&amp;Report=Report" TargetMode="External"/><Relationship Id="rId812" Type="http://schemas.openxmlformats.org/officeDocument/2006/relationships/hyperlink" Target="http://intranet.atlnz.lc/systest/Reports/TestLink/SuiteExecC.php?plan=486647&amp;rep=F&amp;platform=201" TargetMode="External"/><Relationship Id="rId1028" Type="http://schemas.openxmlformats.org/officeDocument/2006/relationships/hyperlink" Target="https://jira.atlnz.lc/secure/Tests.jspa" TargetMode="External"/><Relationship Id="rId1235" Type="http://schemas.openxmlformats.org/officeDocument/2006/relationships/hyperlink" Target="http://10.32.16.105/systest/Reports/TestLink/SuiteExecC.php?plan=95955&amp;rep=F" TargetMode="External"/><Relationship Id="rId1442" Type="http://schemas.openxmlformats.org/officeDocument/2006/relationships/hyperlink" Target="https://wallace4.atlnz.lc/systest/Jira_Reports/testExecReport/jiraExecReport_wallace4.php?testPlanKey=127&amp;projectKey=TQUALTCM&amp;Report=Report" TargetMode="External"/><Relationship Id="rId244" Type="http://schemas.openxmlformats.org/officeDocument/2006/relationships/hyperlink" Target="http://10.32.16.105/systest/Reports/TestLink/SuiteExecC.php?plan=478894&amp;rep=F&amp;platform=203" TargetMode="External"/><Relationship Id="rId689" Type="http://schemas.openxmlformats.org/officeDocument/2006/relationships/hyperlink" Target="https://jira.atlnz.lc/secure/Tests.jspa" TargetMode="External"/><Relationship Id="rId896" Type="http://schemas.openxmlformats.org/officeDocument/2006/relationships/hyperlink" Target="https://jira.atlnz.lc/secure/Tests.jspa" TargetMode="External"/><Relationship Id="rId1081" Type="http://schemas.openxmlformats.org/officeDocument/2006/relationships/hyperlink" Target="http://10.32.16.105/systest/Reports/TestLink/SuiteExecC.php?plan=309805&amp;rep=F&amp;platform=187" TargetMode="External"/><Relationship Id="rId1302" Type="http://schemas.openxmlformats.org/officeDocument/2006/relationships/hyperlink" Target="http://10.32.16.105/systest/products/Accessories/pluggable_transceiver/results/SFP/AT-SPTX2_Delta/x900-48FE" TargetMode="External"/><Relationship Id="rId39" Type="http://schemas.openxmlformats.org/officeDocument/2006/relationships/hyperlink" Target="http://10.32.16.105/systest/Reports/TestLink/SuiteExecC.php?plan=153890&amp;rep=F&amp;platform=188" TargetMode="External"/><Relationship Id="rId451" Type="http://schemas.openxmlformats.org/officeDocument/2006/relationships/hyperlink" Target="https://intranet.atlnz.lc/systest/Jira_Reports/testExecReport/jiraExecReport.php?testPlanKey=370,371&amp;projectKey=TQUALTCM&amp;Report=Report" TargetMode="External"/><Relationship Id="rId549" Type="http://schemas.openxmlformats.org/officeDocument/2006/relationships/hyperlink" Target="https://jira.atlnz.lc/secure/Tests.jspa" TargetMode="External"/><Relationship Id="rId756" Type="http://schemas.openxmlformats.org/officeDocument/2006/relationships/hyperlink" Target="http://10.32.16.105/systest/Reports/TestLink/SuiteExecC.php?plan=483931&amp;rep=F&amp;platform=1052" TargetMode="External"/><Relationship Id="rId1179" Type="http://schemas.openxmlformats.org/officeDocument/2006/relationships/hyperlink" Target="http://10.32.16.105/systest/products/Accessories/pluggable_transceiver/results/SFP/AT-SPLX-10_Delta/8948i" TargetMode="External"/><Relationship Id="rId1386" Type="http://schemas.openxmlformats.org/officeDocument/2006/relationships/hyperlink" Target="https://jira.atlnz.lc/secure/Tests.jspa" TargetMode="External"/><Relationship Id="rId1593" Type="http://schemas.openxmlformats.org/officeDocument/2006/relationships/hyperlink" Target="http://10.32.16.105/systest/Reports/TestLink/SuiteExecC.php?plan=309247&amp;rep=F&amp;platform=188" TargetMode="External"/><Relationship Id="rId1607" Type="http://schemas.openxmlformats.org/officeDocument/2006/relationships/hyperlink" Target="http://10.32.16.105/systest/Reports/TestLink/SuiteExecC.php?plan=120841&amp;rep=F" TargetMode="External"/><Relationship Id="rId104" Type="http://schemas.openxmlformats.org/officeDocument/2006/relationships/hyperlink" Target="http://10.32.16.105/systest/Reports/TestLink/SuiteExecC.php?plan=443246&amp;rep=F&amp;platform=98" TargetMode="External"/><Relationship Id="rId188" Type="http://schemas.openxmlformats.org/officeDocument/2006/relationships/hyperlink" Target="http://10.32.16.105/systest/Reports/TestLink/SuiteExecC.php?plan=453806&amp;rep=F&amp;platform=201" TargetMode="External"/><Relationship Id="rId311" Type="http://schemas.openxmlformats.org/officeDocument/2006/relationships/hyperlink" Target="http://10.32.16.105/systest/Reports/TestLink/SuiteExecC.php?plan=54087&amp;rep=F" TargetMode="External"/><Relationship Id="rId395" Type="http://schemas.openxmlformats.org/officeDocument/2006/relationships/hyperlink" Target="https://jira.atlnz.lc/secure/Tests.jspa" TargetMode="External"/><Relationship Id="rId409" Type="http://schemas.openxmlformats.org/officeDocument/2006/relationships/hyperlink" Target="http://10.32.16.105/systest/Reports/TestLink/SuiteExecC.php?plan=153890&amp;rep=F&amp;platform=184" TargetMode="External"/><Relationship Id="rId963" Type="http://schemas.openxmlformats.org/officeDocument/2006/relationships/hyperlink" Target="https://jira.atlnz.lc/secure/Tests.jspa" TargetMode="External"/><Relationship Id="rId1039" Type="http://schemas.openxmlformats.org/officeDocument/2006/relationships/hyperlink" Target="https://jira.atlnz.lc/secure/Tests.jspa" TargetMode="External"/><Relationship Id="rId1246" Type="http://schemas.openxmlformats.org/officeDocument/2006/relationships/hyperlink" Target="http://10.32.16.105/systest/products/Accessories/pluggable_transceiver/results/SFP/AT-SPSX_Avago/XEM-12S_SBx908" TargetMode="External"/><Relationship Id="rId92" Type="http://schemas.openxmlformats.org/officeDocument/2006/relationships/hyperlink" Target="https://jira.atlnz.lc/secure/Tests.jspa" TargetMode="External"/><Relationship Id="rId616" Type="http://schemas.openxmlformats.org/officeDocument/2006/relationships/hyperlink" Target="https://intranet.atlnz.lc/systest/Jira_Reports/testExecReport/jiraExecReport.php?testPlanKey=422&amp;projectKey=TQUALTCM&amp;Report=Report" TargetMode="External"/><Relationship Id="rId823" Type="http://schemas.openxmlformats.org/officeDocument/2006/relationships/hyperlink" Target="http://10.32.16.105/systest/Reports/TestLink/SuiteExecC.php?plan=158997&amp;rep=F&amp;platform=186" TargetMode="External"/><Relationship Id="rId1453" Type="http://schemas.openxmlformats.org/officeDocument/2006/relationships/hyperlink" Target="https://wallace4.atlnz.lc/systest/Jira_Reports/testExecReport/jiraExecReport_wallace4.php?testPlanKey=135&amp;projectKey=TQUALTCM&amp;Report=Report" TargetMode="External"/><Relationship Id="rId255" Type="http://schemas.openxmlformats.org/officeDocument/2006/relationships/hyperlink" Target="https://jira.atlnz.lc/secure/Tests.jspa" TargetMode="External"/><Relationship Id="rId462" Type="http://schemas.openxmlformats.org/officeDocument/2006/relationships/hyperlink" Target="https://jira.atlnz.lc/secure/Tests.jspa" TargetMode="External"/><Relationship Id="rId1092" Type="http://schemas.openxmlformats.org/officeDocument/2006/relationships/hyperlink" Target="http://10.32.16.105/systest/Reports/TestLink/SuiteExecC.php?plan=309247&amp;rep=F&amp;platform=187" TargetMode="External"/><Relationship Id="rId1106" Type="http://schemas.openxmlformats.org/officeDocument/2006/relationships/hyperlink" Target="http://10.32.16.105/systest/Reports/TestLink/SuiteExecC.php?plan=130431&amp;rep=F&amp;platform=127" TargetMode="External"/><Relationship Id="rId1313" Type="http://schemas.openxmlformats.org/officeDocument/2006/relationships/hyperlink" Target="http://10.32.16.105/systest/products/Accessories/pluggable_transceiver/results/SFP/AT-SPFX_40/x900-24XS_XEM-12S" TargetMode="External"/><Relationship Id="rId1397" Type="http://schemas.openxmlformats.org/officeDocument/2006/relationships/hyperlink" Target="http://10.32.16.105/systest/Reports/TestLink/SuiteExecC.php?plan=309805&amp;rep=F&amp;platform=188" TargetMode="External"/><Relationship Id="rId1520" Type="http://schemas.openxmlformats.org/officeDocument/2006/relationships/hyperlink" Target="http://10.32.16.105/systest/Reports/TestLink/SuiteExecC.php?plan=464959&amp;rep=F&amp;platform=706" TargetMode="External"/><Relationship Id="rId115" Type="http://schemas.openxmlformats.org/officeDocument/2006/relationships/hyperlink" Target="https://intranet.atlnz.lc/systest/Jira_Reports/testExecReport/jiraExecReport.php?testPlanKey=370,371&amp;projectKey=TQUALTCM&amp;Report=Report" TargetMode="External"/><Relationship Id="rId322" Type="http://schemas.openxmlformats.org/officeDocument/2006/relationships/hyperlink" Target="http://10.32.16.105/systest/products/Accessories/pluggable_transceiver/results/SFP/AT-SPEX/AR570" TargetMode="External"/><Relationship Id="rId767" Type="http://schemas.openxmlformats.org/officeDocument/2006/relationships/hyperlink" Target="https://jira.atlnz.lc/secure/Tests.jspa" TargetMode="External"/><Relationship Id="rId974" Type="http://schemas.openxmlformats.org/officeDocument/2006/relationships/hyperlink" Target="https://jira.atlnz.lc/secure/Tests.jspa" TargetMode="External"/><Relationship Id="rId1618" Type="http://schemas.openxmlformats.org/officeDocument/2006/relationships/hyperlink" Target="http://10.32.16.105/systest/Reports/TestLink/SuiteExecC.php?plan=150485&amp;rep=F&amp;platform=203" TargetMode="External"/><Relationship Id="rId199" Type="http://schemas.openxmlformats.org/officeDocument/2006/relationships/hyperlink" Target="http://10.32.16.105/systest/Reports/TestLink/SuiteExecC.php?plan=453806&amp;rep=F&amp;platform=233" TargetMode="External"/><Relationship Id="rId627" Type="http://schemas.openxmlformats.org/officeDocument/2006/relationships/hyperlink" Target="https://jira.atlnz.lc/secure/Tests.jspa" TargetMode="External"/><Relationship Id="rId834" Type="http://schemas.openxmlformats.org/officeDocument/2006/relationships/hyperlink" Target="http://10.32.16.105/systest/Reports/TestLink/SuiteExecC.php?plan=309805&amp;rep=F&amp;platform=186" TargetMode="External"/><Relationship Id="rId1257" Type="http://schemas.openxmlformats.org/officeDocument/2006/relationships/hyperlink" Target="http://10.32.16.105/systest/products/Accessories/pluggable_transceiver/results/SFP/AT-SPSX_Avago/x900-24XS" TargetMode="External"/><Relationship Id="rId1464" Type="http://schemas.openxmlformats.org/officeDocument/2006/relationships/hyperlink" Target="https://wallace4.atlnz.lc/systest/Jira_Reports/testExecReport/jiraExecReport_wallace4.php?testPlanKey=450&amp;projectKey=TQUALTCM&amp;Report=Report" TargetMode="External"/><Relationship Id="rId266" Type="http://schemas.openxmlformats.org/officeDocument/2006/relationships/hyperlink" Target="http://10.32.16.105/systest/Reports/TestLink/SuiteExecC.php?plan=120841&amp;rep=F&amp;platform=233" TargetMode="External"/><Relationship Id="rId473" Type="http://schemas.openxmlformats.org/officeDocument/2006/relationships/hyperlink" Target="https://jira.atlnz.lc/secure/Tests.jspa" TargetMode="External"/><Relationship Id="rId680" Type="http://schemas.openxmlformats.org/officeDocument/2006/relationships/hyperlink" Target="http://10.32.16.105/systest/Reports/TestLink/SuiteExecC.php?plan=464959&amp;rep=F&amp;platform=1051" TargetMode="External"/><Relationship Id="rId901" Type="http://schemas.openxmlformats.org/officeDocument/2006/relationships/hyperlink" Target="https://jira.atlnz.lc/secure/Tests.jspa" TargetMode="External"/><Relationship Id="rId1117" Type="http://schemas.openxmlformats.org/officeDocument/2006/relationships/hyperlink" Target="http://10.32.16.105/systest/products/Accessories/pluggable_transceiver/results/SFP/AT-SPBD10-14_Sumitomo_SBP6H44-AM-BN-49/SB4442" TargetMode="External"/><Relationship Id="rId1324" Type="http://schemas.openxmlformats.org/officeDocument/2006/relationships/hyperlink" Target="http://10.32.16.105/systest/products/Accessories/pluggable_transceiver/results/SFP/AT-SPZX80_Delta/x600-24Ts-POE" TargetMode="External"/><Relationship Id="rId1531" Type="http://schemas.openxmlformats.org/officeDocument/2006/relationships/hyperlink" Target="https://jira.atlnz.lc/secure/Tests.jspa" TargetMode="External"/><Relationship Id="rId30" Type="http://schemas.openxmlformats.org/officeDocument/2006/relationships/hyperlink" Target="http://10.32.16.105/systest/products/Accessories/pluggable_transceiver/results/SFP/AT-SPBD10-13_Delta_RevB/AR570S" TargetMode="External"/><Relationship Id="rId126" Type="http://schemas.openxmlformats.org/officeDocument/2006/relationships/hyperlink" Target="http://10.32.16.105/systest/Reports/TestLink/SuiteExecC.php?plan=443246&amp;rep=F&amp;platform=387" TargetMode="External"/><Relationship Id="rId333" Type="http://schemas.openxmlformats.org/officeDocument/2006/relationships/hyperlink" Target="http://10.32.16.105/systest/Reports/TestLink/SuiteExecC.php?plan=478732&amp;rep=F&amp;platform=1052" TargetMode="External"/><Relationship Id="rId540" Type="http://schemas.openxmlformats.org/officeDocument/2006/relationships/hyperlink" Target="http://10.32.16.105/systest/Reports/TestLink/SuiteExecC.php?plan=478730&amp;rep=F&amp;platform=1144" TargetMode="External"/><Relationship Id="rId778" Type="http://schemas.openxmlformats.org/officeDocument/2006/relationships/hyperlink" Target="http://10.32.16.105/systest/Reports/TestLink/SuiteExecC.php?plan=151508&amp;rep=F&amp;platform=201" TargetMode="External"/><Relationship Id="rId985" Type="http://schemas.openxmlformats.org/officeDocument/2006/relationships/hyperlink" Target="http://10.32.16.105/systest/Reports/TestLink/SuiteExecC.php?plan=484370&amp;rep=F&amp;platform=1092" TargetMode="External"/><Relationship Id="rId1170" Type="http://schemas.openxmlformats.org/officeDocument/2006/relationships/hyperlink" Target="http://10.32.16.105/systest/products/Accessories/pluggable_transceiver/results/SFP/AT-SPLX10_RevB/x900-48FE" TargetMode="External"/><Relationship Id="rId1629" Type="http://schemas.openxmlformats.org/officeDocument/2006/relationships/hyperlink" Target="http://10.32.16.105/systest/Reports/TestLink/SuiteExecC.php?plan=120841&amp;rep=F&amp;platform=93" TargetMode="External"/><Relationship Id="rId638" Type="http://schemas.openxmlformats.org/officeDocument/2006/relationships/hyperlink" Target="http://10.32.16.105/systest/Reports/TestLink/SuiteExecC.php?plan=476649&amp;rep=F&amp;platform=180" TargetMode="External"/><Relationship Id="rId845" Type="http://schemas.openxmlformats.org/officeDocument/2006/relationships/hyperlink" Target="http://10.32.16.105/systest/Reports/TestLink/SuiteExecC.php?plan=144574&amp;rep=F&amp;platform=131" TargetMode="External"/><Relationship Id="rId1030" Type="http://schemas.openxmlformats.org/officeDocument/2006/relationships/hyperlink" Target="https://jira.atlnz.lc/secure/Tests.jspa" TargetMode="External"/><Relationship Id="rId1268" Type="http://schemas.openxmlformats.org/officeDocument/2006/relationships/hyperlink" Target="http://10.32.16.105/systest/products/Accessories/pluggable_transceiver/results/SFP/AT-SPSX_Delta/8948i" TargetMode="External"/><Relationship Id="rId1475" Type="http://schemas.openxmlformats.org/officeDocument/2006/relationships/hyperlink" Target="http://10.32.16.105/systest/Reports/TestLink/SuiteExecC.php?plan=96099&amp;rep=F&amp;platform=172" TargetMode="External"/><Relationship Id="rId277" Type="http://schemas.openxmlformats.org/officeDocument/2006/relationships/hyperlink" Target="https://intranet.atlnz.lc/systest/Jira_Reports/testExecReport/jiraExecReport.php?testPlanKey=12&amp;projectKey=TQUALTCM&amp;Report=Report" TargetMode="External"/><Relationship Id="rId400" Type="http://schemas.openxmlformats.org/officeDocument/2006/relationships/hyperlink" Target="http://10.32.16.105/systest/Reports/TestLink/SuiteExecC.php?plan=479406&amp;rep=F&amp;platform=1194" TargetMode="External"/><Relationship Id="rId484" Type="http://schemas.openxmlformats.org/officeDocument/2006/relationships/hyperlink" Target="https://intranet.atlnz.lc/systest/Jira_Reports/testExecReport/jiraExecReport.php?testPlanKey=23&amp;projectKey=TQUALTCM&amp;Report=Report" TargetMode="External"/><Relationship Id="rId705" Type="http://schemas.openxmlformats.org/officeDocument/2006/relationships/hyperlink" Target="http://10.32.16.105/systest/Reports/TestLink/SuiteExecC.php?plan=464959&amp;rep=F&amp;platform=202" TargetMode="External"/><Relationship Id="rId1128" Type="http://schemas.openxmlformats.org/officeDocument/2006/relationships/hyperlink" Target="http://10.32.16.105/systest/products/Accessories/pluggable_transceiver/results/SFP/SumitomoElectric-SBP6F44-AM-BN-49_Single_Fiber_1G/8948i" TargetMode="External"/><Relationship Id="rId1335" Type="http://schemas.openxmlformats.org/officeDocument/2006/relationships/hyperlink" Target="http://10.32.16.105/systest/products/Accessories/pluggable_transceiver/results/SFP/AT-SPZX80_Delta/Switchblade" TargetMode="External"/><Relationship Id="rId1542" Type="http://schemas.openxmlformats.org/officeDocument/2006/relationships/hyperlink" Target="http://10.32.16.105/systest/Reports/TestLink/SuiteExecC.php?plan=484370&amp;rep=F&amp;platform=204" TargetMode="External"/><Relationship Id="rId137" Type="http://schemas.openxmlformats.org/officeDocument/2006/relationships/hyperlink" Target="https://jira.atlnz.lc/secure/Tests.jspa" TargetMode="External"/><Relationship Id="rId344" Type="http://schemas.openxmlformats.org/officeDocument/2006/relationships/hyperlink" Target="http://10.32.16.105/systest/Reports/TestLink/SuiteExecC.php?plan=476649&amp;rep=F&amp;platform=183" TargetMode="External"/><Relationship Id="rId691" Type="http://schemas.openxmlformats.org/officeDocument/2006/relationships/hyperlink" Target="https://jira.atlnz.lc/secure/Tests.jspa" TargetMode="External"/><Relationship Id="rId789" Type="http://schemas.openxmlformats.org/officeDocument/2006/relationships/hyperlink" Target="http://10.32.16.105/systest/Reports/TestLink/SuiteExecC.php?plan=151508&amp;rep=F&amp;platform=233" TargetMode="External"/><Relationship Id="rId912" Type="http://schemas.openxmlformats.org/officeDocument/2006/relationships/hyperlink" Target="https://jira.atlnz.lc/secure/Tests.jspa" TargetMode="External"/><Relationship Id="rId996" Type="http://schemas.openxmlformats.org/officeDocument/2006/relationships/hyperlink" Target="https://intranet.atlnz.lc/systest/Jira_Reports/testExecReport/jiraExecReport.php?testPlanKey=233&amp;projectKey=TQUALTCM&amp;Report=Report" TargetMode="External"/><Relationship Id="rId41" Type="http://schemas.openxmlformats.org/officeDocument/2006/relationships/hyperlink" Target="https://jira.atlnz.lc/secure/Tests.jspa" TargetMode="External"/><Relationship Id="rId551" Type="http://schemas.openxmlformats.org/officeDocument/2006/relationships/hyperlink" Target="https://jira.atlnz.lc/secure/Tests.jspa" TargetMode="External"/><Relationship Id="rId649" Type="http://schemas.openxmlformats.org/officeDocument/2006/relationships/hyperlink" Target="https://jira.atlnz.lc/secure/Tests.jspa" TargetMode="External"/><Relationship Id="rId856" Type="http://schemas.openxmlformats.org/officeDocument/2006/relationships/hyperlink" Target="http://10.32.16.105/systest/products/Accessories/pluggable_transceiver/results/SFP/AT-SPBDM-A_B_APACOpto/x600-24Ts" TargetMode="External"/><Relationship Id="rId1181" Type="http://schemas.openxmlformats.org/officeDocument/2006/relationships/hyperlink" Target="http://10.32.16.105/systest/products/Accessories/pluggable_transceiver/results/SFP/AT-SPLX-10_Delta/XEM-12S" TargetMode="External"/><Relationship Id="rId1279" Type="http://schemas.openxmlformats.org/officeDocument/2006/relationships/hyperlink" Target="http://10.32.16.105/systest/products/Accessories/pluggable_transceiver/results_aw+/SFP/Copper%20SFP/AT-SPTX_Delta/x900-12XT-S" TargetMode="External"/><Relationship Id="rId1402" Type="http://schemas.openxmlformats.org/officeDocument/2006/relationships/hyperlink" Target="https://intranet.atlnz.lc/systest/Jira_Reports/testExecReport/jiraExecReport.php?testPlanKey=15&amp;projectKey=TQUALTCM&amp;Report=Report" TargetMode="External"/><Relationship Id="rId1486" Type="http://schemas.openxmlformats.org/officeDocument/2006/relationships/hyperlink" Target="http://10.32.16.105/systest/Reports/TestLink/SuiteExecC.php?plan=96099&amp;rep=F&amp;platform=94" TargetMode="External"/><Relationship Id="rId190" Type="http://schemas.openxmlformats.org/officeDocument/2006/relationships/hyperlink" Target="http://10.32.16.105/systest/Reports/TestLink/SuiteExecC.php?plan=453806&amp;rep=F&amp;platform=1191" TargetMode="External"/><Relationship Id="rId204" Type="http://schemas.openxmlformats.org/officeDocument/2006/relationships/hyperlink" Target="https://intranet.atlnz.lc/systest/Jira_Reports/testExecReport/jiraExecReport.php?testPlanKey=17&amp;projectKey=TQUALTCM&amp;Report=Report" TargetMode="External"/><Relationship Id="rId288" Type="http://schemas.openxmlformats.org/officeDocument/2006/relationships/hyperlink" Target="https://intranet.atlnz.lc/systest/Jira_Reports/testExecReport/jiraExecReport.php?testPlanKey=18,424&amp;projectKey=TQUALTCM&amp;Report=Report" TargetMode="External"/><Relationship Id="rId411" Type="http://schemas.openxmlformats.org/officeDocument/2006/relationships/hyperlink" Target="https://jira.atlnz.lc/secure/Tests.jspa" TargetMode="External"/><Relationship Id="rId509" Type="http://schemas.openxmlformats.org/officeDocument/2006/relationships/hyperlink" Target="http://10.32.16.105/systest/Reports/TestLink/SuiteExecC.php?plan=96099&amp;rep=F&amp;platform=172" TargetMode="External"/><Relationship Id="rId1041" Type="http://schemas.openxmlformats.org/officeDocument/2006/relationships/hyperlink" Target="http://10.32.16.105/systest/Reports/TestLink/SuiteExecC.php?plan=190067&amp;rep=F&amp;platform=187" TargetMode="External"/><Relationship Id="rId1139" Type="http://schemas.openxmlformats.org/officeDocument/2006/relationships/hyperlink" Target="http://10.32.16.105/systest/products/Accessories/pluggable_transceiver/results/SFP/AT-SPBD10-13_Delta/AT-A65/" TargetMode="External"/><Relationship Id="rId1346" Type="http://schemas.openxmlformats.org/officeDocument/2006/relationships/hyperlink" Target="http://10.32.16.105/systest/products/Accessories/pluggable_transceiver/results/SFP/AT-SPSX_RevBC/x900-48FE_AT-8948i" TargetMode="External"/><Relationship Id="rId495" Type="http://schemas.openxmlformats.org/officeDocument/2006/relationships/hyperlink" Target="https://jira.atlnz.lc/secure/Tests.jspa" TargetMode="External"/><Relationship Id="rId716" Type="http://schemas.openxmlformats.org/officeDocument/2006/relationships/hyperlink" Target="https://intranet.atlnz.lc/systest/Jira_Reports/testExecReport/jiraExecReport.php?testPlanKey=32&amp;projectKey=TQUALTCM&amp;Report=Report" TargetMode="External"/><Relationship Id="rId923" Type="http://schemas.openxmlformats.org/officeDocument/2006/relationships/hyperlink" Target="https://jira.atlnz.lc/secure/Tests.jspa" TargetMode="External"/><Relationship Id="rId1553" Type="http://schemas.openxmlformats.org/officeDocument/2006/relationships/hyperlink" Target="http://10.32.16.105/systest/Reports/TestLink/SuiteExecC.php?plan=95948&amp;rep=F&amp;platform=233" TargetMode="External"/><Relationship Id="rId52" Type="http://schemas.openxmlformats.org/officeDocument/2006/relationships/hyperlink" Target="http://10.32.16.105/systest/Reports/TestLink/SuiteExecC.php?plan=309247&amp;rep=F&amp;platform=188" TargetMode="External"/><Relationship Id="rId148" Type="http://schemas.openxmlformats.org/officeDocument/2006/relationships/hyperlink" Target="https://jira.atlnz.lc/secure/Tests.jspa" TargetMode="External"/><Relationship Id="rId355" Type="http://schemas.openxmlformats.org/officeDocument/2006/relationships/hyperlink" Target="http://10.32.16.105/systest/Reports/TestLink/SuiteExecC.php?plan=458186&amp;rep=F&amp;platform=183" TargetMode="External"/><Relationship Id="rId562" Type="http://schemas.openxmlformats.org/officeDocument/2006/relationships/hyperlink" Target="http://10.32.16.105/systest/Reports/TestLink/SuiteExecC.php?plan=479406&amp;rep=F&amp;platform=181" TargetMode="External"/><Relationship Id="rId1192" Type="http://schemas.openxmlformats.org/officeDocument/2006/relationships/hyperlink" Target="http://10.32.16.105/systest/products/Accessories/pluggable_transceiver/results/SFP/WTD-RTXM191_AT-SPLX30/AT-AR770S" TargetMode="External"/><Relationship Id="rId1206" Type="http://schemas.openxmlformats.org/officeDocument/2006/relationships/hyperlink" Target="http://10.32.16.105/systest/products/Accessories/pluggable_transceiver/results/SFP/AT-SPLX-40_Delta/8948i" TargetMode="External"/><Relationship Id="rId1413" Type="http://schemas.openxmlformats.org/officeDocument/2006/relationships/hyperlink" Target="https://intranet.atlnz.lc/systest/Jira_Reports/testExecReport/jiraExecReport.php?testPlanKey=504&amp;projectKey=TQUALTCM&amp;Report=Report" TargetMode="External"/><Relationship Id="rId1620" Type="http://schemas.openxmlformats.org/officeDocument/2006/relationships/hyperlink" Target="http://10.32.16.105/systest/Reports/TestLink/SuiteExecC.php?plan=191480&amp;rep=F&amp;platform=203" TargetMode="External"/><Relationship Id="rId215" Type="http://schemas.openxmlformats.org/officeDocument/2006/relationships/hyperlink" Target="http://10.32.16.105/systest/Reports/TestLink/SuiteExecC.php?plan=182009&amp;rep=F&amp;platform=203" TargetMode="External"/><Relationship Id="rId422" Type="http://schemas.openxmlformats.org/officeDocument/2006/relationships/hyperlink" Target="http://10.32.16.105/systest/Reports/TestLink/SuiteExecC.php?plan=309247&amp;rep=F&amp;platform=184" TargetMode="External"/><Relationship Id="rId867" Type="http://schemas.openxmlformats.org/officeDocument/2006/relationships/hyperlink" Target="http://10.32.16.105/systest/products/Accessories/pluggable_transceiver/results/SFP/FIBEREXON-FTM-9301C-SL20i/x900-24XS_XEM-12S_Mustang" TargetMode="External"/><Relationship Id="rId1052" Type="http://schemas.openxmlformats.org/officeDocument/2006/relationships/hyperlink" Target="http://10.32.16.105/systest/Reports/TestLink/SuiteExecC.php?plan=95949&amp;rep=F&amp;platform=201" TargetMode="External"/><Relationship Id="rId1497" Type="http://schemas.openxmlformats.org/officeDocument/2006/relationships/hyperlink" Target="http://10.32.16.105/systest/Reports/TestLink/SuiteExecC.php?plan=308256&amp;rep=F&amp;platform=188" TargetMode="External"/><Relationship Id="rId299" Type="http://schemas.openxmlformats.org/officeDocument/2006/relationships/hyperlink" Target="http://10.32.16.105/systest/Reports/TestLink/SuiteExecC.php?plan=309247&amp;rep=F&amp;platform=182" TargetMode="External"/><Relationship Id="rId727" Type="http://schemas.openxmlformats.org/officeDocument/2006/relationships/hyperlink" Target="https://jira.atlnz.lc/secure/Tests.jspa" TargetMode="External"/><Relationship Id="rId934" Type="http://schemas.openxmlformats.org/officeDocument/2006/relationships/hyperlink" Target="https://jira.atlnz.lc/secure/Tests.jspa" TargetMode="External"/><Relationship Id="rId1357" Type="http://schemas.openxmlformats.org/officeDocument/2006/relationships/hyperlink" Target="https://intranet.atlnz.lc/systest/Jira_Reports/testExecReport/jiraExecReport.php?testPlanKey=440&amp;projectKey=TQUALTCM&amp;Report=Report" TargetMode="External"/><Relationship Id="rId1564" Type="http://schemas.openxmlformats.org/officeDocument/2006/relationships/hyperlink" Target="http://10.32.16.105/systest/products/Accessories/pluggable_transceiver/results/SFP/AT-SPBD10-13_Delta_RevB/8648T_2SP" TargetMode="External"/><Relationship Id="rId63" Type="http://schemas.openxmlformats.org/officeDocument/2006/relationships/hyperlink" Target="http://10.32.16.105/systest/Reports/TestLink/SuiteExecC.php?plan=75503&amp;rep=F" TargetMode="External"/><Relationship Id="rId159" Type="http://schemas.openxmlformats.org/officeDocument/2006/relationships/hyperlink" Target="http://10.32.16.105/systest/Reports/TestLink/SuiteExecC.php?plan=453806&amp;rep=F&amp;platform=387" TargetMode="External"/><Relationship Id="rId366" Type="http://schemas.openxmlformats.org/officeDocument/2006/relationships/hyperlink" Target="http://10.32.16.105/systest/Reports/TestLink/SuiteExecC.php?plan=152235&amp;rep=F&amp;platform=183" TargetMode="External"/><Relationship Id="rId573" Type="http://schemas.openxmlformats.org/officeDocument/2006/relationships/hyperlink" Target="http://10.32.16.105/systest/Reports/TestLink/SuiteExecC.php?plan=95956&amp;rep=F&amp;platform=202" TargetMode="External"/><Relationship Id="rId780" Type="http://schemas.openxmlformats.org/officeDocument/2006/relationships/hyperlink" Target="http://10.32.16.105/systest/Reports/TestLink/SuiteExecC.php?plan=479406&amp;rep=F&amp;platform=350" TargetMode="External"/><Relationship Id="rId1217" Type="http://schemas.openxmlformats.org/officeDocument/2006/relationships/hyperlink" Target="http://10.32.16.105/systest/Reports/TestLink/SuiteExecC.php?plan=476649&amp;rep=F&amp;platform=179" TargetMode="External"/><Relationship Id="rId1424" Type="http://schemas.openxmlformats.org/officeDocument/2006/relationships/hyperlink" Target="https://intranet.atlnz.lc/systest/Jira_Reports/testExecReport/jiraExecReport.php?testPlanKey=496,497&amp;projectKey=TQUALTCM&amp;Report=Report" TargetMode="External"/><Relationship Id="rId1631" Type="http://schemas.openxmlformats.org/officeDocument/2006/relationships/hyperlink" Target="http://10.32.16.105/systest/Reports/TestLink/SuiteExecC.php?plan=120841&amp;rep=F" TargetMode="External"/><Relationship Id="rId226" Type="http://schemas.openxmlformats.org/officeDocument/2006/relationships/hyperlink" Target="http://10.32.16.105/systest/Reports/TestLink/SuiteExecC.php?plan=120841&amp;rep=F" TargetMode="External"/><Relationship Id="rId433" Type="http://schemas.openxmlformats.org/officeDocument/2006/relationships/hyperlink" Target="http://intranet.alliedtelesyn.co.nz/systest/Reports/TestLink/SuiteExecC.php?plan=92175&amp;platform=45&amp;rep=f" TargetMode="External"/><Relationship Id="rId878" Type="http://schemas.openxmlformats.org/officeDocument/2006/relationships/hyperlink" Target="http://10.32.16.105/systest/products/Accessories/pluggable_transceiver/results_aw+/SFP/100M%20fiber%20SFP/Fiberxon_FTM-9501S-S20iG/Switchblade-x908_XEM-12S" TargetMode="External"/><Relationship Id="rId1063" Type="http://schemas.openxmlformats.org/officeDocument/2006/relationships/hyperlink" Target="http://10.32.16.105/systest/Reports/TestLink/SuiteExecC.php?plan=130431&amp;rep=F&amp;platform=202" TargetMode="External"/><Relationship Id="rId1270" Type="http://schemas.openxmlformats.org/officeDocument/2006/relationships/hyperlink" Target="http://10.32.16.105/systest/products/Accessories/pluggable_transceiver/results/SFP/AT-SPSX_Delta/XEM-12S" TargetMode="External"/><Relationship Id="rId640" Type="http://schemas.openxmlformats.org/officeDocument/2006/relationships/hyperlink" Target="http://10.32.16.105/systest/Reports/TestLink/SuiteExecC.php?plan=440944&amp;rep=F&amp;platform=180" TargetMode="External"/><Relationship Id="rId738" Type="http://schemas.openxmlformats.org/officeDocument/2006/relationships/hyperlink" Target="http://10.32.16.105/systest/Reports/TestLink/SuiteExecC.php?plan=82156&amp;rep=F" TargetMode="External"/><Relationship Id="rId945" Type="http://schemas.openxmlformats.org/officeDocument/2006/relationships/hyperlink" Target="https://jira.atlnz.lc/secure/Tests.jspa" TargetMode="External"/><Relationship Id="rId1368" Type="http://schemas.openxmlformats.org/officeDocument/2006/relationships/hyperlink" Target="https://intranet.atlnz.lc/systest/Jira_Reports/testExecReport/jiraExecReport.php?testPlanKey=440&amp;projectKey=TQUALTCM&amp;Report=Report" TargetMode="External"/><Relationship Id="rId1575" Type="http://schemas.openxmlformats.org/officeDocument/2006/relationships/hyperlink" Target="http://10.32.16.105/systest/Reports/TestLink/SuiteExecC.php?plan=442278&amp;rep=F&amp;platform=188" TargetMode="External"/><Relationship Id="rId74" Type="http://schemas.openxmlformats.org/officeDocument/2006/relationships/hyperlink" Target="http://10.32.16.105/systest/products/Accessories/pluggable_transceiver/results/SFP/AT-SPBD10-13_Delta_RevB/x900-48FS" TargetMode="External"/><Relationship Id="rId377" Type="http://schemas.openxmlformats.org/officeDocument/2006/relationships/hyperlink" Target="http://10.32.16.105/systest/products/Accessories/pluggable_transceiver/results/SFP/AT-SPLX10_RevB/x600-24Ts_XP" TargetMode="External"/><Relationship Id="rId500" Type="http://schemas.openxmlformats.org/officeDocument/2006/relationships/hyperlink" Target="http://10.32.16.105/systest/Reports/TestLink/SuiteExecC.php?plan=458186&amp;rep=F&amp;platform=185" TargetMode="External"/><Relationship Id="rId584" Type="http://schemas.openxmlformats.org/officeDocument/2006/relationships/hyperlink" Target="http://10.32.16.105/systest/Reports/TestLink/SuiteExecC.php?plan=69213&amp;rep=F" TargetMode="External"/><Relationship Id="rId805" Type="http://schemas.openxmlformats.org/officeDocument/2006/relationships/hyperlink" Target="http://intranet.atlnz.lc/systest/Reports/TestLink/SuiteExecC.php?plan=486647&amp;rep=F&amp;platform=389" TargetMode="External"/><Relationship Id="rId1130" Type="http://schemas.openxmlformats.org/officeDocument/2006/relationships/hyperlink" Target="http://10.32.16.105/systest/products/Accessories/pluggable_transceiver/results/SFP/SumitomoElectric-SBP6F44-AM-BN-49_Single_Fiber_1G/SPsi" TargetMode="External"/><Relationship Id="rId1228" Type="http://schemas.openxmlformats.org/officeDocument/2006/relationships/hyperlink" Target="http://10.32.16.105/systest/Reports/TestLink/SuiteExecC.php?plan=458186&amp;rep=F&amp;platform=179" TargetMode="External"/><Relationship Id="rId1435" Type="http://schemas.openxmlformats.org/officeDocument/2006/relationships/hyperlink" Target="https://wallace4.atlnz.lc/systest/Jira_Reports/testExecReport/jiraExecReport_wallace4.php?testPlanKey=109&amp;projectKey=TQUALTCM&amp;Report=Report" TargetMode="External"/><Relationship Id="rId5" Type="http://schemas.openxmlformats.org/officeDocument/2006/relationships/hyperlink" Target="http://www.alliedtelesis.com/media/datasheets/sbx908_ds.pdf" TargetMode="External"/><Relationship Id="rId237" Type="http://schemas.openxmlformats.org/officeDocument/2006/relationships/hyperlink" Target="http://10.32.16.105/systest/Reports/TestLink/SuiteExecC.php?plan=120841&amp;rep=F&amp;platform=93" TargetMode="External"/><Relationship Id="rId791" Type="http://schemas.openxmlformats.org/officeDocument/2006/relationships/hyperlink" Target="http://10.32.16.105/systest/Reports/TestLink/SuiteExecC.php?plan=151508&amp;rep=F&amp;platform=131" TargetMode="External"/><Relationship Id="rId889" Type="http://schemas.openxmlformats.org/officeDocument/2006/relationships/hyperlink" Target="https://jira.atlnz.lc/secure/Tests.jspa" TargetMode="External"/><Relationship Id="rId1074" Type="http://schemas.openxmlformats.org/officeDocument/2006/relationships/hyperlink" Target="http://10.32.16.105/systest/products/Accessories/pluggable_transceiver/results/SFP/AT-SPBD10-13_Sumitomo_SBP6H44-AM-BN-31/AT-A65" TargetMode="External"/><Relationship Id="rId444" Type="http://schemas.openxmlformats.org/officeDocument/2006/relationships/hyperlink" Target="https://jira.atlnz.lc/secure/Tests.jspa" TargetMode="External"/><Relationship Id="rId651" Type="http://schemas.openxmlformats.org/officeDocument/2006/relationships/hyperlink" Target="http://10.32.16.105/systest/Reports/TestLink/SuiteExecC.php?plan=95957&amp;rep=F&amp;platform=201" TargetMode="External"/><Relationship Id="rId749" Type="http://schemas.openxmlformats.org/officeDocument/2006/relationships/hyperlink" Target="https://intranet.atlnz.lc/systest/Jira_Reports/testExecReport/jiraExecReport.php?testPlanKey=33&amp;projectKey=TQUALTCM&amp;Report=Report" TargetMode="External"/><Relationship Id="rId1281" Type="http://schemas.openxmlformats.org/officeDocument/2006/relationships/hyperlink" Target="http://10.32.16.105/systest/products/Accessories/pluggable_transceiver/results/SFP/AT-SPTX_Delta/8948i" TargetMode="External"/><Relationship Id="rId1379" Type="http://schemas.openxmlformats.org/officeDocument/2006/relationships/hyperlink" Target="https://intranet.atlnz.lc/systest/Jira_Reports/testExecReport/jiraExecReport.php?testPlanKey=480,481&amp;projectKey=TQUALTCM&amp;Report=Report" TargetMode="External"/><Relationship Id="rId1502" Type="http://schemas.openxmlformats.org/officeDocument/2006/relationships/hyperlink" Target="http://10.32.16.105/systest/Reports/TestLink/SuiteExecC.php?plan=308258&amp;rep=F&amp;platform=187" TargetMode="External"/><Relationship Id="rId1586" Type="http://schemas.openxmlformats.org/officeDocument/2006/relationships/hyperlink" Target="http://10.32.16.105/systest/products/Accessories/pluggable_transceiver/results/SFP/AT-SPBD10-13_Delta_RevB/x900-48FS" TargetMode="External"/><Relationship Id="rId290" Type="http://schemas.openxmlformats.org/officeDocument/2006/relationships/hyperlink" Target="http://10.32.16.105/systest/Reports/TestLink/SuiteExecC.php?plan=480293&amp;rep=F&amp;platform=182" TargetMode="External"/><Relationship Id="rId304" Type="http://schemas.openxmlformats.org/officeDocument/2006/relationships/hyperlink" Target="http://10.32.16.105/systest/Reports/TestLink/SuiteExecC.php?plan=123414&amp;rep=F&amp;platform=182" TargetMode="External"/><Relationship Id="rId388" Type="http://schemas.openxmlformats.org/officeDocument/2006/relationships/hyperlink" Target="http://10.32.16.105/systest/products/Accessories/pluggable_transceiver/results/SFP/AT-SPLX10_RevB/x900-24XS" TargetMode="External"/><Relationship Id="rId511" Type="http://schemas.openxmlformats.org/officeDocument/2006/relationships/hyperlink" Target="http://10.32.16.105/systest/Reports/TestLink/SuiteExecC.php?plan=442278&amp;rep=F&amp;platform=185" TargetMode="External"/><Relationship Id="rId609" Type="http://schemas.openxmlformats.org/officeDocument/2006/relationships/hyperlink" Target="https://intranet.atlnz.lc/systest/Jira_Reports/testExecReport/jiraExecReport.php?testPlanKey=422&amp;projectKey=TQUALTCM&amp;Report=Report" TargetMode="External"/><Relationship Id="rId956" Type="http://schemas.openxmlformats.org/officeDocument/2006/relationships/hyperlink" Target="https://jira.atlnz.lc/secure/Tests.jspa" TargetMode="External"/><Relationship Id="rId1141" Type="http://schemas.openxmlformats.org/officeDocument/2006/relationships/hyperlink" Target="http://www.alliedtelesis.com/media/datasheets/sbx908_ds.pdf" TargetMode="External"/><Relationship Id="rId1239" Type="http://schemas.openxmlformats.org/officeDocument/2006/relationships/hyperlink" Target="http://10.32.16.105/systest/Reports/TestLink/SuiteExecC.php?plan=458763&amp;rep=F&amp;platform=179" TargetMode="External"/><Relationship Id="rId85" Type="http://schemas.openxmlformats.org/officeDocument/2006/relationships/hyperlink" Target="https://intranet.atlnz.lc/systest/Jira_Reports/testExecReport/jiraExecReport.php?testPlanKey=370,371&amp;projectKey=TQUALTCM&amp;Report=Report" TargetMode="External"/><Relationship Id="rId150" Type="http://schemas.openxmlformats.org/officeDocument/2006/relationships/hyperlink" Target="http://10.32.16.105/systest/Reports/TestLink/SuiteExecC.php?plan=453806&amp;rep=F&amp;platform=389" TargetMode="External"/><Relationship Id="rId595" Type="http://schemas.openxmlformats.org/officeDocument/2006/relationships/hyperlink" Target="https://intranet.atlnz.lc/systest/Jira_Reports/testExecReport/jiraExecReport.php?testPlanKey=422&amp;projectKey=TQUALTCM&amp;Report=Report" TargetMode="External"/><Relationship Id="rId816" Type="http://schemas.openxmlformats.org/officeDocument/2006/relationships/hyperlink" Target="http://10.32.16.105/systest/Reports/TestLink/SuiteExecC.php?plan=478894&amp;rep=F&amp;platform=186" TargetMode="External"/><Relationship Id="rId1001" Type="http://schemas.openxmlformats.org/officeDocument/2006/relationships/hyperlink" Target="https://jira.atlnz.lc/secure/Tests.jspa" TargetMode="External"/><Relationship Id="rId1446" Type="http://schemas.openxmlformats.org/officeDocument/2006/relationships/hyperlink" Target="https://wallace4.atlnz.lc/systest/Jira_Reports/testExecReport/jiraExecReport_wallace4.php?testPlanKey=370&amp;projectKey=TQUALTCM&amp;Report=Report" TargetMode="External"/><Relationship Id="rId248" Type="http://schemas.openxmlformats.org/officeDocument/2006/relationships/hyperlink" Target="https://jira.atlnz.lc/secure/Tests.jspa" TargetMode="External"/><Relationship Id="rId455" Type="http://schemas.openxmlformats.org/officeDocument/2006/relationships/hyperlink" Target="https://jira.atlnz.lc/secure/Tests.jspa" TargetMode="External"/><Relationship Id="rId662" Type="http://schemas.openxmlformats.org/officeDocument/2006/relationships/hyperlink" Target="http://10.32.16.105/systest/Reports/TestLink/SuiteExecC.php?plan=95957&amp;rep=F&amp;platform=202" TargetMode="External"/><Relationship Id="rId1085" Type="http://schemas.openxmlformats.org/officeDocument/2006/relationships/hyperlink" Target="http://10.32.16.105/systest/Reports/TestLink/SuiteExecC.php?plan=440944&amp;rep=F&amp;platform=187" TargetMode="External"/><Relationship Id="rId1292" Type="http://schemas.openxmlformats.org/officeDocument/2006/relationships/hyperlink" Target="http://10.32.16.105/systest/products/Accessories/pluggable_transceiver/results/SFP/AT-SPTX2_Delta/AT-A65" TargetMode="External"/><Relationship Id="rId1306" Type="http://schemas.openxmlformats.org/officeDocument/2006/relationships/hyperlink" Target="http://10.32.16.105/systest/products/Accessories/pluggable_transceiver/results_aw+/SFP/1G%20fiber%20SFP/AT-ZX80/Switchblade-x908_XEM-12S" TargetMode="External"/><Relationship Id="rId1513" Type="http://schemas.openxmlformats.org/officeDocument/2006/relationships/hyperlink" Target="http://10.32.16.105/systest/Reports/TestLink/SuiteExecC.php?plan=308256&amp;rep=F&amp;platform=186" TargetMode="External"/><Relationship Id="rId12" Type="http://schemas.openxmlformats.org/officeDocument/2006/relationships/hyperlink" Target="http://10.32.16.105/systest/Reports/TestLink/SuiteExecC.php?plan=478894&amp;rep=F&amp;platform=188" TargetMode="External"/><Relationship Id="rId108" Type="http://schemas.openxmlformats.org/officeDocument/2006/relationships/hyperlink" Target="http://10.32.16.105/systest/Reports/TestLink/SuiteExecC.php?plan=443246&amp;rep=F&amp;platform=390" TargetMode="External"/><Relationship Id="rId315" Type="http://schemas.openxmlformats.org/officeDocument/2006/relationships/hyperlink" Target="http://10.32.16.105/systest/products/Accessories/pluggable_transceiver/results_aw+/SFP/1G%20fiber%20SFP/AT-SPEX_Delta/x600-24" TargetMode="External"/><Relationship Id="rId522" Type="http://schemas.openxmlformats.org/officeDocument/2006/relationships/hyperlink" Target="http://10.32.16.105/systest/Reports/TestLink/SuiteExecC.php?plan=96099&amp;rep=F&amp;platform=117" TargetMode="External"/><Relationship Id="rId967" Type="http://schemas.openxmlformats.org/officeDocument/2006/relationships/hyperlink" Target="http://10.32.16.105/systest/Reports/TestLink/SuiteExecC.php?plan=484370&amp;rep=F&amp;platform=390" TargetMode="External"/><Relationship Id="rId1152" Type="http://schemas.openxmlformats.org/officeDocument/2006/relationships/hyperlink" Target="http://10.32.16.105/systest/products/Accessories/pluggable_transceiver/results/SFP/AT-SPBD10-14_Delta/x900-48FE_8948i" TargetMode="External"/><Relationship Id="rId1597" Type="http://schemas.openxmlformats.org/officeDocument/2006/relationships/hyperlink" Target="http://10.32.16.105/systest/Reports/TestLink/SuiteExecC.php?plan=123414&amp;rep=F&amp;platform=188" TargetMode="External"/><Relationship Id="rId96" Type="http://schemas.openxmlformats.org/officeDocument/2006/relationships/hyperlink" Target="http://10.32.16.105/systest/Reports/TestLink/SuiteExecC.php?plan=443246&amp;rep=F&amp;platform=387" TargetMode="External"/><Relationship Id="rId161" Type="http://schemas.openxmlformats.org/officeDocument/2006/relationships/hyperlink" Target="http://10.32.16.105/systest/Reports/TestLink/SuiteExecC.php?plan=453806&amp;rep=F&amp;platform=171" TargetMode="External"/><Relationship Id="rId399" Type="http://schemas.openxmlformats.org/officeDocument/2006/relationships/hyperlink" Target="http://10.32.16.105/systest/Reports/TestLink/SuiteExecC.php?plan=479406&amp;rep=F&amp;platform=1195" TargetMode="External"/><Relationship Id="rId827" Type="http://schemas.openxmlformats.org/officeDocument/2006/relationships/hyperlink" Target="https://jira.atlnz.lc/secure/Tests.jspa" TargetMode="External"/><Relationship Id="rId1012" Type="http://schemas.openxmlformats.org/officeDocument/2006/relationships/hyperlink" Target="https://jira.atlnz.lc/secure/Tests.jspa" TargetMode="External"/><Relationship Id="rId1457" Type="http://schemas.openxmlformats.org/officeDocument/2006/relationships/hyperlink" Target="https://wallace4.atlnz.lc/systest/Jira_Reports/testExecReport/jiraExecReport_wallace4.php?testPlanKey=139&amp;projectKey=TQUALTCM&amp;Report=Report" TargetMode="External"/><Relationship Id="rId259" Type="http://schemas.openxmlformats.org/officeDocument/2006/relationships/hyperlink" Target="http://10.32.16.105/systest/Reports/TestLink/SuiteExecC.php?plan=309247&amp;rep=F&amp;platform=203" TargetMode="External"/><Relationship Id="rId466" Type="http://schemas.openxmlformats.org/officeDocument/2006/relationships/hyperlink" Target="https://jira.atlnz.lc/secure/Tests.jspa" TargetMode="External"/><Relationship Id="rId673" Type="http://schemas.openxmlformats.org/officeDocument/2006/relationships/hyperlink" Target="http://10.32.16.105/systest/products/Accessories/pluggable_transceiver/results/SFP/AT-SPSX_RevB_Delta/AR570" TargetMode="External"/><Relationship Id="rId880" Type="http://schemas.openxmlformats.org/officeDocument/2006/relationships/hyperlink" Target="http://10.32.16.105/systest/products/Accessories/pluggable_transceiver/results/SFP/FIBEREXON-FTM-9501S-S20i/x900-24XS_XEM-12S_Mustang" TargetMode="External"/><Relationship Id="rId1096" Type="http://schemas.openxmlformats.org/officeDocument/2006/relationships/hyperlink" Target="http://10.32.16.105/systest/Reports/TestLink/SuiteExecC.php?plan=150200&amp;rep=F&amp;platform=187" TargetMode="External"/><Relationship Id="rId1317" Type="http://schemas.openxmlformats.org/officeDocument/2006/relationships/hyperlink" Target="http://10.32.16.105/systest/Reports/TestLink/SuiteExecC.php?plan=123414&amp;rep=F&amp;platform=186" TargetMode="External"/><Relationship Id="rId1524" Type="http://schemas.openxmlformats.org/officeDocument/2006/relationships/hyperlink" Target="https://intranet.atlnz.lc/systest/Jira_Reports/testExecReport/jiraExecReport.php?testPlanKey=422&amp;projectKey=TQUALTCM&amp;Report=Report" TargetMode="External"/><Relationship Id="rId23" Type="http://schemas.openxmlformats.org/officeDocument/2006/relationships/hyperlink" Target="http://10.32.16.105/systest/Reports/TestLink/SuiteExecC.php?plan=95948&amp;rep=F&amp;platform=127" TargetMode="External"/><Relationship Id="rId119" Type="http://schemas.openxmlformats.org/officeDocument/2006/relationships/hyperlink" Target="https://jira.atlnz.lc/secure/Tests.jspa" TargetMode="External"/><Relationship Id="rId326" Type="http://schemas.openxmlformats.org/officeDocument/2006/relationships/hyperlink" Target="https://jira.atlnz.lc/secure/Tests.jspa" TargetMode="External"/><Relationship Id="rId533" Type="http://schemas.openxmlformats.org/officeDocument/2006/relationships/hyperlink" Target="https://jira.atlnz.lc/secure/Tests.jspa" TargetMode="External"/><Relationship Id="rId978" Type="http://schemas.openxmlformats.org/officeDocument/2006/relationships/hyperlink" Target="http://10.32.16.105/systest/Reports/TestLink/SuiteExecC.php?plan=484370&amp;rep=F&amp;platform=1191" TargetMode="External"/><Relationship Id="rId1163" Type="http://schemas.openxmlformats.org/officeDocument/2006/relationships/hyperlink" Target="http://10.32.16.105/systest/products/Accessories/pluggable_transceiver/results/SFP/AT-SPLX10_RevB/x900-12XT_S" TargetMode="External"/><Relationship Id="rId1370" Type="http://schemas.openxmlformats.org/officeDocument/2006/relationships/hyperlink" Target="https://intranet.atlnz.lc/systest/Jira_Reports/testExecReport/jiraExecReport.php?testPlanKey=440&amp;projectKey=TQUALTCM&amp;Report=Report" TargetMode="External"/><Relationship Id="rId740" Type="http://schemas.openxmlformats.org/officeDocument/2006/relationships/hyperlink" Target="http://10.32.16.105/systest/products/Accessories/pluggable_transceiver/results/SFP/AT-SPTX_RevC/x600-48Ts_XP/" TargetMode="External"/><Relationship Id="rId838" Type="http://schemas.openxmlformats.org/officeDocument/2006/relationships/hyperlink" Target="http://10.32.16.105/systest/Reports/TestLink/SuiteExecC.php?plan=442278&amp;rep=F&amp;platform=186" TargetMode="External"/><Relationship Id="rId1023" Type="http://schemas.openxmlformats.org/officeDocument/2006/relationships/hyperlink" Target="https://intranet.atlnz.lc/systest/Jira_Reports/testExecReport/jiraExecReport.php?testPlanKey=116,233&amp;projectKey=TQUALTCM&amp;Report=Report" TargetMode="External"/><Relationship Id="rId1468" Type="http://schemas.openxmlformats.org/officeDocument/2006/relationships/hyperlink" Target="https://wallace4.atlnz.lc/systest/Jira_Reports/testExecReport/jiraExecReport_wallace4.php?testPlanKey=32&amp;projectKey=TQUALTCM&amp;Report=Report" TargetMode="External"/><Relationship Id="rId172" Type="http://schemas.openxmlformats.org/officeDocument/2006/relationships/hyperlink" Target="http://10.32.16.105/systest/Reports/TestLink/SuiteExecC.php?plan=453806&amp;rep=F&amp;platform=1051" TargetMode="External"/><Relationship Id="rId477" Type="http://schemas.openxmlformats.org/officeDocument/2006/relationships/hyperlink" Target="https://jira.atlnz.lc/secure/Tests.jspa" TargetMode="External"/><Relationship Id="rId600" Type="http://schemas.openxmlformats.org/officeDocument/2006/relationships/hyperlink" Target="https://intranet.atlnz.lc/systest/Jira_Reports/testExecReport/jiraExecReport.php?testPlanKey=422&amp;projectKey=TQUALTCM&amp;Report=Report" TargetMode="External"/><Relationship Id="rId684" Type="http://schemas.openxmlformats.org/officeDocument/2006/relationships/hyperlink" Target="https://jira.atlnz.lc/secure/Tests.jspa" TargetMode="External"/><Relationship Id="rId1230" Type="http://schemas.openxmlformats.org/officeDocument/2006/relationships/hyperlink" Target="http://10.32.16.105/systest/Reports/TestLink/SuiteExecC.php?plan=309247&amp;rep=F&amp;platform=179" TargetMode="External"/><Relationship Id="rId1328" Type="http://schemas.openxmlformats.org/officeDocument/2006/relationships/hyperlink" Target="http://10.32.16.105/systest/products/Accessories/pluggable_transceiver/results/SFP/AT-SPZX80_Delta/8948i" TargetMode="External"/><Relationship Id="rId1535" Type="http://schemas.openxmlformats.org/officeDocument/2006/relationships/hyperlink" Target="http://10.32.16.105/systest/Reports/TestLink/SuiteExecC.php?plan=308256&amp;rep=F&amp;platform=183" TargetMode="External"/><Relationship Id="rId337" Type="http://schemas.openxmlformats.org/officeDocument/2006/relationships/hyperlink" Target="http://10.32.16.105/systest/Reports/TestLink/SuiteExecC.php?plan=478732&amp;rep=F&amp;platform=1138" TargetMode="External"/><Relationship Id="rId891" Type="http://schemas.openxmlformats.org/officeDocument/2006/relationships/hyperlink" Target="https://jira.atlnz.lc/secure/Tests.jspa" TargetMode="External"/><Relationship Id="rId905" Type="http://schemas.openxmlformats.org/officeDocument/2006/relationships/hyperlink" Target="https://jira.atlnz.lc/secure/Tests.jspa" TargetMode="External"/><Relationship Id="rId989" Type="http://schemas.openxmlformats.org/officeDocument/2006/relationships/hyperlink" Target="http://10.32.16.105/systest/Reports/TestLink/SuiteExecC.php?plan=484370&amp;rep=F&amp;platform=233" TargetMode="External"/><Relationship Id="rId34" Type="http://schemas.openxmlformats.org/officeDocument/2006/relationships/hyperlink" Target="https://intranet.atlnz.lc/systest/Jira_Reports/testExecReport/jiraExecReport.php?testPlanKey=36&amp;projectKey=TQUALTCM&amp;Report=Report" TargetMode="External"/><Relationship Id="rId544" Type="http://schemas.openxmlformats.org/officeDocument/2006/relationships/hyperlink" Target="http://10.32.16.105/systest/Reports/TestLink/SuiteExecC.php?plan=309151&amp;rep=F&amp;platform=181" TargetMode="External"/><Relationship Id="rId751" Type="http://schemas.openxmlformats.org/officeDocument/2006/relationships/hyperlink" Target="https://jira.atlnz.lc/secure/Tests.jspa" TargetMode="External"/><Relationship Id="rId849" Type="http://schemas.openxmlformats.org/officeDocument/2006/relationships/hyperlink" Target="http://10.32.16.105/systest/Reports/TestLink/SuiteExecC.php?plan=144574&amp;rep=F&amp;platform=117" TargetMode="External"/><Relationship Id="rId1174" Type="http://schemas.openxmlformats.org/officeDocument/2006/relationships/hyperlink" Target="http://10.32.16.105/systest/Reports/TestLink/SuiteExecC.php?plan=54088&amp;rep=F" TargetMode="External"/><Relationship Id="rId1381" Type="http://schemas.openxmlformats.org/officeDocument/2006/relationships/hyperlink" Target="https://intranet.atlnz.lc/systest/Jira_Reports/testExecReport/jiraExecReport.php?testPlanKey=480,481&amp;projectKey=TQUALTCM&amp;Report=Report" TargetMode="External"/><Relationship Id="rId1479" Type="http://schemas.openxmlformats.org/officeDocument/2006/relationships/hyperlink" Target="http://10.32.16.105/systest/Reports/TestLink/SuiteExecC.php?plan=459219&amp;rep=F&amp;platform=185" TargetMode="External"/><Relationship Id="rId1602" Type="http://schemas.openxmlformats.org/officeDocument/2006/relationships/hyperlink" Target="http://10.32.16.105/systest/Reports/TestLink/SuiteExecC.php?plan=123414&amp;rep=F&amp;platform=203" TargetMode="External"/><Relationship Id="rId183" Type="http://schemas.openxmlformats.org/officeDocument/2006/relationships/hyperlink" Target="http://10.32.16.105/systest/Reports/TestLink/SuiteExecC.php?plan=453806&amp;rep=F&amp;platform=389" TargetMode="External"/><Relationship Id="rId390" Type="http://schemas.openxmlformats.org/officeDocument/2006/relationships/hyperlink" Target="https://intranet.atlnz.lc/systest/Jira_Reports/testExecReport/jiraExecReport.php?testPlanKey=21&amp;projectKey=TQUALTCM&amp;Report=Report" TargetMode="External"/><Relationship Id="rId404" Type="http://schemas.openxmlformats.org/officeDocument/2006/relationships/hyperlink" Target="https://intranet.atlnz.lc/systest/Jira_Reports/testExecReport/jiraExecReport.php?testPlanKey=22&amp;projectKey=TQUALTCM&amp;Report=Report" TargetMode="External"/><Relationship Id="rId611" Type="http://schemas.openxmlformats.org/officeDocument/2006/relationships/hyperlink" Target="https://intranet.atlnz.lc/systest/Jira_Reports/testExecReport/jiraExecReport.php?testPlanKey=422&amp;projectKey=TQUALTCM&amp;Report=Report" TargetMode="External"/><Relationship Id="rId1034" Type="http://schemas.openxmlformats.org/officeDocument/2006/relationships/hyperlink" Target="https://jira.atlnz.lc/secure/Tests.jspa" TargetMode="External"/><Relationship Id="rId1241" Type="http://schemas.openxmlformats.org/officeDocument/2006/relationships/hyperlink" Target="http://10.32.16.105/systest/Reports/TestLink/SuiteExecC.php?plan=95955&amp;rep=F&amp;platform=233" TargetMode="External"/><Relationship Id="rId1339" Type="http://schemas.openxmlformats.org/officeDocument/2006/relationships/hyperlink" Target="http://10.32.16.105/systest/products/Accessories/pluggable_transceiver/results_aw+/SFP/1G%20fiber%20SFP/AT-SPSX_RevBC/x600-24Ts_XP" TargetMode="External"/><Relationship Id="rId250" Type="http://schemas.openxmlformats.org/officeDocument/2006/relationships/hyperlink" Target="https://jira.atlnz.lc/secure/Tests.jspa" TargetMode="External"/><Relationship Id="rId488" Type="http://schemas.openxmlformats.org/officeDocument/2006/relationships/hyperlink" Target="http://10.32.16.105/systest/Reports/TestLink/SuiteExecC.php?plan=478894&amp;rep=F&amp;platform=185" TargetMode="External"/><Relationship Id="rId695" Type="http://schemas.openxmlformats.org/officeDocument/2006/relationships/hyperlink" Target="http://10.32.16.105/systest/Reports/TestLink/SuiteExecC.php?plan=464959&amp;rep=F&amp;platform=1053" TargetMode="External"/><Relationship Id="rId709" Type="http://schemas.openxmlformats.org/officeDocument/2006/relationships/hyperlink" Target="https://intranet.atlnz.lc/systest/Jira_Reports/testExecReport/jiraExecReport.php?testPlanKey=94&amp;projectKey=TQUALTCM&amp;Report=Report" TargetMode="External"/><Relationship Id="rId916" Type="http://schemas.openxmlformats.org/officeDocument/2006/relationships/hyperlink" Target="https://jira.atlnz.lc/secure/Tests.jspa" TargetMode="External"/><Relationship Id="rId1101" Type="http://schemas.openxmlformats.org/officeDocument/2006/relationships/hyperlink" Target="http://10.32.16.105/systest/Reports/TestLink/SuiteExecC.php?plan=95949&amp;rep=F&amp;platform=233" TargetMode="External"/><Relationship Id="rId1546" Type="http://schemas.openxmlformats.org/officeDocument/2006/relationships/hyperlink" Target="http://10.32.16.105/systest/Reports/TestLink/SuiteExecC.php?plan=458186&amp;rep=F&amp;platform=179" TargetMode="External"/><Relationship Id="rId45" Type="http://schemas.openxmlformats.org/officeDocument/2006/relationships/hyperlink" Target="http://10.32.16.105/systest/Reports/TestLink/SuiteExecC.php?plan=182009&amp;rep=F&amp;platform=188" TargetMode="External"/><Relationship Id="rId110" Type="http://schemas.openxmlformats.org/officeDocument/2006/relationships/hyperlink" Target="http://10.32.16.105/systest/Reports/TestLink/SuiteExecC.php?plan=478894&amp;rep=F&amp;platform=1059" TargetMode="External"/><Relationship Id="rId348" Type="http://schemas.openxmlformats.org/officeDocument/2006/relationships/hyperlink" Target="https://intranet.atlnz.lc/systest/Jira_Reports/testExecReport/jiraExecReport.php?testPlanKey=370,371&amp;projectKey=TQUALTCM&amp;Report=Report" TargetMode="External"/><Relationship Id="rId555" Type="http://schemas.openxmlformats.org/officeDocument/2006/relationships/hyperlink" Target="https://jira.atlnz.lc/secure/Tests.jspa" TargetMode="External"/><Relationship Id="rId762" Type="http://schemas.openxmlformats.org/officeDocument/2006/relationships/hyperlink" Target="http://10.32.16.105/systest/Reports/TestLink/SuiteExecC.php?plan=309151&amp;rep=F&amp;platform=350" TargetMode="External"/><Relationship Id="rId1185" Type="http://schemas.openxmlformats.org/officeDocument/2006/relationships/hyperlink" Target="http://10.32.16.105/systest/products/Accessories/pluggable_transceiver/results_aw+/SFP/1G%20fiber%20SFP/AT-SPLX20_Delta/x600-24" TargetMode="External"/><Relationship Id="rId1392" Type="http://schemas.openxmlformats.org/officeDocument/2006/relationships/hyperlink" Target="https://jira.atlnz.lc/secure/Tests.jspa" TargetMode="External"/><Relationship Id="rId1406" Type="http://schemas.openxmlformats.org/officeDocument/2006/relationships/hyperlink" Target="http://10.32.16.105/systest/Reports/TestLink/SuiteExecC.php?plan=484370&amp;rep=F&amp;platform=1199" TargetMode="External"/><Relationship Id="rId1613" Type="http://schemas.openxmlformats.org/officeDocument/2006/relationships/hyperlink" Target="http://10.32.16.105/systest/Reports/TestLink/SuiteExecC.php?plan=120841&amp;rep=F" TargetMode="External"/><Relationship Id="rId194" Type="http://schemas.openxmlformats.org/officeDocument/2006/relationships/hyperlink" Target="http://10.32.16.105/systest/Reports/TestLink/SuiteExecC.php?plan=453806&amp;rep=F&amp;platform=171" TargetMode="External"/><Relationship Id="rId208" Type="http://schemas.openxmlformats.org/officeDocument/2006/relationships/hyperlink" Target="http://10.32.16.105/systest/Reports/TestLink/SuiteExecC.php?plan=476649&amp;rep=F&amp;platform=203" TargetMode="External"/><Relationship Id="rId415" Type="http://schemas.openxmlformats.org/officeDocument/2006/relationships/hyperlink" Target="http://10.32.16.105/systest/Reports/TestLink/SuiteExecC.php?plan=182009&amp;rep=F&amp;platform=184" TargetMode="External"/><Relationship Id="rId622" Type="http://schemas.openxmlformats.org/officeDocument/2006/relationships/hyperlink" Target="https://intranet.atlnz.lc/systest/Jira_Reports/testExecReport/jiraExecReport.php?testPlanKey=370,371&amp;projectKey=TQUALTCM&amp;Report=Report" TargetMode="External"/><Relationship Id="rId1045" Type="http://schemas.openxmlformats.org/officeDocument/2006/relationships/hyperlink" Target="http://10.32.16.105/systest/Reports/TestLink/SuiteExecC.php?plan=153890&amp;rep=F&amp;platform=187" TargetMode="External"/><Relationship Id="rId1252" Type="http://schemas.openxmlformats.org/officeDocument/2006/relationships/hyperlink" Target="http://10.32.16.105/systest/products/Accessories/pluggable_transceiver/results/SFP/AT-SPSX_Avago/8648T_2SP" TargetMode="External"/><Relationship Id="rId261" Type="http://schemas.openxmlformats.org/officeDocument/2006/relationships/hyperlink" Target="http://10.32.16.105/systest/Reports/TestLink/SuiteExecC.php?plan=309805&amp;rep=F&amp;platform=203" TargetMode="External"/><Relationship Id="rId499" Type="http://schemas.openxmlformats.org/officeDocument/2006/relationships/hyperlink" Target="https://jira.atlnz.lc/secure/Tests.jspa" TargetMode="External"/><Relationship Id="rId927" Type="http://schemas.openxmlformats.org/officeDocument/2006/relationships/hyperlink" Target="https://intranet.atlnz.lc/systest/Jira_Reports/testExecReport/jiraExecReport.php?testPlanKey=225&amp;projectKey=TQUALTCM&amp;Report=Report" TargetMode="External"/><Relationship Id="rId1112" Type="http://schemas.openxmlformats.org/officeDocument/2006/relationships/hyperlink" Target="http://10.32.16.105/systest/products/Accessories/pluggable_transceiver/results/SFP/AT-SPBD10-14_Sumitomo_SBP6H44-AM-BN-49/8648T_2SP" TargetMode="External"/><Relationship Id="rId1557" Type="http://schemas.openxmlformats.org/officeDocument/2006/relationships/hyperlink" Target="http://10.32.16.105/systest/Reports/TestLink/SuiteExecC.php?plan=82161&amp;rep=F" TargetMode="External"/><Relationship Id="rId56" Type="http://schemas.openxmlformats.org/officeDocument/2006/relationships/hyperlink" Target="http://10.32.16.105/systest/Reports/TestLink/SuiteExecC.php?plan=95948&amp;rep=F" TargetMode="External"/><Relationship Id="rId359" Type="http://schemas.openxmlformats.org/officeDocument/2006/relationships/hyperlink" Target="http://10.32.16.105/systest/Reports/TestLink/SuiteExecC.php?plan=95952&amp;rep=F&amp;platform=201" TargetMode="External"/><Relationship Id="rId566" Type="http://schemas.openxmlformats.org/officeDocument/2006/relationships/hyperlink" Target="http://10.32.16.105/systest/Reports/TestLink/SuiteExecC.php?plan=95956&amp;rep=F" TargetMode="External"/><Relationship Id="rId773" Type="http://schemas.openxmlformats.org/officeDocument/2006/relationships/hyperlink" Target="https://jira.atlnz.lc/secure/Tests.jspa" TargetMode="External"/><Relationship Id="rId1196" Type="http://schemas.openxmlformats.org/officeDocument/2006/relationships/hyperlink" Target="http://10.32.16.105/systest/products/Accessories/pluggable_transceiver/results/SFP/WTD-RTXM191_AT-SPLX30/x900-24XS_(AT-9924SPsi)" TargetMode="External"/><Relationship Id="rId1417" Type="http://schemas.openxmlformats.org/officeDocument/2006/relationships/hyperlink" Target="https://intranet.atlnz.lc/systest/Jira_Reports/testExecReport/jiraExecReport.php?testPlanKey=496,497&amp;projectKey=TQUALTCM&amp;Report=Report" TargetMode="External"/><Relationship Id="rId1624" Type="http://schemas.openxmlformats.org/officeDocument/2006/relationships/hyperlink" Target="http://10.32.16.105/systest/Reports/TestLink/SuiteExecC.php?plan=120841&amp;rep=F" TargetMode="External"/><Relationship Id="rId121" Type="http://schemas.openxmlformats.org/officeDocument/2006/relationships/hyperlink" Target="https://jira.atlnz.lc/secure/Tests.jspa" TargetMode="External"/><Relationship Id="rId219" Type="http://schemas.openxmlformats.org/officeDocument/2006/relationships/hyperlink" Target="https://jira.atlnz.lc/secure/Tests.jspa" TargetMode="External"/><Relationship Id="rId426" Type="http://schemas.openxmlformats.org/officeDocument/2006/relationships/hyperlink" Target="http://10.32.16.105/systest/Reports/TestLink/SuiteExecC.php?plan=150200&amp;rep=F&amp;platform=184" TargetMode="External"/><Relationship Id="rId633" Type="http://schemas.openxmlformats.org/officeDocument/2006/relationships/hyperlink" Target="http://10.32.16.105/systest/Reports/TestLink/SuiteExecC.php?plan=478729&amp;rep=F&amp;platform=1144" TargetMode="External"/><Relationship Id="rId980" Type="http://schemas.openxmlformats.org/officeDocument/2006/relationships/hyperlink" Target="http://10.32.16.105/systest/Reports/TestLink/SuiteExecC.php?plan=484370&amp;rep=F&amp;platform=387" TargetMode="External"/><Relationship Id="rId1056" Type="http://schemas.openxmlformats.org/officeDocument/2006/relationships/hyperlink" Target="http://10.32.16.105/systest/Reports/TestLink/SuiteExecC.php?plan=309805&amp;rep=F&amp;platform=187" TargetMode="External"/><Relationship Id="rId1263" Type="http://schemas.openxmlformats.org/officeDocument/2006/relationships/hyperlink" Target="http://10.32.16.105/systest/products/Accessories/pluggable_transceiver/results/SFP/AT-SPSX_RevC_Delta/x900-48" TargetMode="External"/><Relationship Id="rId840" Type="http://schemas.openxmlformats.org/officeDocument/2006/relationships/hyperlink" Target="http://10.32.16.105/systest/Reports/TestLink/SuiteExecC.php?plan=459219&amp;rep=F&amp;platform=186" TargetMode="External"/><Relationship Id="rId938" Type="http://schemas.openxmlformats.org/officeDocument/2006/relationships/hyperlink" Target="https://jira.atlnz.lc/secure/Tests.jspa" TargetMode="External"/><Relationship Id="rId1470" Type="http://schemas.openxmlformats.org/officeDocument/2006/relationships/hyperlink" Target="https://wallace4.atlnz.lc/systest/Jira_Reports/testExecReport/jiraExecReport_wallace4.php?testPlanKey=428&amp;projectKey=TQUALTCM&amp;Report=Report" TargetMode="External"/><Relationship Id="rId1568" Type="http://schemas.openxmlformats.org/officeDocument/2006/relationships/hyperlink" Target="http://10.32.16.105/systest/products/Accessories/pluggable_transceiver/results/SFP/AT-SPBD10-13_Delta_RevB/SB4442_V2" TargetMode="External"/><Relationship Id="rId67" Type="http://schemas.openxmlformats.org/officeDocument/2006/relationships/hyperlink" Target="http://10.32.16.105/systest/products/Accessories/pluggable_transceiver/results/SFP/AT-SPBD10-13_Delta_RevB/x600-48Ts_XP" TargetMode="External"/><Relationship Id="rId272" Type="http://schemas.openxmlformats.org/officeDocument/2006/relationships/hyperlink" Target="http://10.32.16.105/systest/Reports/TestLink/SuiteExecC.php?plan=120841&amp;rep=F&amp;platform=94" TargetMode="External"/><Relationship Id="rId577" Type="http://schemas.openxmlformats.org/officeDocument/2006/relationships/hyperlink" Target="http://10.32.16.105/systest/Reports/TestLink/SuiteExecC.php?plan=69212&amp;rep=F" TargetMode="External"/><Relationship Id="rId700" Type="http://schemas.openxmlformats.org/officeDocument/2006/relationships/hyperlink" Target="http://10.32.16.105/systest/Reports/TestLink/SuiteExecC.php?plan=464959&amp;rep=F&amp;platform=1092" TargetMode="External"/><Relationship Id="rId1123" Type="http://schemas.openxmlformats.org/officeDocument/2006/relationships/hyperlink" Target="http://10.32.16.105/systest/products/Accessories/pluggable_transceiver/results/SFP/SumitomoElectric-SBP6F44-AM-BN-49_Single_Fiber_1G/SPsi" TargetMode="External"/><Relationship Id="rId1330" Type="http://schemas.openxmlformats.org/officeDocument/2006/relationships/hyperlink" Target="http://10.32.16.105/systest/products/Accessories/pluggable_transceiver/results/SFP/AT-SPZX80_Delta/AR570" TargetMode="External"/><Relationship Id="rId1428" Type="http://schemas.openxmlformats.org/officeDocument/2006/relationships/hyperlink" Target="https://intranet.atlnz.lc/systest/Jira_Reports/testExecReport/jiraExecReport.php?testPlanKey=428&amp;projectKey=TQUALTCM&amp;Report=Report" TargetMode="External"/><Relationship Id="rId1635" Type="http://schemas.openxmlformats.org/officeDocument/2006/relationships/printerSettings" Target="../printerSettings/printerSettings2.bin"/><Relationship Id="rId132" Type="http://schemas.openxmlformats.org/officeDocument/2006/relationships/hyperlink" Target="http://10.32.16.105/systest/Reports/TestLink/SuiteExecC.php?plan=443246&amp;rep=F&amp;platform=1093" TargetMode="External"/><Relationship Id="rId784" Type="http://schemas.openxmlformats.org/officeDocument/2006/relationships/hyperlink" Target="http://10.32.16.105/systest/Reports/TestLink/SuiteExecC.php?plan=151508&amp;rep=F&amp;platform=171" TargetMode="External"/><Relationship Id="rId991" Type="http://schemas.openxmlformats.org/officeDocument/2006/relationships/hyperlink" Target="http://10.32.16.105/systest/Reports/TestLink/SuiteExecC.php?plan=484370&amp;rep=F&amp;platform=99" TargetMode="External"/><Relationship Id="rId1067" Type="http://schemas.openxmlformats.org/officeDocument/2006/relationships/hyperlink" Target="http://10.32.16.105/systest/Reports/TestLink/SuiteExecC.php?plan=130431&amp;rep=F&amp;platform=127" TargetMode="External"/><Relationship Id="rId437" Type="http://schemas.openxmlformats.org/officeDocument/2006/relationships/hyperlink" Target="http://intranet.alliedtelesyn.co.nz/systest/Reports/TestLink/SuiteExecC.php?plan=92175&amp;platform=39&amp;rep=f" TargetMode="External"/><Relationship Id="rId644" Type="http://schemas.openxmlformats.org/officeDocument/2006/relationships/hyperlink" Target="http://10.32.16.105/systest/Reports/TestLink/SuiteExecC.php?plan=158996&amp;rep=F&amp;platform=180" TargetMode="External"/><Relationship Id="rId851" Type="http://schemas.openxmlformats.org/officeDocument/2006/relationships/hyperlink" Target="https://intranet.atlnz.lc/systest/Jira_Reports/testExecReport/jiraExecReport.php?testPlanKey=214&amp;projectKey=TQUALTCM&amp;Report=Report" TargetMode="External"/><Relationship Id="rId1274" Type="http://schemas.openxmlformats.org/officeDocument/2006/relationships/hyperlink" Target="http://10.32.16.105/systest/products/Accessories/pluggable_transceiver/results_aw+/SFP/Copper%20SFP/Agilent_QBCU5730R/x900-12XT-S" TargetMode="External"/><Relationship Id="rId1481" Type="http://schemas.openxmlformats.org/officeDocument/2006/relationships/hyperlink" Target="http://10.32.16.105/systest/Reports/TestLink/SuiteExecC.php?plan=96099&amp;rep=F&amp;platform=202" TargetMode="External"/><Relationship Id="rId1579" Type="http://schemas.openxmlformats.org/officeDocument/2006/relationships/hyperlink" Target="http://10.32.16.105/systest/Reports/TestLink/SuiteExecC.php?plan=50623&amp;rep=F" TargetMode="External"/><Relationship Id="rId283" Type="http://schemas.openxmlformats.org/officeDocument/2006/relationships/hyperlink" Target="http://10.32.16.105/systest/Reports/TestLink/SuiteExecC.php?plan=478894&amp;rep=F&amp;platform=182" TargetMode="External"/><Relationship Id="rId490" Type="http://schemas.openxmlformats.org/officeDocument/2006/relationships/hyperlink" Target="http://10.32.16.105/systest/Reports/TestLink/SuiteExecC.php?plan=153890&amp;rep=F&amp;platform=185" TargetMode="External"/><Relationship Id="rId504" Type="http://schemas.openxmlformats.org/officeDocument/2006/relationships/hyperlink" Target="http://10.32.16.105/systest/Reports/TestLink/SuiteExecC.php?plan=96099&amp;rep=F&amp;platform=201" TargetMode="External"/><Relationship Id="rId711" Type="http://schemas.openxmlformats.org/officeDocument/2006/relationships/hyperlink" Target="https://intranet.atlnz.lc/systest/Jira_Reports/testExecReport/jiraExecReport.php?testPlanKey=94&amp;projectKey=TQUALTCM&amp;Report=Report" TargetMode="External"/><Relationship Id="rId949" Type="http://schemas.openxmlformats.org/officeDocument/2006/relationships/hyperlink" Target="https://jira.atlnz.lc/secure/Tests.jspa" TargetMode="External"/><Relationship Id="rId1134" Type="http://schemas.openxmlformats.org/officeDocument/2006/relationships/hyperlink" Target="http://10.32.16.105/systest/products/Accessories/pluggable_transceiver/results/SFP/AT-SPBD10-13_Delta/x600-48Ts" TargetMode="External"/><Relationship Id="rId1341" Type="http://schemas.openxmlformats.org/officeDocument/2006/relationships/hyperlink" Target="http://10.32.16.105/systest/products/Accessories/pluggable_transceiver/results/SFP/AT-SPSX_RevBC/x900-48FS" TargetMode="External"/><Relationship Id="rId78" Type="http://schemas.openxmlformats.org/officeDocument/2006/relationships/hyperlink" Target="http://10.32.16.105/systest/Reports/TestLink/SuiteExecC.php?plan=443246&amp;rep=F&amp;platform=390" TargetMode="External"/><Relationship Id="rId143" Type="http://schemas.openxmlformats.org/officeDocument/2006/relationships/hyperlink" Target="http://10.32.16.105/systest/Reports/TestLink/SuiteExecC.php?plan=453806&amp;rep=F&amp;platform=1059" TargetMode="External"/><Relationship Id="rId350" Type="http://schemas.openxmlformats.org/officeDocument/2006/relationships/hyperlink" Target="https://jira.atlnz.lc/secure/Tests.jspa" TargetMode="External"/><Relationship Id="rId588" Type="http://schemas.openxmlformats.org/officeDocument/2006/relationships/hyperlink" Target="https://intranet.atlnz.lc/systest/Jira_Reports/testExecReport/jiraExecReport.php?testPlanKey=422&amp;projectKey=TQUALTCM&amp;Report=Report" TargetMode="External"/><Relationship Id="rId795" Type="http://schemas.openxmlformats.org/officeDocument/2006/relationships/hyperlink" Target="https://intranet.atlnz.lc/systest/Jira_Reports/testExecReport/jiraExecReport.php?testPlanKey=428&amp;projectKey=TQUALTCM&amp;Report=Report" TargetMode="External"/><Relationship Id="rId809" Type="http://schemas.openxmlformats.org/officeDocument/2006/relationships/hyperlink" Target="https://jira.atlnz.lc/secure/Tests.jspa" TargetMode="External"/><Relationship Id="rId1201" Type="http://schemas.openxmlformats.org/officeDocument/2006/relationships/hyperlink" Target="http://10.32.16.105/systest/Reports/TestLink/SuiteExecC.php?plan=82167&amp;rep=F" TargetMode="External"/><Relationship Id="rId1439" Type="http://schemas.openxmlformats.org/officeDocument/2006/relationships/hyperlink" Target="https://wallace4.atlnz.lc/systest/Jira_Reports/testExecReport/jiraExecReport_wallace4.php?testPlanKey=124&amp;projectKey=TQUALTCM&amp;Report=Report" TargetMode="External"/><Relationship Id="rId9" Type="http://schemas.openxmlformats.org/officeDocument/2006/relationships/hyperlink" Target="https://intranet.atlnz.lc/systest/Jira_Reports/testExecReport/jiraExecReport.php?testPlanKey=15&amp;projectKey=TQUALTCM&amp;Report=Report" TargetMode="External"/><Relationship Id="rId210" Type="http://schemas.openxmlformats.org/officeDocument/2006/relationships/hyperlink" Target="http://10.32.16.105/systest/Reports/TestLink/SuiteExecC.php?plan=440944&amp;rep=F&amp;platform=203" TargetMode="External"/><Relationship Id="rId448" Type="http://schemas.openxmlformats.org/officeDocument/2006/relationships/hyperlink" Target="https://jira.atlnz.lc/secure/Tests.jspa" TargetMode="External"/><Relationship Id="rId655" Type="http://schemas.openxmlformats.org/officeDocument/2006/relationships/hyperlink" Target="http://10.32.16.105/systest/Reports/TestLink/SuiteExecC.php?plan=309805&amp;rep=F&amp;platform=180" TargetMode="External"/><Relationship Id="rId862" Type="http://schemas.openxmlformats.org/officeDocument/2006/relationships/hyperlink" Target="http://10.32.16.105/systest/products/Accessories/pluggable_transceiver/results/SFP/AT-SPBDM-A_B_APACOpto/x600-24Ts" TargetMode="External"/><Relationship Id="rId1078" Type="http://schemas.openxmlformats.org/officeDocument/2006/relationships/hyperlink" Target="http://10.32.16.105/systest/products/Accessories/pluggable_transceiver/results/SFP/AT-SPBD10-13_Sumitomo_SBP6H44-AM-BN-31/SB4442" TargetMode="External"/><Relationship Id="rId1285" Type="http://schemas.openxmlformats.org/officeDocument/2006/relationships/hyperlink" Target="http://10.32.16.105/systest/products/Accessories/pluggable_transceiver/results_aw+/SFP/Copper%20SFP/AT-SPTX2_Delta/Switchblade-x908_XEM-12S" TargetMode="External"/><Relationship Id="rId1492" Type="http://schemas.openxmlformats.org/officeDocument/2006/relationships/hyperlink" Target="http://10.32.16.105/systest/products/Accessories/pluggable_transceiver/results/SFP/AT-SPLX-40_Delta/x900-24XS" TargetMode="External"/><Relationship Id="rId1506" Type="http://schemas.openxmlformats.org/officeDocument/2006/relationships/hyperlink" Target="http://10.32.16.105/systest/Reports/TestLink/SuiteExecC.php?plan=484370&amp;rep=F&amp;platform=706" TargetMode="External"/><Relationship Id="rId294" Type="http://schemas.openxmlformats.org/officeDocument/2006/relationships/hyperlink" Target="http://10.32.16.105/systest/Reports/TestLink/SuiteExecC.php?plan=458186&amp;rep=F&amp;platform=182" TargetMode="External"/><Relationship Id="rId308" Type="http://schemas.openxmlformats.org/officeDocument/2006/relationships/hyperlink" Target="http://10.32.16.105/systest/Reports/TestLink/SuiteExecC.php?plan=459219&amp;rep=F&amp;platform=182" TargetMode="External"/><Relationship Id="rId515" Type="http://schemas.openxmlformats.org/officeDocument/2006/relationships/hyperlink" Target="http://10.32.16.105/systest/Reports/TestLink/SuiteExecC.php?plan=96099&amp;rep=F&amp;platform=202" TargetMode="External"/><Relationship Id="rId722" Type="http://schemas.openxmlformats.org/officeDocument/2006/relationships/hyperlink" Target="https://intranet.atlnz.lc/systest/Jira_Reports/testExecReport/jiraExecReport.php?testPlanKey=370,371&amp;projectKey=TQUALTCM&amp;Report=Report" TargetMode="External"/><Relationship Id="rId1145" Type="http://schemas.openxmlformats.org/officeDocument/2006/relationships/hyperlink" Target="http://10.32.16.105/systest/products/Accessories/pluggable_transceiver/results/SFP/AT-SPBD10-14_Delta/x600-24Ts_XP" TargetMode="External"/><Relationship Id="rId1352" Type="http://schemas.openxmlformats.org/officeDocument/2006/relationships/hyperlink" Target="https://intranet.atlnz.lc/systest/Jira_Reports/testExecReport/jiraExecReport.php?testPlanKey=36&amp;projectKey=TQUALTCM&amp;Report=Report" TargetMode="External"/><Relationship Id="rId89" Type="http://schemas.openxmlformats.org/officeDocument/2006/relationships/hyperlink" Target="https://jira.atlnz.lc/secure/Tests.jspa" TargetMode="External"/><Relationship Id="rId154" Type="http://schemas.openxmlformats.org/officeDocument/2006/relationships/hyperlink" Target="https://jira.atlnz.lc/secure/Tests.jspa" TargetMode="External"/><Relationship Id="rId361" Type="http://schemas.openxmlformats.org/officeDocument/2006/relationships/hyperlink" Target="http://10.32.16.105/systest/Reports/TestLink/SuiteExecC.php?plan=479406&amp;rep=F&amp;platform=183" TargetMode="External"/><Relationship Id="rId599" Type="http://schemas.openxmlformats.org/officeDocument/2006/relationships/hyperlink" Target="https://intranet.atlnz.lc/systest/Jira_Reports/testExecReport/jiraExecReport.php?testPlanKey=422&amp;projectKey=TQUALTCM&amp;Report=Report" TargetMode="External"/><Relationship Id="rId1005" Type="http://schemas.openxmlformats.org/officeDocument/2006/relationships/hyperlink" Target="https://jira.atlnz.lc/secure/Tests.jspa" TargetMode="External"/><Relationship Id="rId1212" Type="http://schemas.openxmlformats.org/officeDocument/2006/relationships/hyperlink" Target="http://10.32.16.105/systest/products/Accessories/pluggable_transceiver/results_aw+/SFP/1G%20fiber%20SFP/AT-SPSX/Switchblade-x908_XEM-12S" TargetMode="External"/><Relationship Id="rId459" Type="http://schemas.openxmlformats.org/officeDocument/2006/relationships/hyperlink" Target="https://jira.atlnz.lc/secure/Tests.jspa" TargetMode="External"/><Relationship Id="rId666" Type="http://schemas.openxmlformats.org/officeDocument/2006/relationships/hyperlink" Target="http://10.32.16.105/systest/products/Accessories/pluggable_transceiver/results_aw+/SFP/1G%20fiber%20SFP/AT-SPSX_RevB_Delta/x908" TargetMode="External"/><Relationship Id="rId873" Type="http://schemas.openxmlformats.org/officeDocument/2006/relationships/hyperlink" Target="http://10.32.16.105/systest/products/Accessories/pluggable_transceiver/results_aw+/SFP/100M%20fiber%20SFP/Fiberxon_FTM-9301S-S20iG/Switchblade-x908_XEM-12S" TargetMode="External"/><Relationship Id="rId1089" Type="http://schemas.openxmlformats.org/officeDocument/2006/relationships/hyperlink" Target="http://10.32.16.105/systest/Reports/TestLink/SuiteExecC.php?plan=458186&amp;rep=F&amp;platform=187" TargetMode="External"/><Relationship Id="rId1296" Type="http://schemas.openxmlformats.org/officeDocument/2006/relationships/hyperlink" Target="http://10.32.16.105/systest/products/Accessories/pluggable_transceiver/results/SFP/AT-SPTX2_Delta/x900-24XS" TargetMode="External"/><Relationship Id="rId1517" Type="http://schemas.openxmlformats.org/officeDocument/2006/relationships/hyperlink" Target="http://10.32.16.105/systest/Reports/TestLink/SuiteExecC.php?plan=308256&amp;rep=F&amp;platform=350" TargetMode="External"/><Relationship Id="rId16" Type="http://schemas.openxmlformats.org/officeDocument/2006/relationships/hyperlink" Target="http://10.32.16.105/systest/Reports/TestLink/SuiteExecC.php?plan=442278&amp;rep=F&amp;platform=188" TargetMode="External"/><Relationship Id="rId221" Type="http://schemas.openxmlformats.org/officeDocument/2006/relationships/hyperlink" Target="http://10.32.16.105/systest/Reports/TestLink/SuiteExecC.php?plan=120841&amp;rep=F" TargetMode="External"/><Relationship Id="rId319" Type="http://schemas.openxmlformats.org/officeDocument/2006/relationships/hyperlink" Target="http://10.32.16.105/systest/products/Accessories/pluggable_transceiver/results/SFP/AT-SPEX/x900-48" TargetMode="External"/><Relationship Id="rId526" Type="http://schemas.openxmlformats.org/officeDocument/2006/relationships/hyperlink" Target="http://10.32.16.105/systest/products/Accessories/pluggable_transceiver/results/SFP/AT-SPLX-40_Delta/x900-24XS" TargetMode="External"/><Relationship Id="rId1156" Type="http://schemas.openxmlformats.org/officeDocument/2006/relationships/hyperlink" Target="http://10.32.16.105/systest/products/Accessories/pluggable_transceiver/results_aw+/SFP/1G%20fiber%20SFP/AT-SPLX10/Switchblade-x908_XEM-12S" TargetMode="External"/><Relationship Id="rId1363" Type="http://schemas.openxmlformats.org/officeDocument/2006/relationships/hyperlink" Target="https://intranet.atlnz.lc/systest/Jira_Reports/testExecReport/jiraExecReport.php?testPlanKey=440&amp;projectKey=TQUALTCM&amp;Report=Report" TargetMode="External"/><Relationship Id="rId733" Type="http://schemas.openxmlformats.org/officeDocument/2006/relationships/hyperlink" Target="http://10.32.16.105/systest/Reports/TestLink/SuiteExecC.php?plan=123414&amp;rep=F&amp;platform=225" TargetMode="External"/><Relationship Id="rId940" Type="http://schemas.openxmlformats.org/officeDocument/2006/relationships/hyperlink" Target="https://jira.atlnz.lc/secure/Tests.jspa" TargetMode="External"/><Relationship Id="rId1016" Type="http://schemas.openxmlformats.org/officeDocument/2006/relationships/hyperlink" Target="https://jira.atlnz.lc/secure/Tests.jspa" TargetMode="External"/><Relationship Id="rId1570" Type="http://schemas.openxmlformats.org/officeDocument/2006/relationships/hyperlink" Target="http://10.32.16.105/systest/Reports/TestLink/SuiteExecC.php?plan=309247&amp;rep=F&amp;platform=188" TargetMode="External"/><Relationship Id="rId165" Type="http://schemas.openxmlformats.org/officeDocument/2006/relationships/hyperlink" Target="http://10.32.16.105/systest/Reports/TestLink/SuiteExecC.php?plan=453806&amp;rep=F&amp;platform=1144" TargetMode="External"/><Relationship Id="rId372" Type="http://schemas.openxmlformats.org/officeDocument/2006/relationships/hyperlink" Target="http://10.32.16.105/systest/Reports/TestLink/SuiteExecC.php?plan=95952&amp;rep=F&amp;platform=202" TargetMode="External"/><Relationship Id="rId677" Type="http://schemas.openxmlformats.org/officeDocument/2006/relationships/hyperlink" Target="http://10.32.16.105/systest/products/Accessories/pluggable_transceiver/results/SFP/AT-SPSX_RevB_Delta/A61_9924Ts" TargetMode="External"/><Relationship Id="rId800" Type="http://schemas.openxmlformats.org/officeDocument/2006/relationships/hyperlink" Target="https://intranet.atlnz.lc/systest/Jira_Reports/testExecReport/jiraExecReport.php?testPlanKey=428&amp;projectKey=TQUALTCM&amp;Report=Report" TargetMode="External"/><Relationship Id="rId1223" Type="http://schemas.openxmlformats.org/officeDocument/2006/relationships/hyperlink" Target="http://10.32.16.105/systest/Reports/TestLink/SuiteExecC.php?plan=182009&amp;rep=F&amp;platform=179" TargetMode="External"/><Relationship Id="rId1430" Type="http://schemas.openxmlformats.org/officeDocument/2006/relationships/hyperlink" Target="https://intranet.atlnz.lc/systest/Jira_Reports/testExecReport/jiraExecReport.php?testPlanKey=428&amp;projectKey=TQUALTCM&amp;Report=Report" TargetMode="External"/><Relationship Id="rId1528" Type="http://schemas.openxmlformats.org/officeDocument/2006/relationships/hyperlink" Target="http://10.32.16.105/systest/Reports/TestLink/SuiteExecC.php?plan=308258&amp;rep=F&amp;platform=185" TargetMode="External"/><Relationship Id="rId232" Type="http://schemas.openxmlformats.org/officeDocument/2006/relationships/hyperlink" Target="http://10.32.16.105/systest/Reports/TestLink/SuiteExecC.php?plan=120841&amp;rep=F" TargetMode="External"/><Relationship Id="rId884" Type="http://schemas.openxmlformats.org/officeDocument/2006/relationships/hyperlink" Target="https://jira.atlnz.lc/secure/Tests.jspa" TargetMode="External"/><Relationship Id="rId27" Type="http://schemas.openxmlformats.org/officeDocument/2006/relationships/hyperlink" Target="http://10.32.16.105/systest/products/Accessories/pluggable_transceiver/results/SFP/AT-SPBD10-13_Delta_RevB/x900-48FS" TargetMode="External"/><Relationship Id="rId537" Type="http://schemas.openxmlformats.org/officeDocument/2006/relationships/hyperlink" Target="http://10.32.16.105/systest/Reports/TestLink/SuiteExecC.php?plan=479406&amp;rep=F&amp;platform=1196" TargetMode="External"/><Relationship Id="rId744" Type="http://schemas.openxmlformats.org/officeDocument/2006/relationships/hyperlink" Target="http://10.32.16.105/systest/products/Accessories/pluggable_transceiver/results/SFP/AT-SPTX_RevC/x900-48FS" TargetMode="External"/><Relationship Id="rId951" Type="http://schemas.openxmlformats.org/officeDocument/2006/relationships/hyperlink" Target="https://jira.atlnz.lc/secure/Tests.jspa" TargetMode="External"/><Relationship Id="rId1167" Type="http://schemas.openxmlformats.org/officeDocument/2006/relationships/hyperlink" Target="http://10.32.16.105/systest/products/Accessories/pluggable_transceiver/results/SFP/AT-SPLX10_RevB/AR770S" TargetMode="External"/><Relationship Id="rId1374" Type="http://schemas.openxmlformats.org/officeDocument/2006/relationships/hyperlink" Target="https://intranet.atlnz.lc/systest/Jira_Reports/testExecReport/jiraExecReport.php?testPlanKey=440&amp;projectKey=TQUALTCM&amp;Report=Report" TargetMode="External"/><Relationship Id="rId1581" Type="http://schemas.openxmlformats.org/officeDocument/2006/relationships/hyperlink" Target="http://10.32.16.105/systest/Reports/TestLink/SuiteExecC.php?plan=82161&amp;rep=F" TargetMode="External"/><Relationship Id="rId80" Type="http://schemas.openxmlformats.org/officeDocument/2006/relationships/hyperlink" Target="http://10.32.16.105/systest/Reports/TestLink/SuiteExecC.php?plan=478894&amp;rep=F&amp;platform=1059" TargetMode="External"/><Relationship Id="rId176" Type="http://schemas.openxmlformats.org/officeDocument/2006/relationships/hyperlink" Target="http://10.32.16.105/systest/Reports/TestLink/SuiteExecC.php?plan=453806&amp;rep=F&amp;platform=1059" TargetMode="External"/><Relationship Id="rId383" Type="http://schemas.openxmlformats.org/officeDocument/2006/relationships/hyperlink" Target="http://10.32.16.105/systest/products/Accessories/pluggable_transceiver/results/SFP/AT-SPLX10_RevB/AR770S" TargetMode="External"/><Relationship Id="rId590" Type="http://schemas.openxmlformats.org/officeDocument/2006/relationships/hyperlink" Target="https://intranet.atlnz.lc/systest/Jira_Reports/testExecReport/jiraExecReport.php?testPlanKey=422&amp;projectKey=TQUALTCM&amp;Report=Report" TargetMode="External"/><Relationship Id="rId604" Type="http://schemas.openxmlformats.org/officeDocument/2006/relationships/hyperlink" Target="https://intranet.atlnz.lc/systest/Jira_Reports/testExecReport/jiraExecReport.php?testPlanKey=422&amp;projectKey=TQUALTCM&amp;Report=Report" TargetMode="External"/><Relationship Id="rId811" Type="http://schemas.openxmlformats.org/officeDocument/2006/relationships/hyperlink" Target="https://jira.atlnz.lc/secure/Tests.jspa" TargetMode="External"/><Relationship Id="rId1027" Type="http://schemas.openxmlformats.org/officeDocument/2006/relationships/hyperlink" Target="https://jira.atlnz.lc/secure/Tests.jspa" TargetMode="External"/><Relationship Id="rId1234" Type="http://schemas.openxmlformats.org/officeDocument/2006/relationships/hyperlink" Target="http://10.32.16.105/systest/Reports/TestLink/SuiteExecC.php?plan=150200&amp;rep=F&amp;platform=179" TargetMode="External"/><Relationship Id="rId1441" Type="http://schemas.openxmlformats.org/officeDocument/2006/relationships/hyperlink" Target="https://wallace4.atlnz.lc/systest/Jira_Reports/testExecReport/jiraExecReport_wallace4.php?testPlanKey=126&amp;projectKey=TQUALTCM&amp;Report=Report" TargetMode="External"/><Relationship Id="rId243" Type="http://schemas.openxmlformats.org/officeDocument/2006/relationships/hyperlink" Target="http://10.32.16.105/systest/Reports/TestLink/SuiteExecC.php?plan=190067&amp;rep=F&amp;platform=203" TargetMode="External"/><Relationship Id="rId450" Type="http://schemas.openxmlformats.org/officeDocument/2006/relationships/hyperlink" Target="https://jira.atlnz.lc/secure/Tests.jspa" TargetMode="External"/><Relationship Id="rId688" Type="http://schemas.openxmlformats.org/officeDocument/2006/relationships/hyperlink" Target="http://10.32.16.105/systest/Reports/TestLink/SuiteExecC.php?plan=464959&amp;rep=F&amp;platform=389" TargetMode="External"/><Relationship Id="rId895" Type="http://schemas.openxmlformats.org/officeDocument/2006/relationships/hyperlink" Target="https://jira.atlnz.lc/secure/Tests.jspa" TargetMode="External"/><Relationship Id="rId909" Type="http://schemas.openxmlformats.org/officeDocument/2006/relationships/hyperlink" Target="https://jira.atlnz.lc/secure/Tests.jspa" TargetMode="External"/><Relationship Id="rId1080" Type="http://schemas.openxmlformats.org/officeDocument/2006/relationships/hyperlink" Target="http://10.32.16.105/systest/Reports/TestLink/SuiteExecC.php?plan=190067&amp;rep=F&amp;platform=187" TargetMode="External"/><Relationship Id="rId1301" Type="http://schemas.openxmlformats.org/officeDocument/2006/relationships/hyperlink" Target="http://10.32.16.105/systest/products/Accessories/pluggable_transceiver/results/SFP/AT-SPTX2_Delta/8948" TargetMode="External"/><Relationship Id="rId1539" Type="http://schemas.openxmlformats.org/officeDocument/2006/relationships/hyperlink" Target="http://10.32.16.105/systest/Reports/TestLink/SuiteExecC.php?plan=308256&amp;rep=F&amp;platform=188" TargetMode="External"/><Relationship Id="rId38" Type="http://schemas.openxmlformats.org/officeDocument/2006/relationships/hyperlink" Target="http://10.32.16.105/systest/Reports/TestLink/SuiteExecC.php?plan=476649&amp;rep=F&amp;platform=188" TargetMode="External"/><Relationship Id="rId103" Type="http://schemas.openxmlformats.org/officeDocument/2006/relationships/hyperlink" Target="http://10.32.16.105/systest/Reports/TestLink/SuiteExecC.php?plan=443246&amp;rep=F&amp;platform=99" TargetMode="External"/><Relationship Id="rId310" Type="http://schemas.openxmlformats.org/officeDocument/2006/relationships/hyperlink" Target="http://10.32.16.105/systest/Reports/TestLink/SuiteExecC.php?plan=95951&amp;rep=F&amp;platform=202" TargetMode="External"/><Relationship Id="rId548" Type="http://schemas.openxmlformats.org/officeDocument/2006/relationships/hyperlink" Target="http://10.32.16.105/systest/Reports/TestLink/SuiteExecC.php?plan=440944&amp;rep=F&amp;platform=181" TargetMode="External"/><Relationship Id="rId755" Type="http://schemas.openxmlformats.org/officeDocument/2006/relationships/hyperlink" Target="https://jira.atlnz.lc/secure/Tests.jspa" TargetMode="External"/><Relationship Id="rId962" Type="http://schemas.openxmlformats.org/officeDocument/2006/relationships/hyperlink" Target="https://jira.atlnz.lc/secure/Tests.jspa" TargetMode="External"/><Relationship Id="rId1178" Type="http://schemas.openxmlformats.org/officeDocument/2006/relationships/hyperlink" Target="http://10.32.16.105/systest/products/Accessories/pluggable_transceiver/results_aw+/SFP/1G%20fiber%20SFP/AT-SPLX10_Delta/x900-12XT-S" TargetMode="External"/><Relationship Id="rId1385" Type="http://schemas.openxmlformats.org/officeDocument/2006/relationships/hyperlink" Target="https://intranet.atlnz.lc/systest/Jira_Reports/testExecReport/jiraExecReport.php?testPlanKey=370,371&amp;projectKey=TQUALTCM&amp;Report=Report" TargetMode="External"/><Relationship Id="rId1592" Type="http://schemas.openxmlformats.org/officeDocument/2006/relationships/hyperlink" Target="http://10.32.16.105/systest/products/Accessories/pluggable_transceiver/results/SFP/AT-SPBD10-13_Delta_RevB/SB4442_V2" TargetMode="External"/><Relationship Id="rId1606" Type="http://schemas.openxmlformats.org/officeDocument/2006/relationships/hyperlink" Target="http://10.32.16.105/systest/Reports/TestLink/SuiteExecC.php?plan=120841&amp;rep=F&amp;platform=202" TargetMode="External"/><Relationship Id="rId91" Type="http://schemas.openxmlformats.org/officeDocument/2006/relationships/hyperlink" Target="https://jira.atlnz.lc/secure/Tests.jspa" TargetMode="External"/><Relationship Id="rId187" Type="http://schemas.openxmlformats.org/officeDocument/2006/relationships/hyperlink" Target="https://jira.atlnz.lc/secure/Tests.jspa" TargetMode="External"/><Relationship Id="rId394" Type="http://schemas.openxmlformats.org/officeDocument/2006/relationships/hyperlink" Target="https://jira.atlnz.lc/secure/Tests.jspa" TargetMode="External"/><Relationship Id="rId408" Type="http://schemas.openxmlformats.org/officeDocument/2006/relationships/hyperlink" Target="http://10.32.16.105/systest/Reports/TestLink/SuiteExecC.php?plan=476649&amp;rep=F&amp;platform=184" TargetMode="External"/><Relationship Id="rId615" Type="http://schemas.openxmlformats.org/officeDocument/2006/relationships/hyperlink" Target="https://intranet.atlnz.lc/systest/Jira_Reports/testExecReport/jiraExecReport.php?testPlanKey=422&amp;projectKey=TQUALTCM&amp;Report=Report" TargetMode="External"/><Relationship Id="rId822" Type="http://schemas.openxmlformats.org/officeDocument/2006/relationships/hyperlink" Target="https://jira.atlnz.lc/secure/Tests.jspa" TargetMode="External"/><Relationship Id="rId1038" Type="http://schemas.openxmlformats.org/officeDocument/2006/relationships/hyperlink" Target="https://jira.atlnz.lc/secure/Tests.jspa" TargetMode="External"/><Relationship Id="rId1245" Type="http://schemas.openxmlformats.org/officeDocument/2006/relationships/hyperlink" Target="http://10.32.16.105/systest/Reports/TestLink/SuiteExecC.php?plan=82168&amp;rep=F" TargetMode="External"/><Relationship Id="rId1452" Type="http://schemas.openxmlformats.org/officeDocument/2006/relationships/hyperlink" Target="https://wallace4.atlnz.lc/systest/Jira_Reports/testExecReport/jiraExecReport_wallace4.php?testPlanKey=134&amp;projectKey=TQUALTCM&amp;Report=Report" TargetMode="External"/><Relationship Id="rId254" Type="http://schemas.openxmlformats.org/officeDocument/2006/relationships/hyperlink" Target="http://10.32.16.105/systest/Reports/TestLink/SuiteExecC.php?plan=458186&amp;rep=F&amp;platform=203" TargetMode="External"/><Relationship Id="rId699" Type="http://schemas.openxmlformats.org/officeDocument/2006/relationships/hyperlink" Target="http://10.32.16.105/systest/Reports/TestLink/SuiteExecC.php?plan=464959&amp;rep=F&amp;platform=407" TargetMode="External"/><Relationship Id="rId1091" Type="http://schemas.openxmlformats.org/officeDocument/2006/relationships/hyperlink" Target="http://10.32.16.105/systest/Reports/TestLink/SuiteExecC.php?plan=95949&amp;rep=F&amp;platform=201" TargetMode="External"/><Relationship Id="rId1105" Type="http://schemas.openxmlformats.org/officeDocument/2006/relationships/hyperlink" Target="http://10.32.16.105/systest/Reports/TestLink/SuiteExecC.php?plan=82162&amp;rep=F" TargetMode="External"/><Relationship Id="rId1312" Type="http://schemas.openxmlformats.org/officeDocument/2006/relationships/hyperlink" Target="http://10.32.16.105/systest/products/Accessories/pluggable_transceiver/results/SFP/AT-SPFX_40/AR770" TargetMode="External"/><Relationship Id="rId49" Type="http://schemas.openxmlformats.org/officeDocument/2006/relationships/hyperlink" Target="https://jira.atlnz.lc/secure/Tests.jspa" TargetMode="External"/><Relationship Id="rId114" Type="http://schemas.openxmlformats.org/officeDocument/2006/relationships/hyperlink" Target="https://jira.atlnz.lc/secure/Tests.jspa" TargetMode="External"/><Relationship Id="rId461" Type="http://schemas.openxmlformats.org/officeDocument/2006/relationships/hyperlink" Target="https://jira.atlnz.lc/secure/Tests.jspa" TargetMode="External"/><Relationship Id="rId559" Type="http://schemas.openxmlformats.org/officeDocument/2006/relationships/hyperlink" Target="https://jira.atlnz.lc/secure/Tests.jspa" TargetMode="External"/><Relationship Id="rId766" Type="http://schemas.openxmlformats.org/officeDocument/2006/relationships/hyperlink" Target="http://10.32.16.105/systest/Reports/TestLink/SuiteExecC.php?plan=440944&amp;rep=F&amp;platform=350" TargetMode="External"/><Relationship Id="rId1189" Type="http://schemas.openxmlformats.org/officeDocument/2006/relationships/hyperlink" Target="http://10.32.16.105/systest/products/Accessories/pluggable_transceiver/results/SFP/AT-SPLX20_Delta/Switchblade" TargetMode="External"/><Relationship Id="rId1396" Type="http://schemas.openxmlformats.org/officeDocument/2006/relationships/hyperlink" Target="http://10.32.16.105/systest/Reports/TestLink/SuiteExecC.php?plan=479406&amp;rep=F&amp;platform=188" TargetMode="External"/><Relationship Id="rId1617" Type="http://schemas.openxmlformats.org/officeDocument/2006/relationships/hyperlink" Target="http://10.32.16.105/systest/Reports/TestLink/SuiteExecC.php?plan=309805&amp;rep=F&amp;platform=203" TargetMode="External"/><Relationship Id="rId198" Type="http://schemas.openxmlformats.org/officeDocument/2006/relationships/hyperlink" Target="http://10.32.16.105/systest/Reports/TestLink/SuiteExecC.php?plan=453806&amp;rep=F&amp;platform=1144" TargetMode="External"/><Relationship Id="rId321" Type="http://schemas.openxmlformats.org/officeDocument/2006/relationships/hyperlink" Target="http://10.32.16.105/systest/products/Accessories/pluggable_transceiver/results/SFP/AT-SPEX/8648T_2SP" TargetMode="External"/><Relationship Id="rId419" Type="http://schemas.openxmlformats.org/officeDocument/2006/relationships/hyperlink" Target="https://jira.atlnz.lc/secure/Tests.jspa" TargetMode="External"/><Relationship Id="rId626" Type="http://schemas.openxmlformats.org/officeDocument/2006/relationships/hyperlink" Target="https://jira.atlnz.lc/secure/Tests.jspa" TargetMode="External"/><Relationship Id="rId973" Type="http://schemas.openxmlformats.org/officeDocument/2006/relationships/hyperlink" Target="https://jira.atlnz.lc/secure/Tests.jspa" TargetMode="External"/><Relationship Id="rId1049" Type="http://schemas.openxmlformats.org/officeDocument/2006/relationships/hyperlink" Target="http://10.32.16.105/systest/Reports/TestLink/SuiteExecC.php?plan=458186&amp;rep=F&amp;platform=187" TargetMode="External"/><Relationship Id="rId1256" Type="http://schemas.openxmlformats.org/officeDocument/2006/relationships/hyperlink" Target="http://10.32.16.105/systest/products/Accessories/pluggable_transceiver/results/SFP/AT-SPSX_Avago/XEM-12S_SBx908" TargetMode="External"/><Relationship Id="rId833" Type="http://schemas.openxmlformats.org/officeDocument/2006/relationships/hyperlink" Target="http://10.32.16.105/systest/Reports/TestLink/SuiteExecC.php?plan=479407&amp;rep=F&amp;platform=186" TargetMode="External"/><Relationship Id="rId1116" Type="http://schemas.openxmlformats.org/officeDocument/2006/relationships/hyperlink" Target="http://10.32.16.105/systest/products/Accessories/pluggable_transceiver/results/SFP/AT-SPBD10-14_Sumitomo_SBP6H44-AM-BN-49/x900-24XS" TargetMode="External"/><Relationship Id="rId1463" Type="http://schemas.openxmlformats.org/officeDocument/2006/relationships/hyperlink" Target="https://wallace4.atlnz.lc/systest/Jira_Reports/testExecReport/jiraExecReport_wallace4.php?testPlanKey=147&amp;projectKey=TQUALTCM&amp;Report=Report" TargetMode="External"/><Relationship Id="rId265" Type="http://schemas.openxmlformats.org/officeDocument/2006/relationships/hyperlink" Target="http://10.32.16.105/systest/Reports/TestLink/SuiteExecC.php?plan=458763&amp;rep=F&amp;platform=203" TargetMode="External"/><Relationship Id="rId472" Type="http://schemas.openxmlformats.org/officeDocument/2006/relationships/hyperlink" Target="https://jira.atlnz.lc/secure/Tests.jspa" TargetMode="External"/><Relationship Id="rId900" Type="http://schemas.openxmlformats.org/officeDocument/2006/relationships/hyperlink" Target="https://jira.atlnz.lc/secure/Tests.jspa" TargetMode="External"/><Relationship Id="rId1323" Type="http://schemas.openxmlformats.org/officeDocument/2006/relationships/hyperlink" Target="http://10.32.16.105/systest/products/Accessories/pluggable_transceiver/results_aw+/SFP/1G%20fiber%20SFP/AT-SPZX80_Delta/Switchblade-x908_XEM-12S" TargetMode="External"/><Relationship Id="rId1530" Type="http://schemas.openxmlformats.org/officeDocument/2006/relationships/hyperlink" Target="https://jira.atlnz.lc/secure/Tests.jspa" TargetMode="External"/><Relationship Id="rId1628" Type="http://schemas.openxmlformats.org/officeDocument/2006/relationships/hyperlink" Target="http://10.32.16.105/systest/Reports/TestLink/SuiteExecC.php?plan=120841&amp;rep=F&amp;platform=94" TargetMode="External"/><Relationship Id="rId125" Type="http://schemas.openxmlformats.org/officeDocument/2006/relationships/hyperlink" Target="http://10.32.16.105/systest/Reports/TestLink/SuiteExecC.php?plan=443246&amp;rep=F&amp;platform=1053" TargetMode="External"/><Relationship Id="rId332" Type="http://schemas.openxmlformats.org/officeDocument/2006/relationships/hyperlink" Target="https://jira.atlnz.lc/secure/Tests.jspa" TargetMode="External"/><Relationship Id="rId777" Type="http://schemas.openxmlformats.org/officeDocument/2006/relationships/hyperlink" Target="https://jira.atlnz.lc/secure/Tests.jspa" TargetMode="External"/><Relationship Id="rId984" Type="http://schemas.openxmlformats.org/officeDocument/2006/relationships/hyperlink" Target="http://10.32.16.105/systest/Reports/TestLink/SuiteExecC.php?plan=484370&amp;rep=F&amp;platform=338" TargetMode="External"/><Relationship Id="rId637" Type="http://schemas.openxmlformats.org/officeDocument/2006/relationships/hyperlink" Target="http://10.32.16.105/systest/Reports/TestLink/SuiteExecC.php?plan=478894&amp;rep=F&amp;platform=180" TargetMode="External"/><Relationship Id="rId844" Type="http://schemas.openxmlformats.org/officeDocument/2006/relationships/hyperlink" Target="http://10.32.16.105/systest/Reports/TestLink/SuiteExecC.php?plan=144574&amp;rep=F&amp;platform=98" TargetMode="External"/><Relationship Id="rId1267" Type="http://schemas.openxmlformats.org/officeDocument/2006/relationships/hyperlink" Target="http://10.32.16.105/systest/products/Accessories/pluggable_transceiver/results_aw+/SFP/1G%20fiber%20SFP/AT-SPSX_Delta/x900-12XT-S" TargetMode="External"/><Relationship Id="rId1474" Type="http://schemas.openxmlformats.org/officeDocument/2006/relationships/hyperlink" Target="http://10.32.16.105/systest/Reports/TestLink/SuiteExecC.php?plan=150360&amp;rep=F&amp;platform=185" TargetMode="External"/><Relationship Id="rId276" Type="http://schemas.openxmlformats.org/officeDocument/2006/relationships/hyperlink" Target="http://10.32.16.105/systest/Reports/TestLink/SuiteExecC.php?plan=120841&amp;rep=F&amp;platform=133" TargetMode="External"/><Relationship Id="rId483" Type="http://schemas.openxmlformats.org/officeDocument/2006/relationships/hyperlink" Target="https://jira.atlnz.lc/secure/Tests.jspa" TargetMode="External"/><Relationship Id="rId690" Type="http://schemas.openxmlformats.org/officeDocument/2006/relationships/hyperlink" Target="https://jira.atlnz.lc/secure/Tests.jspa" TargetMode="External"/><Relationship Id="rId704" Type="http://schemas.openxmlformats.org/officeDocument/2006/relationships/hyperlink" Target="http://10.32.16.105/systest/Reports/TestLink/SuiteExecC.php?plan=464959&amp;rep=F&amp;platform=233" TargetMode="External"/><Relationship Id="rId911" Type="http://schemas.openxmlformats.org/officeDocument/2006/relationships/hyperlink" Target="https://jira.atlnz.lc/secure/Tests.jspa" TargetMode="External"/><Relationship Id="rId1127" Type="http://schemas.openxmlformats.org/officeDocument/2006/relationships/hyperlink" Target="http://10.32.16.105/systest/products/Accessories/pluggable_transceiver/results/SFP/SumitomoElectric-SBP6F44-AM-BN-49_Single_Fiber_1G/8948i" TargetMode="External"/><Relationship Id="rId1334" Type="http://schemas.openxmlformats.org/officeDocument/2006/relationships/hyperlink" Target="http://10.32.16.105/systest/products/Accessories/pluggable_transceiver/results/SFP/AT-SPZX80_Delta/x900-24XS" TargetMode="External"/><Relationship Id="rId1541" Type="http://schemas.openxmlformats.org/officeDocument/2006/relationships/hyperlink" Target="https://jira.atlnz.lc/secure/Tests.jspa" TargetMode="External"/><Relationship Id="rId40" Type="http://schemas.openxmlformats.org/officeDocument/2006/relationships/hyperlink" Target="http://10.32.16.105/systest/Reports/TestLink/SuiteExecC.php?plan=440944&amp;rep=F&amp;platform=188" TargetMode="External"/><Relationship Id="rId136" Type="http://schemas.openxmlformats.org/officeDocument/2006/relationships/hyperlink" Target="https://intranet.atlnz.lc/systest/Jira_Reports/testExecReport/jiraExecReport.php?testPlanKey=11&amp;projectKey=TQUALTCM&amp;Report=Report" TargetMode="External"/><Relationship Id="rId343" Type="http://schemas.openxmlformats.org/officeDocument/2006/relationships/hyperlink" Target="http://10.32.16.105/systest/Reports/TestLink/SuiteExecC.php?plan=478894&amp;rep=F&amp;platform=183" TargetMode="External"/><Relationship Id="rId550" Type="http://schemas.openxmlformats.org/officeDocument/2006/relationships/hyperlink" Target="https://intranet.atlnz.lc/systest/Jira_Reports/testExecReport/jiraExecReport.php?testPlanKey=370,371&amp;projectKey=TQUALTCM&amp;Report=Report" TargetMode="External"/><Relationship Id="rId788" Type="http://schemas.openxmlformats.org/officeDocument/2006/relationships/hyperlink" Target="http://10.32.16.105/systest/Reports/TestLink/SuiteExecC.php?plan=459219&amp;rep=F&amp;platform=350" TargetMode="External"/><Relationship Id="rId995" Type="http://schemas.openxmlformats.org/officeDocument/2006/relationships/hyperlink" Target="http://10.32.16.105/systest/Reports/TestLink/SuiteExecC.php?plan=484370&amp;rep=F&amp;platform=117" TargetMode="External"/><Relationship Id="rId1180" Type="http://schemas.openxmlformats.org/officeDocument/2006/relationships/hyperlink" Target="http://10.32.16.105/systest/products/Accessories/pluggable_transceiver/results/SFP/AT-SPLX-10_Delta/8948i" TargetMode="External"/><Relationship Id="rId1401" Type="http://schemas.openxmlformats.org/officeDocument/2006/relationships/hyperlink" Target="https://intranet.atlnz.lc/systest/Jira_Reports/testExecReport/jiraExecReport.php?testPlanKey=15&amp;projectKey=TQUALTCM&amp;Report=Report" TargetMode="External"/><Relationship Id="rId203" Type="http://schemas.openxmlformats.org/officeDocument/2006/relationships/hyperlink" Target="http://10.32.16.105/systest/Reports/TestLink/SuiteExecC.php?plan=453806&amp;rep=F&amp;platform=131" TargetMode="External"/><Relationship Id="rId648" Type="http://schemas.openxmlformats.org/officeDocument/2006/relationships/hyperlink" Target="https://jira.atlnz.lc/secure/Tests.jspa" TargetMode="External"/><Relationship Id="rId855" Type="http://schemas.openxmlformats.org/officeDocument/2006/relationships/hyperlink" Target="http://10.32.16.105/systest/products/Accessories/pluggable_transceiver/results/SFP/AT-SPBDM-A_B_APACOpto/XEM-12S_SBx908" TargetMode="External"/><Relationship Id="rId1040" Type="http://schemas.openxmlformats.org/officeDocument/2006/relationships/hyperlink" Target="http://10.32.16.105/systest/Reports/TestLink/SuiteExecC.php?plan=190066&amp;rep=F&amp;platform=187" TargetMode="External"/><Relationship Id="rId1278" Type="http://schemas.openxmlformats.org/officeDocument/2006/relationships/hyperlink" Target="http://10.32.16.105/systest/products/Accessories/pluggable_transceiver/results_aw+/SFP/Copper%20SFP/AT-SPTX_Delta/Switchblade-x908_XEM-12S" TargetMode="External"/><Relationship Id="rId1485" Type="http://schemas.openxmlformats.org/officeDocument/2006/relationships/hyperlink" Target="http://10.32.16.105/systest/Reports/TestLink/SuiteExecC.php?plan=96099&amp;rep=F&amp;platform=127" TargetMode="External"/><Relationship Id="rId287" Type="http://schemas.openxmlformats.org/officeDocument/2006/relationships/hyperlink" Target="https://intranet.atlnz.lc/systest/Jira_Reports/testExecReport/jiraExecReport.php?testPlanKey=18,370&amp;projectKey=TQUALTCM&amp;Report=Report" TargetMode="External"/><Relationship Id="rId410" Type="http://schemas.openxmlformats.org/officeDocument/2006/relationships/hyperlink" Target="http://10.32.16.105/systest/Reports/TestLink/SuiteExecC.php?plan=440944&amp;rep=F&amp;platform=184" TargetMode="External"/><Relationship Id="rId494" Type="http://schemas.openxmlformats.org/officeDocument/2006/relationships/hyperlink" Target="https://jira.atlnz.lc/secure/Tests.jspa" TargetMode="External"/><Relationship Id="rId508" Type="http://schemas.openxmlformats.org/officeDocument/2006/relationships/hyperlink" Target="http://10.32.16.105/systest/Reports/TestLink/SuiteExecC.php?plan=150360&amp;rep=F&amp;platform=185" TargetMode="External"/><Relationship Id="rId715" Type="http://schemas.openxmlformats.org/officeDocument/2006/relationships/hyperlink" Target="https://intranet.atlnz.lc/systest/Jira_Reports/testExecReport/jiraExecReport.php?testPlanKey=94&amp;projectKey=TQUALTCM&amp;Report=Report" TargetMode="External"/><Relationship Id="rId922" Type="http://schemas.openxmlformats.org/officeDocument/2006/relationships/hyperlink" Target="https://jira.atlnz.lc/secure/Tests.jspa" TargetMode="External"/><Relationship Id="rId1138" Type="http://schemas.openxmlformats.org/officeDocument/2006/relationships/hyperlink" Target="http://10.32.16.105/systest/products/Accessories/pluggable_transceiver/results/SFP/AT-SPBD10-13_Delta/8648T_2SP" TargetMode="External"/><Relationship Id="rId1345" Type="http://schemas.openxmlformats.org/officeDocument/2006/relationships/hyperlink" Target="http://10.32.16.105/systest/products/Accessories/pluggable_transceiver/results/SFP/AT-SPSX_RevBC/8948" TargetMode="External"/><Relationship Id="rId1552" Type="http://schemas.openxmlformats.org/officeDocument/2006/relationships/hyperlink" Target="http://10.32.16.105/systest/Reports/TestLink/SuiteExecC.php?plan=458763&amp;rep=F&amp;platform=188" TargetMode="External"/><Relationship Id="rId147" Type="http://schemas.openxmlformats.org/officeDocument/2006/relationships/hyperlink" Target="https://intranet.atlnz.lc/systest/Jira_Reports/testExecReport/jiraExecReport.php?testPlanKey=370,371&amp;projectKey=TQUALTCM&amp;Report=Report" TargetMode="External"/><Relationship Id="rId354" Type="http://schemas.openxmlformats.org/officeDocument/2006/relationships/hyperlink" Target="https://jira.atlnz.lc/secure/Tests.jspa" TargetMode="External"/><Relationship Id="rId799" Type="http://schemas.openxmlformats.org/officeDocument/2006/relationships/hyperlink" Target="https://intranet.atlnz.lc/systest/Jira_Reports/testExecReport/jiraExecReport.php?testPlanKey=428&amp;projectKey=TQUALTCM&amp;Report=Report" TargetMode="External"/><Relationship Id="rId1191" Type="http://schemas.openxmlformats.org/officeDocument/2006/relationships/hyperlink" Target="http://10.32.16.105/systest/products/Accessories/pluggable_transceiver/results/SFP/WTD-RTXM191_AT-SPLX30/AT-86482SP_&amp;_x900-48FE-N_(AT-8948i-N)" TargetMode="External"/><Relationship Id="rId1205" Type="http://schemas.openxmlformats.org/officeDocument/2006/relationships/hyperlink" Target="http://10.32.16.105/systest/products/Accessories/pluggable_transceiver/results_aw+/SFP/1G%20fiber%20SFP/AT-SPLX40_Delta/x900-12XT-S" TargetMode="External"/><Relationship Id="rId51" Type="http://schemas.openxmlformats.org/officeDocument/2006/relationships/hyperlink" Target="http://10.32.16.105/systest/Reports/TestLink/SuiteExecC.php?plan=95948&amp;rep=F&amp;platform=201" TargetMode="External"/><Relationship Id="rId561" Type="http://schemas.openxmlformats.org/officeDocument/2006/relationships/hyperlink" Target="http://10.32.16.105/systest/Reports/TestLink/SuiteExecC.php?plan=309247&amp;rep=F&amp;platform=181" TargetMode="External"/><Relationship Id="rId659" Type="http://schemas.openxmlformats.org/officeDocument/2006/relationships/hyperlink" Target="http://10.32.16.105/systest/Reports/TestLink/SuiteExecC.php?plan=443653&amp;rep=F&amp;platform=180" TargetMode="External"/><Relationship Id="rId866" Type="http://schemas.openxmlformats.org/officeDocument/2006/relationships/hyperlink" Target="http://10.32.16.105/systest/products/Accessories/pluggable_transceiver/results/SFP/AT-SPBDM-A_B_APACOpto/SB4442" TargetMode="External"/><Relationship Id="rId1289" Type="http://schemas.openxmlformats.org/officeDocument/2006/relationships/hyperlink" Target="http://10.32.16.105/systest/products/Accessories/pluggable_transceiver/results/SFP/AT-SPSX_Avago/x900-48FS" TargetMode="External"/><Relationship Id="rId1412" Type="http://schemas.openxmlformats.org/officeDocument/2006/relationships/hyperlink" Target="https://intranet.atlnz.lc/systest/Jira_Reports/testExecReport/jiraExecReport.php?testPlanKey=428&amp;projectKey=TQUALTCM&amp;Report=Report" TargetMode="External"/><Relationship Id="rId1496" Type="http://schemas.openxmlformats.org/officeDocument/2006/relationships/hyperlink" Target="http://10.32.16.105/systest/Reports/TestLink/SuiteExecC.php?plan=308258&amp;rep=F&amp;platform=188" TargetMode="External"/><Relationship Id="rId214" Type="http://schemas.openxmlformats.org/officeDocument/2006/relationships/hyperlink" Target="http://10.32.16.105/systest/Reports/TestLink/SuiteExecC.php?plan=158997&amp;rep=F&amp;platform=203" TargetMode="External"/><Relationship Id="rId298" Type="http://schemas.openxmlformats.org/officeDocument/2006/relationships/hyperlink" Target="http://10.32.16.105/systest/Reports/TestLink/SuiteExecC.php?plan=95951&amp;rep=F&amp;platform=201" TargetMode="External"/><Relationship Id="rId421" Type="http://schemas.openxmlformats.org/officeDocument/2006/relationships/hyperlink" Target="http://10.32.16.105/systest/Reports/TestLink/SuiteExecC.php?plan=95953&amp;rep=F&amp;platform=201" TargetMode="External"/><Relationship Id="rId519" Type="http://schemas.openxmlformats.org/officeDocument/2006/relationships/hyperlink" Target="http://10.32.16.105/systest/Reports/TestLink/SuiteExecC.php?plan=96099&amp;rep=F&amp;platform=127" TargetMode="External"/><Relationship Id="rId1051" Type="http://schemas.openxmlformats.org/officeDocument/2006/relationships/hyperlink" Target="http://10.32.16.105/systest/Reports/TestLink/SuiteExecC.php?plan=458186&amp;rep=F&amp;platform=187" TargetMode="External"/><Relationship Id="rId1149" Type="http://schemas.openxmlformats.org/officeDocument/2006/relationships/hyperlink" Target="http://10.32.16.105/systest/products/Accessories/pluggable_transceiver/results/SFP/AT-SPBD10-14_Delta/x900-48FE_8948i" TargetMode="External"/><Relationship Id="rId1356" Type="http://schemas.openxmlformats.org/officeDocument/2006/relationships/hyperlink" Target="https://intranet.atlnz.lc/systest/Jira_Reports/testExecReport/jiraExecReport.php?testPlanKey=440&amp;projectKey=TQUALTCM&amp;Report=Report" TargetMode="External"/><Relationship Id="rId158" Type="http://schemas.openxmlformats.org/officeDocument/2006/relationships/hyperlink" Target="http://10.32.16.105/systest/Reports/TestLink/SuiteExecC.php?plan=453806&amp;rep=F&amp;platform=1053" TargetMode="External"/><Relationship Id="rId726" Type="http://schemas.openxmlformats.org/officeDocument/2006/relationships/hyperlink" Target="http://10.32.16.105/systest/Reports/TestLink/SuiteExecC.php?plan=458186&amp;rep=F&amp;platform=225" TargetMode="External"/><Relationship Id="rId933" Type="http://schemas.openxmlformats.org/officeDocument/2006/relationships/hyperlink" Target="https://jira.atlnz.lc/secure/Tests.jspa" TargetMode="External"/><Relationship Id="rId1009" Type="http://schemas.openxmlformats.org/officeDocument/2006/relationships/hyperlink" Target="https://jira.atlnz.lc/secure/Tests.jspa" TargetMode="External"/><Relationship Id="rId1563" Type="http://schemas.openxmlformats.org/officeDocument/2006/relationships/hyperlink" Target="http://10.32.16.105/systest/products/Accessories/pluggable_transceiver/results/SFP/AT-SPBD10-13_Delta_RevB/9924SP" TargetMode="External"/><Relationship Id="rId62" Type="http://schemas.openxmlformats.org/officeDocument/2006/relationships/hyperlink" Target="http://10.32.16.105/systest/Reports/TestLink/SuiteExecC.php?plan=50623&amp;rep=F" TargetMode="External"/><Relationship Id="rId365" Type="http://schemas.openxmlformats.org/officeDocument/2006/relationships/hyperlink" Target="http://10.32.16.105/systest/Reports/TestLink/SuiteExecC.php?plan=123414&amp;rep=F&amp;platform=183" TargetMode="External"/><Relationship Id="rId572" Type="http://schemas.openxmlformats.org/officeDocument/2006/relationships/hyperlink" Target="http://10.32.16.105/systest/Reports/TestLink/SuiteExecC.php?plan=95956&amp;rep=F&amp;platform=233" TargetMode="External"/><Relationship Id="rId1216" Type="http://schemas.openxmlformats.org/officeDocument/2006/relationships/hyperlink" Target="http://10.32.16.105/systest/Reports/TestLink/SuiteExecC.php?plan=478894&amp;rep=F&amp;platform=179" TargetMode="External"/><Relationship Id="rId1423" Type="http://schemas.openxmlformats.org/officeDocument/2006/relationships/hyperlink" Target="https://intranet.atlnz.lc/systest/Jira_Reports/testExecReport/jiraExecReport.php?testPlanKey=496,497&amp;projectKey=TQUALTCM&amp;Report=Report" TargetMode="External"/><Relationship Id="rId1630" Type="http://schemas.openxmlformats.org/officeDocument/2006/relationships/hyperlink" Target="http://10.32.16.105/systest/Reports/TestLink/SuiteExecC.php?plan=120841&amp;rep=F" TargetMode="External"/><Relationship Id="rId225" Type="http://schemas.openxmlformats.org/officeDocument/2006/relationships/hyperlink" Target="http://10.32.16.105/systest/Reports/TestLink/SuiteExecC.php?plan=150485&amp;rep=F&amp;platform=203" TargetMode="External"/><Relationship Id="rId432" Type="http://schemas.openxmlformats.org/officeDocument/2006/relationships/hyperlink" Target="http://10.32.16.105/systest/Reports/TestLink/SuiteExecC.php?plan=95953&amp;rep=F&amp;platform=202" TargetMode="External"/><Relationship Id="rId877" Type="http://schemas.openxmlformats.org/officeDocument/2006/relationships/hyperlink" Target="http://10.32.16.105/systest/products/Accessories/pluggable_transceiver/results/SFP/FIBEREXON-FTM-9301S-S20i/x900-24XS_XEM-12S_Mustang" TargetMode="External"/><Relationship Id="rId1062" Type="http://schemas.openxmlformats.org/officeDocument/2006/relationships/hyperlink" Target="http://10.32.16.105/systest/Reports/TestLink/SuiteExecC.php?plan=95949&amp;rep=F&amp;platform=233" TargetMode="External"/><Relationship Id="rId737" Type="http://schemas.openxmlformats.org/officeDocument/2006/relationships/hyperlink" Target="http://10.32.16.105/systest/Reports/TestLink/SuiteExecC.php?plan=75671&amp;rep=F" TargetMode="External"/><Relationship Id="rId944" Type="http://schemas.openxmlformats.org/officeDocument/2006/relationships/hyperlink" Target="https://jira.atlnz.lc/secure/Tests.jspa" TargetMode="External"/><Relationship Id="rId1367" Type="http://schemas.openxmlformats.org/officeDocument/2006/relationships/hyperlink" Target="https://intranet.atlnz.lc/systest/Jira_Reports/testExecReport/jiraExecReport.php?testPlanKey=440&amp;projectKey=TQUALTCM&amp;Report=Report" TargetMode="External"/><Relationship Id="rId1574" Type="http://schemas.openxmlformats.org/officeDocument/2006/relationships/hyperlink" Target="http://10.32.16.105/systest/Reports/TestLink/SuiteExecC.php?plan=123414&amp;rep=F&amp;platform=188" TargetMode="External"/><Relationship Id="rId73" Type="http://schemas.openxmlformats.org/officeDocument/2006/relationships/hyperlink" Target="http://10.32.16.105/systest/products/Accessories/pluggable_transceiver/results/SFP/AT-SPBD10-13_Delta_RevB/A65_8624T_2M" TargetMode="External"/><Relationship Id="rId169" Type="http://schemas.openxmlformats.org/officeDocument/2006/relationships/hyperlink" Target="http://10.32.16.105/systest/Reports/TestLink/SuiteExecC.php?plan=453806&amp;rep=F&amp;platform=98" TargetMode="External"/><Relationship Id="rId376" Type="http://schemas.openxmlformats.org/officeDocument/2006/relationships/hyperlink" Target="http://10.32.16.105/systest/products/Accessories/pluggable_transceiver/results/SFP/AT-SPLX10_RevB/XEM-12S_SBx908" TargetMode="External"/><Relationship Id="rId583" Type="http://schemas.openxmlformats.org/officeDocument/2006/relationships/hyperlink" Target="http://10.32.16.105/systest/Reports/TestLink/SuiteExecC.php?plan=67469&amp;rep=F" TargetMode="External"/><Relationship Id="rId790" Type="http://schemas.openxmlformats.org/officeDocument/2006/relationships/hyperlink" Target="http://10.32.16.105/systest/Reports/TestLink/SuiteExecC.php?plan=151508&amp;rep=F&amp;platform=98" TargetMode="External"/><Relationship Id="rId804" Type="http://schemas.openxmlformats.org/officeDocument/2006/relationships/hyperlink" Target="https://jira.atlnz.lc/secure/Tests.jspa" TargetMode="External"/><Relationship Id="rId1227" Type="http://schemas.openxmlformats.org/officeDocument/2006/relationships/hyperlink" Target="http://10.32.16.105/systest/Reports/TestLink/SuiteExecC.php?plan=458186&amp;rep=F&amp;platform=179" TargetMode="External"/><Relationship Id="rId1434" Type="http://schemas.openxmlformats.org/officeDocument/2006/relationships/hyperlink" Target="https://wallace4.atlnz.lc/systest/Jira_Reports/testExecReport/jiraExecReport_wallace4.php?testPlanKey=111&amp;projectKey=TQUALTCM&amp;Report=Report" TargetMode="External"/><Relationship Id="rId4" Type="http://schemas.openxmlformats.org/officeDocument/2006/relationships/hyperlink" Target="http://www.alliedtelesis.com/media/datasheets/sb4000_family_ds.pdf" TargetMode="External"/><Relationship Id="rId236" Type="http://schemas.openxmlformats.org/officeDocument/2006/relationships/hyperlink" Target="http://10.32.16.105/systest/Reports/TestLink/SuiteExecC.php?plan=120841&amp;rep=F&amp;platform=94" TargetMode="External"/><Relationship Id="rId443" Type="http://schemas.openxmlformats.org/officeDocument/2006/relationships/hyperlink" Target="https://jira.atlnz.lc/secure/Tests.jspa" TargetMode="External"/><Relationship Id="rId650" Type="http://schemas.openxmlformats.org/officeDocument/2006/relationships/hyperlink" Target="https://jira.atlnz.lc/secure/Tests.jspa" TargetMode="External"/><Relationship Id="rId888" Type="http://schemas.openxmlformats.org/officeDocument/2006/relationships/hyperlink" Target="https://jira.atlnz.lc/secure/Tests.jspa" TargetMode="External"/><Relationship Id="rId1073" Type="http://schemas.openxmlformats.org/officeDocument/2006/relationships/hyperlink" Target="http://10.32.16.105/systest/products/Accessories/pluggable_transceiver/results/SFP/AT-SPBD10-13_Sumitomo_SBP6H44-AM-BN-31/8648T_2SP" TargetMode="External"/><Relationship Id="rId1280" Type="http://schemas.openxmlformats.org/officeDocument/2006/relationships/hyperlink" Target="http://10.32.16.105/systest/products/Accessories/pluggable_transceiver/results/SFP/AT-SPTX_Delta/8948i" TargetMode="External"/><Relationship Id="rId1501" Type="http://schemas.openxmlformats.org/officeDocument/2006/relationships/hyperlink" Target="http://10.32.16.105/systest/Reports/TestLink/SuiteExecC.php?plan=308256&amp;rep=F&amp;platform=187" TargetMode="External"/><Relationship Id="rId303" Type="http://schemas.openxmlformats.org/officeDocument/2006/relationships/hyperlink" Target="http://10.32.16.105/systest/Reports/TestLink/SuiteExecC.php?plan=95951&amp;rep=F" TargetMode="External"/><Relationship Id="rId748" Type="http://schemas.openxmlformats.org/officeDocument/2006/relationships/hyperlink" Target="http://10.32.16.105/systest/products/Accessories/pluggable_transceiver/results/SFP/AT-SPTX_RevC/SB4442V2" TargetMode="External"/><Relationship Id="rId955" Type="http://schemas.openxmlformats.org/officeDocument/2006/relationships/hyperlink" Target="http://10.32.16.105/systest/Reports/TestLink/SuiteExecC.php?plan=484370&amp;rep=F&amp;platform=1051" TargetMode="External"/><Relationship Id="rId1140" Type="http://schemas.openxmlformats.org/officeDocument/2006/relationships/hyperlink" Target="http://10.32.16.105/systest/products/Accessories/pluggable_transceiver/results/SFP/AT-SPBD10-13_Delta/x900-48FE_8948i" TargetMode="External"/><Relationship Id="rId1378" Type="http://schemas.openxmlformats.org/officeDocument/2006/relationships/hyperlink" Target="https://intranet.atlnz.lc/systest/Jira_Reports/testExecReport/jiraExecReport.php?testPlanKey=440&amp;projectKey=TQUALTCM&amp;Report=Report" TargetMode="External"/><Relationship Id="rId1585" Type="http://schemas.openxmlformats.org/officeDocument/2006/relationships/hyperlink" Target="http://10.32.16.105/systest/products/Accessories/pluggable_transceiver/results/SFP/AT-SPBD10-14_Delta_RevB/x900-12XT_S" TargetMode="External"/><Relationship Id="rId84" Type="http://schemas.openxmlformats.org/officeDocument/2006/relationships/hyperlink" Target="https://jira.atlnz.lc/secure/Tests.jspa" TargetMode="External"/><Relationship Id="rId387" Type="http://schemas.openxmlformats.org/officeDocument/2006/relationships/hyperlink" Target="http://10.32.16.105/systest/products/Accessories/pluggable_transceiver/results/SFP/AT-SPLX10_RevB/XEM-12S_SBx908" TargetMode="External"/><Relationship Id="rId510" Type="http://schemas.openxmlformats.org/officeDocument/2006/relationships/hyperlink" Target="http://10.32.16.105/systest/Reports/TestLink/SuiteExecC.php?plan=123414&amp;rep=F&amp;platform=185" TargetMode="External"/><Relationship Id="rId594" Type="http://schemas.openxmlformats.org/officeDocument/2006/relationships/hyperlink" Target="https://intranet.atlnz.lc/systest/Jira_Reports/testExecReport/jiraExecReport.php?testPlanKey=422&amp;projectKey=TQUALTCM&amp;Report=Report" TargetMode="External"/><Relationship Id="rId608" Type="http://schemas.openxmlformats.org/officeDocument/2006/relationships/hyperlink" Target="https://intranet.atlnz.lc/systest/Jira_Reports/testExecReport/jiraExecReport.php?testPlanKey=422&amp;projectKey=TQUALTCM&amp;Report=Report" TargetMode="External"/><Relationship Id="rId815" Type="http://schemas.openxmlformats.org/officeDocument/2006/relationships/hyperlink" Target="http://10.32.16.105/systest/Reports/TestLink/SuiteExecC.php?plan=190067&amp;rep=F&amp;platform=186" TargetMode="External"/><Relationship Id="rId1238" Type="http://schemas.openxmlformats.org/officeDocument/2006/relationships/hyperlink" Target="http://10.32.16.105/systest/Reports/TestLink/SuiteExecC.php?plan=442278&amp;rep=F&amp;platform=179" TargetMode="External"/><Relationship Id="rId1445" Type="http://schemas.openxmlformats.org/officeDocument/2006/relationships/hyperlink" Target="https://wallace4.atlnz.lc/systest/Jira_Reports/testExecReport/jiraExecReport_wallace4.php?testPlanKey=217&amp;projectKey=TQUALTCM&amp;Report=Report" TargetMode="External"/><Relationship Id="rId247" Type="http://schemas.openxmlformats.org/officeDocument/2006/relationships/hyperlink" Target="http://10.32.16.105/systest/Reports/TestLink/SuiteExecC.php?plan=440944&amp;rep=F&amp;platform=203" TargetMode="External"/><Relationship Id="rId899" Type="http://schemas.openxmlformats.org/officeDocument/2006/relationships/hyperlink" Target="https://jira.atlnz.lc/secure/Tests.jspa" TargetMode="External"/><Relationship Id="rId1000" Type="http://schemas.openxmlformats.org/officeDocument/2006/relationships/hyperlink" Target="https://jira.atlnz.lc/secure/Tests.jspa" TargetMode="External"/><Relationship Id="rId1084" Type="http://schemas.openxmlformats.org/officeDocument/2006/relationships/hyperlink" Target="http://10.32.16.105/systest/Reports/TestLink/SuiteExecC.php?plan=153890&amp;rep=F&amp;platform=187" TargetMode="External"/><Relationship Id="rId1305" Type="http://schemas.openxmlformats.org/officeDocument/2006/relationships/hyperlink" Target="http://10.32.16.105/systest/products/Accessories/pluggable_transceiver/results/SFP/AT-SPTX2_Delta/Switchblade4000" TargetMode="External"/><Relationship Id="rId107" Type="http://schemas.openxmlformats.org/officeDocument/2006/relationships/hyperlink" Target="http://10.32.16.105/systest/Reports/TestLink/SuiteExecC.php?plan=443246&amp;rep=F&amp;platform=1051" TargetMode="External"/><Relationship Id="rId454" Type="http://schemas.openxmlformats.org/officeDocument/2006/relationships/hyperlink" Target="https://jira.atlnz.lc/secure/Tests.jspa" TargetMode="External"/><Relationship Id="rId661" Type="http://schemas.openxmlformats.org/officeDocument/2006/relationships/hyperlink" Target="http://10.32.16.105/systest/Reports/TestLink/SuiteExecC.php?plan=95957&amp;rep=F&amp;platform=233" TargetMode="External"/><Relationship Id="rId759" Type="http://schemas.openxmlformats.org/officeDocument/2006/relationships/hyperlink" Target="http://10.32.16.105/systest/Reports/TestLink/SuiteExecC.php?plan=483931&amp;rep=F&amp;platform=1053" TargetMode="External"/><Relationship Id="rId966" Type="http://schemas.openxmlformats.org/officeDocument/2006/relationships/hyperlink" Target="http://10.32.16.105/systest/Reports/TestLink/SuiteExecC.php?plan=484370&amp;rep=F&amp;platform=1211" TargetMode="External"/><Relationship Id="rId1291" Type="http://schemas.openxmlformats.org/officeDocument/2006/relationships/hyperlink" Target="http://10.32.16.105/systest/products/Accessories/pluggable_transceiver/results/SFP/AT-SPTX2_Delta/8648T_2SP" TargetMode="External"/><Relationship Id="rId1389" Type="http://schemas.openxmlformats.org/officeDocument/2006/relationships/hyperlink" Target="https://jira.atlnz.lc/secure/Tests.jspa" TargetMode="External"/><Relationship Id="rId1512" Type="http://schemas.openxmlformats.org/officeDocument/2006/relationships/hyperlink" Target="http://10.32.16.105/systest/Reports/TestLink/SuiteExecC.php?plan=308258&amp;rep=F&amp;platform=186" TargetMode="External"/><Relationship Id="rId1596" Type="http://schemas.openxmlformats.org/officeDocument/2006/relationships/hyperlink" Target="http://10.32.16.105/systest/Reports/TestLink/SuiteExecC.php?plan=95948&amp;rep=F" TargetMode="External"/><Relationship Id="rId11" Type="http://schemas.openxmlformats.org/officeDocument/2006/relationships/hyperlink" Target="http://10.32.16.105/systest/Reports/TestLink/SuiteExecC.php?plan=190067&amp;rep=F&amp;platform=188" TargetMode="External"/><Relationship Id="rId314" Type="http://schemas.openxmlformats.org/officeDocument/2006/relationships/hyperlink" Target="http://10.32.16.105/systest/products/Accessories/pluggable_transceiver/results_aw+/SFP/1G%20fiber%20SFP/AT-SPEX_Delta/x908" TargetMode="External"/><Relationship Id="rId398" Type="http://schemas.openxmlformats.org/officeDocument/2006/relationships/hyperlink" Target="http://10.32.16.105/systest/Reports/TestLink/SuiteExecC.php?plan=478731&amp;rep=F&amp;platform=1052" TargetMode="External"/><Relationship Id="rId521" Type="http://schemas.openxmlformats.org/officeDocument/2006/relationships/hyperlink" Target="http://10.32.16.105/systest/Reports/TestLink/SuiteExecC.php?plan=96099&amp;rep=F&amp;platform=93" TargetMode="External"/><Relationship Id="rId619" Type="http://schemas.openxmlformats.org/officeDocument/2006/relationships/hyperlink" Target="http://10.32.16.105/systest/Reports/TestLink/SuiteExecC.php?plan=484370&amp;rep=F&amp;platform=117" TargetMode="External"/><Relationship Id="rId1151" Type="http://schemas.openxmlformats.org/officeDocument/2006/relationships/hyperlink" Target="http://10.32.16.105/systest/products/Accessories/pluggable_transceiver/results/SFP/AT-SPBD10-14_Delta/AT-A65/" TargetMode="External"/><Relationship Id="rId1249" Type="http://schemas.openxmlformats.org/officeDocument/2006/relationships/hyperlink" Target="http://10.32.16.105/systest/products/Accessories/pluggable_transceiver/results/SFP/AT-SPSX_Avago/x900-12XT_S" TargetMode="External"/><Relationship Id="rId95" Type="http://schemas.openxmlformats.org/officeDocument/2006/relationships/hyperlink" Target="http://10.32.16.105/systest/Reports/TestLink/SuiteExecC.php?plan=443246&amp;rep=F&amp;platform=1053" TargetMode="External"/><Relationship Id="rId160" Type="http://schemas.openxmlformats.org/officeDocument/2006/relationships/hyperlink" Target="http://10.32.16.105/systest/Reports/TestLink/SuiteExecC.php?plan=453806&amp;rep=F&amp;platform=172" TargetMode="External"/><Relationship Id="rId826" Type="http://schemas.openxmlformats.org/officeDocument/2006/relationships/hyperlink" Target="http://10.32.16.105/systest/Reports/TestLink/SuiteExecC.php?plan=458186&amp;rep=F&amp;platform=186" TargetMode="External"/><Relationship Id="rId1011" Type="http://schemas.openxmlformats.org/officeDocument/2006/relationships/hyperlink" Target="https://jira.atlnz.lc/secure/Tests.jspa" TargetMode="External"/><Relationship Id="rId1109" Type="http://schemas.openxmlformats.org/officeDocument/2006/relationships/hyperlink" Target="http://10.32.16.105/systest/products/Accessories/pluggable_transceiver/results/SFP/AT-SPBD10-14_Sumitomo_SBP6H44-AM-BN-49/x900-12XT_S" TargetMode="External"/><Relationship Id="rId1456" Type="http://schemas.openxmlformats.org/officeDocument/2006/relationships/hyperlink" Target="https://wallace4.atlnz.lc/systest/Jira_Reports/testExecReport/jiraExecReport_wallace4.php?testPlanKey=138&amp;projectKey=TQUALTCM&amp;Report=Report" TargetMode="External"/><Relationship Id="rId258" Type="http://schemas.openxmlformats.org/officeDocument/2006/relationships/hyperlink" Target="http://10.32.16.105/systest/Reports/TestLink/SuiteExecC.php?plan=120841&amp;rep=F" TargetMode="External"/><Relationship Id="rId465" Type="http://schemas.openxmlformats.org/officeDocument/2006/relationships/hyperlink" Target="https://jira.atlnz.lc/secure/Tests.jspa" TargetMode="External"/><Relationship Id="rId672" Type="http://schemas.openxmlformats.org/officeDocument/2006/relationships/hyperlink" Target="http://10.32.16.105/systest/products/Accessories/pluggable_transceiver/results/SFP/AT-SPSX_RevB_Delta/8648T_2SP" TargetMode="External"/><Relationship Id="rId1095" Type="http://schemas.openxmlformats.org/officeDocument/2006/relationships/hyperlink" Target="http://10.32.16.105/systest/Reports/TestLink/SuiteExecC.php?plan=309805&amp;rep=F&amp;platform=187" TargetMode="External"/><Relationship Id="rId1316" Type="http://schemas.openxmlformats.org/officeDocument/2006/relationships/hyperlink" Target="http://10.32.16.105/systest/Reports/TestLink/SuiteExecC.php?plan=95958&amp;rep=F" TargetMode="External"/><Relationship Id="rId1523" Type="http://schemas.openxmlformats.org/officeDocument/2006/relationships/hyperlink" Target="http://10.32.16.105/systest/Reports/TestLink/SuiteExecC.php?plan=308256&amp;rep=F&amp;platform=180" TargetMode="External"/><Relationship Id="rId22" Type="http://schemas.openxmlformats.org/officeDocument/2006/relationships/hyperlink" Target="http://10.32.16.105/systest/Reports/TestLink/SuiteExecC.php?plan=82161&amp;rep=F" TargetMode="External"/><Relationship Id="rId118" Type="http://schemas.openxmlformats.org/officeDocument/2006/relationships/hyperlink" Target="http://10.32.16.105/systest/Reports/TestLink/SuiteExecC.php?plan=443246&amp;rep=F&amp;platform=389" TargetMode="External"/><Relationship Id="rId325" Type="http://schemas.openxmlformats.org/officeDocument/2006/relationships/hyperlink" Target="https://intranet.atlnz.lc/systest/Jira_Reports/testExecReport/jiraExecReport.php?testPlanKey=19&amp;projectKey=TQUALTCM&amp;Report=Report" TargetMode="External"/><Relationship Id="rId532" Type="http://schemas.openxmlformats.org/officeDocument/2006/relationships/hyperlink" Target="https://jira.atlnz.lc/secure/Tests.jspa" TargetMode="External"/><Relationship Id="rId977" Type="http://schemas.openxmlformats.org/officeDocument/2006/relationships/hyperlink" Target="http://10.32.16.105/systest/Reports/TestLink/SuiteExecC.php?plan=484370&amp;rep=F&amp;platform=1191" TargetMode="External"/><Relationship Id="rId1162" Type="http://schemas.openxmlformats.org/officeDocument/2006/relationships/hyperlink" Target="http://10.32.16.105/systest/products/Accessories/pluggable_transceiver/results/SFP/AT-SPLX10_RevB/x600-48Ts" TargetMode="External"/><Relationship Id="rId171" Type="http://schemas.openxmlformats.org/officeDocument/2006/relationships/hyperlink" Target="https://intranet.atlnz.lc/systest/Jira_Reports/testExecReport/jiraExecReport.php?testPlanKey=40&amp;projectKey=TQUALTCM&amp;Report=Report" TargetMode="External"/><Relationship Id="rId837" Type="http://schemas.openxmlformats.org/officeDocument/2006/relationships/hyperlink" Target="http://10.32.16.105/systest/Reports/TestLink/SuiteExecC.php?plan=144574&amp;rep=F&amp;platform=171" TargetMode="External"/><Relationship Id="rId1022" Type="http://schemas.openxmlformats.org/officeDocument/2006/relationships/hyperlink" Target="https://jira.atlnz.lc/secure/Tests.jspa" TargetMode="External"/><Relationship Id="rId1467" Type="http://schemas.openxmlformats.org/officeDocument/2006/relationships/hyperlink" Target="https://intranet.atlnz.lc/systest/Jira_Reports/testExecReport/jiraExecReport.php?testPlanKey=34&amp;projectKey=TQUALTCM&amp;Report=Report" TargetMode="External"/><Relationship Id="rId269" Type="http://schemas.openxmlformats.org/officeDocument/2006/relationships/hyperlink" Target="http://10.32.16.105/systest/Reports/TestLink/SuiteExecC.php?plan=120841&amp;rep=F" TargetMode="External"/><Relationship Id="rId476" Type="http://schemas.openxmlformats.org/officeDocument/2006/relationships/hyperlink" Target="https://jira.atlnz.lc/secure/Tests.jspa" TargetMode="External"/><Relationship Id="rId683" Type="http://schemas.openxmlformats.org/officeDocument/2006/relationships/hyperlink" Target="http://10.32.16.105/systest/Reports/TestLink/SuiteExecC.php?plan=464959&amp;rep=F&amp;platform=386" TargetMode="External"/><Relationship Id="rId890" Type="http://schemas.openxmlformats.org/officeDocument/2006/relationships/hyperlink" Target="https://jira.atlnz.lc/secure/Tests.jspa" TargetMode="External"/><Relationship Id="rId904" Type="http://schemas.openxmlformats.org/officeDocument/2006/relationships/hyperlink" Target="https://jira.atlnz.lc/secure/Tests.jspa" TargetMode="External"/><Relationship Id="rId1327" Type="http://schemas.openxmlformats.org/officeDocument/2006/relationships/hyperlink" Target="http://10.32.16.105/systest/products/Accessories/pluggable_transceiver/results_aw+/SFP/1G%20fiber%20SFP/AT-SPZX80_Delta/x900-24XS" TargetMode="External"/><Relationship Id="rId1534" Type="http://schemas.openxmlformats.org/officeDocument/2006/relationships/hyperlink" Target="http://10.32.16.105/systest/Reports/TestLink/SuiteExecC.php?plan=308258&amp;rep=F&amp;platform=183" TargetMode="External"/><Relationship Id="rId33" Type="http://schemas.openxmlformats.org/officeDocument/2006/relationships/hyperlink" Target="http://10.32.16.105/systest/products/Accessories/pluggable_transceiver/results/SFP/AT-SPBD10-13_Delta_RevB/SB4442_V2" TargetMode="External"/><Relationship Id="rId129" Type="http://schemas.openxmlformats.org/officeDocument/2006/relationships/hyperlink" Target="http://10.32.16.105/systest/Reports/TestLink/SuiteExecC.php?plan=443246&amp;rep=F&amp;platform=1092" TargetMode="External"/><Relationship Id="rId336" Type="http://schemas.openxmlformats.org/officeDocument/2006/relationships/hyperlink" Target="http://10.32.16.105/systest/Reports/TestLink/SuiteExecC.php?plan=478732&amp;rep=F&amp;platform=1053" TargetMode="External"/><Relationship Id="rId543" Type="http://schemas.openxmlformats.org/officeDocument/2006/relationships/hyperlink" Target="http://10.32.16.105/systest/Reports/TestLink/SuiteExecC.php?plan=190067&amp;rep=F&amp;platform=181" TargetMode="External"/><Relationship Id="rId988" Type="http://schemas.openxmlformats.org/officeDocument/2006/relationships/hyperlink" Target="http://10.32.16.105/systest/Reports/TestLink/SuiteExecC.php?plan=484370&amp;rep=F&amp;platform=1144" TargetMode="External"/><Relationship Id="rId1173" Type="http://schemas.openxmlformats.org/officeDocument/2006/relationships/hyperlink" Target="http://10.32.16.105/systest/products/Accessories/pluggable_transceiver/results/SFP/AT-SPLX10_RevB/SB4442" TargetMode="External"/><Relationship Id="rId1380" Type="http://schemas.openxmlformats.org/officeDocument/2006/relationships/hyperlink" Target="https://intranet.atlnz.lc/systest/Jira_Reports/testExecReport/jiraExecReport.php?testPlanKey=480,481&amp;projectKey=TQUALTCM&amp;Report=Report" TargetMode="External"/><Relationship Id="rId1601" Type="http://schemas.openxmlformats.org/officeDocument/2006/relationships/hyperlink" Target="http://10.32.16.105/systest/Reports/TestLink/SuiteExecC.php?plan=120841&amp;rep=F" TargetMode="External"/><Relationship Id="rId182" Type="http://schemas.openxmlformats.org/officeDocument/2006/relationships/hyperlink" Target="http://10.32.16.105/systest/Reports/TestLink/SuiteExecC.php?plan=453806&amp;rep=F&amp;platform=390" TargetMode="External"/><Relationship Id="rId403" Type="http://schemas.openxmlformats.org/officeDocument/2006/relationships/hyperlink" Target="http://10.32.16.105/systest/Reports/TestLink/SuiteExecC.php?plan=478731&amp;rep=F&amp;platform=1144" TargetMode="External"/><Relationship Id="rId750" Type="http://schemas.openxmlformats.org/officeDocument/2006/relationships/hyperlink" Target="https://jira.atlnz.lc/secure/Tests.jspa" TargetMode="External"/><Relationship Id="rId848" Type="http://schemas.openxmlformats.org/officeDocument/2006/relationships/hyperlink" Target="http://10.32.16.105/systest/Reports/TestLink/SuiteExecC.php?plan=144574&amp;rep=F&amp;platform=93" TargetMode="External"/><Relationship Id="rId1033" Type="http://schemas.openxmlformats.org/officeDocument/2006/relationships/hyperlink" Target="https://jira.atlnz.lc/secure/Tests.jspa" TargetMode="External"/><Relationship Id="rId1478" Type="http://schemas.openxmlformats.org/officeDocument/2006/relationships/hyperlink" Target="http://10.32.16.105/systest/Reports/TestLink/SuiteExecC.php?plan=458763&amp;rep=F&amp;platform=185" TargetMode="External"/><Relationship Id="rId487" Type="http://schemas.openxmlformats.org/officeDocument/2006/relationships/hyperlink" Target="http://10.32.16.105/systest/Reports/TestLink/SuiteExecC.php?plan=309151&amp;rep=F&amp;platform=185" TargetMode="External"/><Relationship Id="rId610" Type="http://schemas.openxmlformats.org/officeDocument/2006/relationships/hyperlink" Target="https://intranet.atlnz.lc/systest/Jira_Reports/testExecReport/jiraExecReport.php?testPlanKey=422&amp;projectKey=TQUALTCM&amp;Report=Report" TargetMode="External"/><Relationship Id="rId694" Type="http://schemas.openxmlformats.org/officeDocument/2006/relationships/hyperlink" Target="http://10.32.16.105/systest/Reports/TestLink/SuiteExecC.php?plan=464959&amp;rep=F&amp;platform=1052" TargetMode="External"/><Relationship Id="rId708" Type="http://schemas.openxmlformats.org/officeDocument/2006/relationships/hyperlink" Target="http://10.32.16.105/systest/Reports/TestLink/SuiteExecC.php?plan=464959&amp;rep=F&amp;platform=131" TargetMode="External"/><Relationship Id="rId915" Type="http://schemas.openxmlformats.org/officeDocument/2006/relationships/hyperlink" Target="https://jira.atlnz.lc/secure/Tests.jspa" TargetMode="External"/><Relationship Id="rId1240" Type="http://schemas.openxmlformats.org/officeDocument/2006/relationships/hyperlink" Target="http://10.32.16.105/systest/Reports/TestLink/SuiteExecC.php?plan=459219&amp;rep=F&amp;platform=179" TargetMode="External"/><Relationship Id="rId1338" Type="http://schemas.openxmlformats.org/officeDocument/2006/relationships/hyperlink" Target="http://10.32.16.105/systest/products/Accessories/pluggable_transceiver/results_aw+/SFP/1G%20fiber%20SFP/AT-SPSX_RevBC/XEM-12S_SBx908" TargetMode="External"/><Relationship Id="rId1545" Type="http://schemas.openxmlformats.org/officeDocument/2006/relationships/hyperlink" Target="http://10.32.16.105/systest/Reports/TestLink/SuiteExecC.php?plan=458186&amp;rep=F&amp;platform=187" TargetMode="External"/><Relationship Id="rId347" Type="http://schemas.openxmlformats.org/officeDocument/2006/relationships/hyperlink" Target="https://jira.atlnz.lc/secure/Tests.jspa" TargetMode="External"/><Relationship Id="rId999" Type="http://schemas.openxmlformats.org/officeDocument/2006/relationships/hyperlink" Target="https://jira.atlnz.lc/secure/Tests.jspa" TargetMode="External"/><Relationship Id="rId1100" Type="http://schemas.openxmlformats.org/officeDocument/2006/relationships/hyperlink" Target="http://10.32.16.105/systest/Reports/TestLink/SuiteExecC.php?plan=458763&amp;rep=F&amp;platform=187" TargetMode="External"/><Relationship Id="rId1184" Type="http://schemas.openxmlformats.org/officeDocument/2006/relationships/hyperlink" Target="http://10.32.16.105/systest/products/Accessories/pluggable_transceiver/results_aw+/SFP/1G%20fiber%20SFP/AT-SPLX20_Delta/x908" TargetMode="External"/><Relationship Id="rId1405" Type="http://schemas.openxmlformats.org/officeDocument/2006/relationships/hyperlink" Target="https://jira.atlnz.lc/secure/Tests.jspa" TargetMode="External"/><Relationship Id="rId44" Type="http://schemas.openxmlformats.org/officeDocument/2006/relationships/hyperlink" Target="http://10.32.16.105/systest/Reports/TestLink/SuiteExecC.php?plan=158997&amp;rep=F&amp;platform=188" TargetMode="External"/><Relationship Id="rId554" Type="http://schemas.openxmlformats.org/officeDocument/2006/relationships/hyperlink" Target="http://10.32.16.105/systest/Reports/TestLink/SuiteExecC.php?plan=182009&amp;rep=F&amp;platform=181" TargetMode="External"/><Relationship Id="rId761" Type="http://schemas.openxmlformats.org/officeDocument/2006/relationships/hyperlink" Target="https://intranet.atlnz.lc/systest/Jira_Reports/testExecReport/jiraExecReport.php?testPlanKey=34&amp;projectKey=TQUALTCM&amp;Report=Report" TargetMode="External"/><Relationship Id="rId859" Type="http://schemas.openxmlformats.org/officeDocument/2006/relationships/hyperlink" Target="http://10.32.16.105/systest/products/Accessories/pluggable_transceiver/results/SFP/AT-SPBDM-A_B_APACOpto/8948XL" TargetMode="External"/><Relationship Id="rId1391" Type="http://schemas.openxmlformats.org/officeDocument/2006/relationships/hyperlink" Target="https://jira.atlnz.lc/secure/Tests.jspa" TargetMode="External"/><Relationship Id="rId1489" Type="http://schemas.openxmlformats.org/officeDocument/2006/relationships/hyperlink" Target="http://10.32.16.105/systest/products/Accessories/pluggable_transceiver/results_aw+/SFP/1G%20fiber%20SFP/AT-SPLX40_Delta/x900-24XS" TargetMode="External"/><Relationship Id="rId1612" Type="http://schemas.openxmlformats.org/officeDocument/2006/relationships/hyperlink" Target="http://10.32.16.105/systest/Reports/TestLink/SuiteExecC.php?plan=120841&amp;rep=F&amp;platform=93" TargetMode="External"/><Relationship Id="rId193" Type="http://schemas.openxmlformats.org/officeDocument/2006/relationships/hyperlink" Target="http://10.32.16.105/systest/Reports/TestLink/SuiteExecC.php?plan=453806&amp;rep=F&amp;platform=172" TargetMode="External"/><Relationship Id="rId207" Type="http://schemas.openxmlformats.org/officeDocument/2006/relationships/hyperlink" Target="http://10.32.16.105/systest/Reports/TestLink/SuiteExecC.php?plan=478894&amp;rep=F&amp;platform=203" TargetMode="External"/><Relationship Id="rId414" Type="http://schemas.openxmlformats.org/officeDocument/2006/relationships/hyperlink" Target="http://10.32.16.105/systest/Reports/TestLink/SuiteExecC.php?plan=158999&amp;rep=F&amp;platform=184" TargetMode="External"/><Relationship Id="rId498" Type="http://schemas.openxmlformats.org/officeDocument/2006/relationships/hyperlink" Target="http://10.32.16.105/systest/Reports/TestLink/SuiteExecC.php?plan=182009&amp;rep=F&amp;platform=185" TargetMode="External"/><Relationship Id="rId621" Type="http://schemas.openxmlformats.org/officeDocument/2006/relationships/hyperlink" Target="https://jira.atlnz.lc/secure/Tests.jspa" TargetMode="External"/><Relationship Id="rId1044" Type="http://schemas.openxmlformats.org/officeDocument/2006/relationships/hyperlink" Target="http://10.32.16.105/systest/Reports/TestLink/SuiteExecC.php?plan=476649&amp;rep=F&amp;platform=187" TargetMode="External"/><Relationship Id="rId1251" Type="http://schemas.openxmlformats.org/officeDocument/2006/relationships/hyperlink" Target="http://10.32.16.105/systest/products/Accessories/pluggable_transceiver/results/SFP/AT-SPSX_Avago/x900-48FS" TargetMode="External"/><Relationship Id="rId1349" Type="http://schemas.openxmlformats.org/officeDocument/2006/relationships/hyperlink" Target="http://10.32.16.105/systest/products/Accessories/pluggable_transceiver/results/SFP/AT-SPSX_RevBC/SB4442_SB4104" TargetMode="External"/><Relationship Id="rId260" Type="http://schemas.openxmlformats.org/officeDocument/2006/relationships/hyperlink" Target="http://10.32.16.105/systest/Reports/TestLink/SuiteExecC.php?plan=479406&amp;rep=F&amp;platform=203" TargetMode="External"/><Relationship Id="rId719" Type="http://schemas.openxmlformats.org/officeDocument/2006/relationships/hyperlink" Target="http://10.32.16.105/systest/Reports/TestLink/SuiteExecC.php?plan=153890&amp;rep=F&amp;platform=225" TargetMode="External"/><Relationship Id="rId926" Type="http://schemas.openxmlformats.org/officeDocument/2006/relationships/hyperlink" Target="https://jira.atlnz.lc/secure/Tests.jspa" TargetMode="External"/><Relationship Id="rId1111" Type="http://schemas.openxmlformats.org/officeDocument/2006/relationships/hyperlink" Target="http://10.32.16.105/systest/products/Accessories/pluggable_transceiver/results/SFP/AT-SPBD10-14_Sumitomo_SBP6H44-AM-BN-49/x900-48FS" TargetMode="External"/><Relationship Id="rId1556" Type="http://schemas.openxmlformats.org/officeDocument/2006/relationships/hyperlink" Target="http://10.32.16.105/systest/Reports/TestLink/SuiteExecC.php?plan=75503&amp;rep=F" TargetMode="External"/><Relationship Id="rId55" Type="http://schemas.openxmlformats.org/officeDocument/2006/relationships/hyperlink" Target="http://10.32.16.105/systest/Reports/TestLink/SuiteExecC.php?plan=150360&amp;rep=F&amp;platform=188" TargetMode="External"/><Relationship Id="rId120" Type="http://schemas.openxmlformats.org/officeDocument/2006/relationships/hyperlink" Target="https://jira.atlnz.lc/secure/Tests.jspa" TargetMode="External"/><Relationship Id="rId358" Type="http://schemas.openxmlformats.org/officeDocument/2006/relationships/hyperlink" Target="https://jira.atlnz.lc/secure/Tests.jspa" TargetMode="External"/><Relationship Id="rId565" Type="http://schemas.openxmlformats.org/officeDocument/2006/relationships/hyperlink" Target="http://10.32.16.105/systest/Reports/TestLink/SuiteExecC.php?plan=150200&amp;rep=F&amp;platform=181" TargetMode="External"/><Relationship Id="rId772" Type="http://schemas.openxmlformats.org/officeDocument/2006/relationships/hyperlink" Target="http://10.32.16.105/systest/Reports/TestLink/SuiteExecC.php?plan=159000&amp;rep=F&amp;platform=350" TargetMode="External"/><Relationship Id="rId1195" Type="http://schemas.openxmlformats.org/officeDocument/2006/relationships/hyperlink" Target="http://10.32.16.105/systest/products/Accessories/pluggable_transceiver/results/SFP/WTD-RTXM191_AT-SPLX30/XEM-12S_(AT-A61i)_&amp;_AT-A61" TargetMode="External"/><Relationship Id="rId1209" Type="http://schemas.openxmlformats.org/officeDocument/2006/relationships/hyperlink" Target="http://10.32.16.105/systest/products/Accessories/pluggable_transceiver/results/SFP/AT-SPLX-40_Delta/AT-A65" TargetMode="External"/><Relationship Id="rId1416" Type="http://schemas.openxmlformats.org/officeDocument/2006/relationships/hyperlink" Target="https://intranet.atlnz.lc/systest/Jira_Reports/testExecReport/jiraExecReport.php?testPlanKey=496,497&amp;projectKey=TQUALTCM&amp;Report=Report" TargetMode="External"/><Relationship Id="rId1623" Type="http://schemas.openxmlformats.org/officeDocument/2006/relationships/hyperlink" Target="http://10.32.16.105/systest/Reports/TestLink/SuiteExecC.php?plan=120841&amp;rep=F&amp;platform=202" TargetMode="External"/><Relationship Id="rId218" Type="http://schemas.openxmlformats.org/officeDocument/2006/relationships/hyperlink" Target="https://jira.atlnz.lc/secure/Tests.jspa" TargetMode="External"/><Relationship Id="rId425" Type="http://schemas.openxmlformats.org/officeDocument/2006/relationships/hyperlink" Target="http://10.32.16.105/systest/Reports/TestLink/SuiteExecC.php?plan=309805&amp;rep=F&amp;platform=184" TargetMode="External"/><Relationship Id="rId632" Type="http://schemas.openxmlformats.org/officeDocument/2006/relationships/hyperlink" Target="http://10.32.16.105/systest/Reports/TestLink/SuiteExecC.php?plan=478729&amp;rep=F&amp;platform=1138" TargetMode="External"/><Relationship Id="rId1055" Type="http://schemas.openxmlformats.org/officeDocument/2006/relationships/hyperlink" Target="http://10.32.16.105/systest/Reports/TestLink/SuiteExecC.php?plan=479406&amp;rep=F&amp;platform=187" TargetMode="External"/><Relationship Id="rId1262" Type="http://schemas.openxmlformats.org/officeDocument/2006/relationships/hyperlink" Target="http://10.32.16.105/systest/products/Accessories/pluggable_transceiver/results_aw+/SFP/1G%20fiber%20SFP/AT-SPSX_RevC_Delta/x900-12" TargetMode="External"/><Relationship Id="rId271" Type="http://schemas.openxmlformats.org/officeDocument/2006/relationships/hyperlink" Target="http://10.32.16.105/systest/Reports/TestLink/SuiteExecC.php?plan=120841&amp;rep=F&amp;platform=127" TargetMode="External"/><Relationship Id="rId937" Type="http://schemas.openxmlformats.org/officeDocument/2006/relationships/hyperlink" Target="https://jira.atlnz.lc/secure/Tests.jspa" TargetMode="External"/><Relationship Id="rId1122" Type="http://schemas.openxmlformats.org/officeDocument/2006/relationships/hyperlink" Target="http://10.32.16.105/systest/products/Accessories/pluggable_transceiver/results/SFP/SumitomoElectric-SBP6F44-AM-BN-49_Single_Fiber_1G/XEM-12S" TargetMode="External"/><Relationship Id="rId1567" Type="http://schemas.openxmlformats.org/officeDocument/2006/relationships/hyperlink" Target="http://10.32.16.105/systest/products/Accessories/pluggable_transceiver/results/SFP/AT-SPBD10-13_Delta_RevB/x900-48FS" TargetMode="External"/><Relationship Id="rId66" Type="http://schemas.openxmlformats.org/officeDocument/2006/relationships/hyperlink" Target="http://10.32.16.105/systest/products/Accessories/pluggable_transceiver/results/SFP/AT-SPBD10-13_Delta_RevB/x600-24Ts_XP" TargetMode="External"/><Relationship Id="rId131" Type="http://schemas.openxmlformats.org/officeDocument/2006/relationships/hyperlink" Target="http://10.32.16.105/systest/Reports/TestLink/SuiteExecC.php?plan=443246&amp;rep=F&amp;platform=233" TargetMode="External"/><Relationship Id="rId369" Type="http://schemas.openxmlformats.org/officeDocument/2006/relationships/hyperlink" Target="http://10.32.16.105/systest/Reports/TestLink/SuiteExecC.php?plan=458763&amp;rep=F&amp;platform=183" TargetMode="External"/><Relationship Id="rId576" Type="http://schemas.openxmlformats.org/officeDocument/2006/relationships/hyperlink" Target="http://10.32.16.105/systest/Reports/TestLink/SuiteExecC.php?plan=95956&amp;rep=F&amp;platform=131" TargetMode="External"/><Relationship Id="rId783" Type="http://schemas.openxmlformats.org/officeDocument/2006/relationships/hyperlink" Target="http://10.32.16.105/systest/Reports/TestLink/SuiteExecC.php?plan=151508&amp;rep=F&amp;platform=172" TargetMode="External"/><Relationship Id="rId990" Type="http://schemas.openxmlformats.org/officeDocument/2006/relationships/hyperlink" Target="http://10.32.16.105/systest/Reports/TestLink/SuiteExecC.php?plan=484370&amp;rep=F&amp;platform=202" TargetMode="External"/><Relationship Id="rId1427" Type="http://schemas.openxmlformats.org/officeDocument/2006/relationships/hyperlink" Target="https://intranet.atlnz.lc/systest/Jira_Reports/testExecReport/jiraExecReport.php?testPlanKey=428&amp;projectKey=TQUALTCM&amp;Report=Report" TargetMode="External"/><Relationship Id="rId1634" Type="http://schemas.openxmlformats.org/officeDocument/2006/relationships/hyperlink" Target="https://intranet.atlnz.lc/systest/Jira_Reports/testExecReport/jiraExecReport.php?testPlanKey=603&amp;projectKey=TQUALTCM&amp;Report=Report" TargetMode="External"/><Relationship Id="rId229" Type="http://schemas.openxmlformats.org/officeDocument/2006/relationships/hyperlink" Target="http://10.32.16.105/systest/Reports/TestLink/SuiteExecC.php?plan=458763&amp;rep=F&amp;platform=203" TargetMode="External"/><Relationship Id="rId436" Type="http://schemas.openxmlformats.org/officeDocument/2006/relationships/hyperlink" Target="http://intranet.alliedtelesyn.co.nz/systest/Reports/TestLink/SuiteExecC.php?plan=92175&amp;platform=61&amp;rep=f" TargetMode="External"/><Relationship Id="rId643" Type="http://schemas.openxmlformats.org/officeDocument/2006/relationships/hyperlink" Target="https://jira.atlnz.lc/secure/Tests.jspa" TargetMode="External"/><Relationship Id="rId1066" Type="http://schemas.openxmlformats.org/officeDocument/2006/relationships/hyperlink" Target="http://10.32.16.105/systest/Reports/TestLink/SuiteExecC.php?plan=82162&amp;rep=F" TargetMode="External"/><Relationship Id="rId1273" Type="http://schemas.openxmlformats.org/officeDocument/2006/relationships/hyperlink" Target="http://10.32.16.105/systest/products/Accessories/pluggable_transceiver/results_aw+/SFP/Copper%20SFP/Agilent_QBCU5730R/Switchblade-x908_XEM-12S" TargetMode="External"/><Relationship Id="rId1480" Type="http://schemas.openxmlformats.org/officeDocument/2006/relationships/hyperlink" Target="http://10.32.16.105/systest/Reports/TestLink/SuiteExecC.php?plan=96099&amp;rep=F&amp;platform=233" TargetMode="External"/><Relationship Id="rId850" Type="http://schemas.openxmlformats.org/officeDocument/2006/relationships/hyperlink" Target="http://10.32.16.105/systest/Reports/TestLink/SuiteExecC.php?plan=144574&amp;rep=F&amp;platform=174" TargetMode="External"/><Relationship Id="rId948" Type="http://schemas.openxmlformats.org/officeDocument/2006/relationships/hyperlink" Target="https://jira.atlnz.lc/secure/Tests.jspa" TargetMode="External"/><Relationship Id="rId1133" Type="http://schemas.openxmlformats.org/officeDocument/2006/relationships/hyperlink" Target="http://10.32.16.105/systest/products/Accessories/pluggable_transceiver/results/SFP/AT-SPBD10-13_Delta/x600-24Ts_XP" TargetMode="External"/><Relationship Id="rId1578" Type="http://schemas.openxmlformats.org/officeDocument/2006/relationships/hyperlink" Target="http://10.32.16.105/systest/Reports/TestLink/SuiteExecC.php?plan=95948&amp;rep=F&amp;platform=202" TargetMode="External"/><Relationship Id="rId77" Type="http://schemas.openxmlformats.org/officeDocument/2006/relationships/hyperlink" Target="http://10.32.16.105/systest/Reports/TestLink/SuiteExecC.php?plan=443246&amp;rep=F&amp;platform=1051" TargetMode="External"/><Relationship Id="rId282" Type="http://schemas.openxmlformats.org/officeDocument/2006/relationships/hyperlink" Target="http://10.32.16.105/systest/Reports/TestLink/SuiteExecC.php?plan=309151&amp;rep=F&amp;platform=182" TargetMode="External"/><Relationship Id="rId503" Type="http://schemas.openxmlformats.org/officeDocument/2006/relationships/hyperlink" Target="https://jira.atlnz.lc/secure/Tests.jspa" TargetMode="External"/><Relationship Id="rId587" Type="http://schemas.openxmlformats.org/officeDocument/2006/relationships/hyperlink" Target="https://intranet.atlnz.lc/systest/Jira_Reports/testExecReport/jiraExecReport.php?testPlanKey=422&amp;projectKey=TQUALTCM&amp;Report=Report" TargetMode="External"/><Relationship Id="rId710" Type="http://schemas.openxmlformats.org/officeDocument/2006/relationships/hyperlink" Target="https://jira.atlnz.lc/secure/Tests.jspa" TargetMode="External"/><Relationship Id="rId808" Type="http://schemas.openxmlformats.org/officeDocument/2006/relationships/hyperlink" Target="http://intranet.atlnz.lc/systest/Reports/TestLink/SuiteExecC.php?plan=486647&amp;rep=F&amp;platform=1145" TargetMode="External"/><Relationship Id="rId1340" Type="http://schemas.openxmlformats.org/officeDocument/2006/relationships/hyperlink" Target="http://10.32.16.105/systest/products/Accessories/pluggable_transceiver/results_aw+/SFP/1G%20fiber%20SFP/AT-SPSX_RevBC/x900-12XT-S" TargetMode="External"/><Relationship Id="rId1438" Type="http://schemas.openxmlformats.org/officeDocument/2006/relationships/hyperlink" Target="https://wallace4.atlnz.lc/systest/Jira_Reports/testExecReport/jiraExecReport_wallace4.php?testPlanKey=148&amp;projectKey=TQUALTCM&amp;Report=Report" TargetMode="External"/><Relationship Id="rId8" Type="http://schemas.openxmlformats.org/officeDocument/2006/relationships/hyperlink" Target="http://www.alliedtelesis.com/media/datasheets/sb4000_family_ds.pdf" TargetMode="External"/><Relationship Id="rId142" Type="http://schemas.openxmlformats.org/officeDocument/2006/relationships/hyperlink" Target="http://10.32.16.105/systest/Reports/TestLink/SuiteExecC.php?plan=453806&amp;rep=F&amp;platform=1059" TargetMode="External"/><Relationship Id="rId447" Type="http://schemas.openxmlformats.org/officeDocument/2006/relationships/hyperlink" Target="https://jira.atlnz.lc/secure/Tests.jspa" TargetMode="External"/><Relationship Id="rId794" Type="http://schemas.openxmlformats.org/officeDocument/2006/relationships/hyperlink" Target="http://10.32.16.105/systest/Reports/TestLink/SuiteExecC.php?plan=151508&amp;rep=F&amp;platform=174" TargetMode="External"/><Relationship Id="rId1077" Type="http://schemas.openxmlformats.org/officeDocument/2006/relationships/hyperlink" Target="http://10.32.16.105/systest/products/Accessories/pluggable_transceiver/results/SFP/AT-SPBD10-13_Sumitomo_SBP6H44-AM-BN-31/x900-24XS" TargetMode="External"/><Relationship Id="rId1200" Type="http://schemas.openxmlformats.org/officeDocument/2006/relationships/hyperlink" Target="http://10.32.16.105/systest/Reports/TestLink/SuiteExecC.php?plan=75669&amp;rep=F" TargetMode="External"/><Relationship Id="rId654" Type="http://schemas.openxmlformats.org/officeDocument/2006/relationships/hyperlink" Target="http://10.32.16.105/systest/Reports/TestLink/SuiteExecC.php?plan=479407&amp;rep=F&amp;platform=180" TargetMode="External"/><Relationship Id="rId861" Type="http://schemas.openxmlformats.org/officeDocument/2006/relationships/hyperlink" Target="http://10.32.16.105/systest/products/Accessories/pluggable_transceiver/results/SFP/AT-SPBDM-A_B_APACOpto/XEM-12S_SBx908" TargetMode="External"/><Relationship Id="rId959" Type="http://schemas.openxmlformats.org/officeDocument/2006/relationships/hyperlink" Target="http://10.32.16.105/systest/Reports/TestLink/SuiteExecC.php?plan=484370&amp;rep=F&amp;platform=1192" TargetMode="External"/><Relationship Id="rId1284" Type="http://schemas.openxmlformats.org/officeDocument/2006/relationships/hyperlink" Target="http://10.32.16.105/systest/products/Accessories/pluggable_transceiver/results/SFP/AT-SPTX_Delta/Switchblade" TargetMode="External"/><Relationship Id="rId1491" Type="http://schemas.openxmlformats.org/officeDocument/2006/relationships/hyperlink" Target="http://10.32.16.105/systest/products/Accessories/pluggable_transceiver/results/SFP/AT-SPLX-40_Delta/XEM-12S" TargetMode="External"/><Relationship Id="rId1505" Type="http://schemas.openxmlformats.org/officeDocument/2006/relationships/hyperlink" Target="https://jira.atlnz.lc/secure/Tests.jspa" TargetMode="External"/><Relationship Id="rId1589" Type="http://schemas.openxmlformats.org/officeDocument/2006/relationships/hyperlink" Target="http://10.32.16.105/systest/products/Accessories/pluggable_transceiver/results/SFP/AT-SPBD10-13_Delta_RevB/AR570S" TargetMode="External"/><Relationship Id="rId293" Type="http://schemas.openxmlformats.org/officeDocument/2006/relationships/hyperlink" Target="https://intranet.atlnz.lc/systest/Jira_Reports/testExecReport/jiraExecReport.php?testPlanKey=18,140&amp;projectKey=TQUALTCM&amp;Report=Report" TargetMode="External"/><Relationship Id="rId307" Type="http://schemas.openxmlformats.org/officeDocument/2006/relationships/hyperlink" Target="http://10.32.16.105/systest/Reports/TestLink/SuiteExecC.php?plan=458763&amp;rep=F&amp;platform=182" TargetMode="External"/><Relationship Id="rId514" Type="http://schemas.openxmlformats.org/officeDocument/2006/relationships/hyperlink" Target="http://10.32.16.105/systest/Reports/TestLink/SuiteExecC.php?plan=96099&amp;rep=F&amp;platform=233" TargetMode="External"/><Relationship Id="rId721" Type="http://schemas.openxmlformats.org/officeDocument/2006/relationships/hyperlink" Target="https://jira.atlnz.lc/secure/Tests.jspa" TargetMode="External"/><Relationship Id="rId1144" Type="http://schemas.openxmlformats.org/officeDocument/2006/relationships/hyperlink" Target="http://10.32.16.105/systest/products/Accessories/pluggable_transceiver/results_aw+/SFP/100M%20fiber%20SFP/AT-SPFX_40/x900-24XS" TargetMode="External"/><Relationship Id="rId1351" Type="http://schemas.openxmlformats.org/officeDocument/2006/relationships/hyperlink" Target="https://intranet.atlnz.lc/systest/Jira_Reports/testExecReport/jiraExecReport.php?testPlanKey=36&amp;projectKey=TQUALTCM&amp;Report=Report" TargetMode="External"/><Relationship Id="rId1449" Type="http://schemas.openxmlformats.org/officeDocument/2006/relationships/hyperlink" Target="https://wallace4.atlnz.lc/systest/Jira_Reports/testExecReport/jiraExecReport_wallace4.php?testPlanKey=132&amp;projectKey=TQUALTCM&amp;Report=Report" TargetMode="External"/><Relationship Id="rId88" Type="http://schemas.openxmlformats.org/officeDocument/2006/relationships/hyperlink" Target="http://10.32.16.105/systest/Reports/TestLink/SuiteExecC.php?plan=443246&amp;rep=F&amp;platform=389" TargetMode="External"/><Relationship Id="rId153" Type="http://schemas.openxmlformats.org/officeDocument/2006/relationships/hyperlink" Target="https://jira.atlnz.lc/secure/Tests.jspa" TargetMode="External"/><Relationship Id="rId360" Type="http://schemas.openxmlformats.org/officeDocument/2006/relationships/hyperlink" Target="http://10.32.16.105/systest/Reports/TestLink/SuiteExecC.php?plan=309247&amp;rep=F&amp;platform=183" TargetMode="External"/><Relationship Id="rId598" Type="http://schemas.openxmlformats.org/officeDocument/2006/relationships/hyperlink" Target="https://intranet.atlnz.lc/systest/Jira_Reports/testExecReport/jiraExecReport.php?testPlanKey=422&amp;projectKey=TQUALTCM&amp;Report=Report" TargetMode="External"/><Relationship Id="rId819" Type="http://schemas.openxmlformats.org/officeDocument/2006/relationships/hyperlink" Target="http://10.32.16.105/systest/Reports/TestLink/SuiteExecC.php?plan=440944&amp;rep=F&amp;platform=186" TargetMode="External"/><Relationship Id="rId1004" Type="http://schemas.openxmlformats.org/officeDocument/2006/relationships/hyperlink" Target="https://jira.atlnz.lc/secure/Tests.jspa" TargetMode="External"/><Relationship Id="rId1211" Type="http://schemas.openxmlformats.org/officeDocument/2006/relationships/hyperlink" Target="http://10.32.16.105/systest/products/Accessories/pluggable_transceiver/results_aw+/SFP/1G%20fiber%20SFP/AT-SPLX40/x900-12TXs" TargetMode="External"/><Relationship Id="rId220" Type="http://schemas.openxmlformats.org/officeDocument/2006/relationships/hyperlink" Target="https://jira.atlnz.lc/secure/Tests.jspa" TargetMode="External"/><Relationship Id="rId458" Type="http://schemas.openxmlformats.org/officeDocument/2006/relationships/hyperlink" Target="https://jira.atlnz.lc/secure/Tests.jspa" TargetMode="External"/><Relationship Id="rId665" Type="http://schemas.openxmlformats.org/officeDocument/2006/relationships/hyperlink" Target="http://10.32.16.105/systest/Reports/TestLink/SuiteExecC.php?plan=82171&amp;rep=F" TargetMode="External"/><Relationship Id="rId872" Type="http://schemas.openxmlformats.org/officeDocument/2006/relationships/hyperlink" Target="http://10.32.16.105/systest/products/Accessories/pluggable_transceiver/results/SFP/FIBEREXON-FTM-9501C-SL20i/x900-24XS_XEM-12S_Mustang" TargetMode="External"/><Relationship Id="rId1088" Type="http://schemas.openxmlformats.org/officeDocument/2006/relationships/hyperlink" Target="http://10.32.16.105/systest/Reports/TestLink/SuiteExecC.php?plan=458186&amp;rep=F&amp;platform=187" TargetMode="External"/><Relationship Id="rId1295" Type="http://schemas.openxmlformats.org/officeDocument/2006/relationships/hyperlink" Target="http://10.32.16.105/systest/products/Accessories/pluggable_transceiver/results/SFP/AT-SPTX2_Delta/XEM-12S" TargetMode="External"/><Relationship Id="rId1309" Type="http://schemas.openxmlformats.org/officeDocument/2006/relationships/hyperlink" Target="http://10.32.16.105/systest/products/Accessories/pluggable_transceiver/results_aw+/SFP/100M%20fiber%20SFP/AT-SPFX_40/x900-12XT-S" TargetMode="External"/><Relationship Id="rId1516" Type="http://schemas.openxmlformats.org/officeDocument/2006/relationships/hyperlink" Target="http://10.32.16.105/systest/Reports/TestLink/SuiteExecC.php?plan=308258&amp;rep=F&amp;platform=350" TargetMode="External"/><Relationship Id="rId15" Type="http://schemas.openxmlformats.org/officeDocument/2006/relationships/hyperlink" Target="http://10.32.16.105/systest/Reports/TestLink/SuiteExecC.php?plan=440944&amp;rep=F&amp;platform=188" TargetMode="External"/><Relationship Id="rId318" Type="http://schemas.openxmlformats.org/officeDocument/2006/relationships/hyperlink" Target="http://10.32.16.105/systest/products/Accessories/pluggable_transceiver/results_aw+/SFP/1G%20fiber%20SFP/AT-SPEX_Delta/x900-24XS" TargetMode="External"/><Relationship Id="rId525" Type="http://schemas.openxmlformats.org/officeDocument/2006/relationships/hyperlink" Target="http://10.32.16.105/systest/products/Accessories/pluggable_transceiver/results/SFP/AT-SPLX-40_Delta/XEM-12S" TargetMode="External"/><Relationship Id="rId732" Type="http://schemas.openxmlformats.org/officeDocument/2006/relationships/hyperlink" Target="http://10.32.16.105/systest/Reports/TestLink/SuiteExecC.php?plan=479407&amp;rep=F&amp;platform=225" TargetMode="External"/><Relationship Id="rId1155" Type="http://schemas.openxmlformats.org/officeDocument/2006/relationships/hyperlink" Target="http://10.32.16.105/systest/products/Accessories/pluggable_transceiver/results/SFP/AT-SPBD10-14_Delta/SB4442" TargetMode="External"/><Relationship Id="rId1362" Type="http://schemas.openxmlformats.org/officeDocument/2006/relationships/hyperlink" Target="https://intranet.atlnz.lc/systest/Jira_Reports/testExecReport/jiraExecReport.php?testPlanKey=440&amp;projectKey=TQUALTCM&amp;Report=Report" TargetMode="External"/><Relationship Id="rId99" Type="http://schemas.openxmlformats.org/officeDocument/2006/relationships/hyperlink" Target="http://10.32.16.105/systest/Reports/TestLink/SuiteExecC.php?plan=443246&amp;rep=F&amp;platform=1092" TargetMode="External"/><Relationship Id="rId164" Type="http://schemas.openxmlformats.org/officeDocument/2006/relationships/hyperlink" Target="http://10.32.16.105/systest/Reports/TestLink/SuiteExecC.php?plan=453806&amp;rep=F&amp;platform=1138" TargetMode="External"/><Relationship Id="rId371" Type="http://schemas.openxmlformats.org/officeDocument/2006/relationships/hyperlink" Target="http://10.32.16.105/systest/Reports/TestLink/SuiteExecC.php?plan=95952&amp;rep=F&amp;platform=233" TargetMode="External"/><Relationship Id="rId1015" Type="http://schemas.openxmlformats.org/officeDocument/2006/relationships/hyperlink" Target="https://jira.atlnz.lc/secure/Tests.jspa" TargetMode="External"/><Relationship Id="rId1222" Type="http://schemas.openxmlformats.org/officeDocument/2006/relationships/hyperlink" Target="http://10.32.16.105/systest/Reports/TestLink/SuiteExecC.php?plan=158999&amp;rep=F&amp;platform=179" TargetMode="External"/><Relationship Id="rId469" Type="http://schemas.openxmlformats.org/officeDocument/2006/relationships/hyperlink" Target="https://jira.atlnz.lc/secure/Tests.jspa" TargetMode="External"/><Relationship Id="rId676" Type="http://schemas.openxmlformats.org/officeDocument/2006/relationships/hyperlink" Target="http://10.32.16.105/systest/products/Accessories/pluggable_transceiver/results/SFP/AT-SPSX_RevB_Delta/x900-48FE_AT-8948i" TargetMode="External"/><Relationship Id="rId883" Type="http://schemas.openxmlformats.org/officeDocument/2006/relationships/hyperlink" Target="https://intranet.atlnz.lc/systest/Jira_Reports/testExecReport/jiraExecReport.php?testPlanKey=95&amp;projectKey=TQUALTCM&amp;Report=Report" TargetMode="External"/><Relationship Id="rId1099" Type="http://schemas.openxmlformats.org/officeDocument/2006/relationships/hyperlink" Target="http://10.32.16.105/systest/Reports/TestLink/SuiteExecC.php?plan=442278&amp;rep=F&amp;platform=187" TargetMode="External"/><Relationship Id="rId1527" Type="http://schemas.openxmlformats.org/officeDocument/2006/relationships/hyperlink" Target="http://10.32.16.105/systest/Reports/TestLink/SuiteExecC.php?plan=308256&amp;rep=F&amp;platform=181" TargetMode="External"/><Relationship Id="rId26" Type="http://schemas.openxmlformats.org/officeDocument/2006/relationships/hyperlink" Target="http://10.32.16.105/systest/products/Accessories/pluggable_transceiver/results/SFP/AT-SPBD10-14_Delta_RevB/x900-12XT_S" TargetMode="External"/><Relationship Id="rId231" Type="http://schemas.openxmlformats.org/officeDocument/2006/relationships/hyperlink" Target="http://10.32.16.105/systest/Reports/TestLink/SuiteExecC.php?plan=120841&amp;rep=F&amp;platform=202" TargetMode="External"/><Relationship Id="rId329" Type="http://schemas.openxmlformats.org/officeDocument/2006/relationships/hyperlink" Target="https://jira.atlnz.lc/secure/Tests.jspa" TargetMode="External"/><Relationship Id="rId536" Type="http://schemas.openxmlformats.org/officeDocument/2006/relationships/hyperlink" Target="http://10.32.16.105/systest/Reports/TestLink/SuiteExecC.php?plan=479406&amp;rep=F&amp;platform=1196" TargetMode="External"/><Relationship Id="rId1166" Type="http://schemas.openxmlformats.org/officeDocument/2006/relationships/hyperlink" Target="http://10.32.16.105/systest/products/Accessories/pluggable_transceiver/results/SFP/AT-SPLX10_RevB/8648T_2SP" TargetMode="External"/><Relationship Id="rId1373" Type="http://schemas.openxmlformats.org/officeDocument/2006/relationships/hyperlink" Target="https://intranet.atlnz.lc/systest/Jira_Reports/testExecReport/jiraExecReport.php?testPlanKey=440&amp;projectKey=TQUALTCM&amp;Report=Report" TargetMode="External"/><Relationship Id="rId175" Type="http://schemas.openxmlformats.org/officeDocument/2006/relationships/hyperlink" Target="http://10.32.16.105/systest/Reports/TestLink/SuiteExecC.php?plan=453806&amp;rep=F&amp;platform=1059" TargetMode="External"/><Relationship Id="rId743" Type="http://schemas.openxmlformats.org/officeDocument/2006/relationships/hyperlink" Target="http://10.32.16.105/systest/products/Accessories/pluggable_transceiver/results/SFP/AT-SPTX_RevC/x900-48FS" TargetMode="External"/><Relationship Id="rId950" Type="http://schemas.openxmlformats.org/officeDocument/2006/relationships/hyperlink" Target="https://jira.atlnz.lc/secure/Tests.jspa" TargetMode="External"/><Relationship Id="rId1026" Type="http://schemas.openxmlformats.org/officeDocument/2006/relationships/hyperlink" Target="https://jira.atlnz.lc/secure/Tests.jspa" TargetMode="External"/><Relationship Id="rId1580" Type="http://schemas.openxmlformats.org/officeDocument/2006/relationships/hyperlink" Target="http://10.32.16.105/systest/Reports/TestLink/SuiteExecC.php?plan=75503&amp;rep=F" TargetMode="External"/><Relationship Id="rId382" Type="http://schemas.openxmlformats.org/officeDocument/2006/relationships/hyperlink" Target="http://10.32.16.105/systest/products/Accessories/pluggable_transceiver/results/SFP/AT-SPLX10_RevB/8648T_2SP" TargetMode="External"/><Relationship Id="rId603" Type="http://schemas.openxmlformats.org/officeDocument/2006/relationships/hyperlink" Target="https://intranet.atlnz.lc/systest/Jira_Reports/testExecReport/jiraExecReport.php?testPlanKey=422&amp;projectKey=TQUALTCM&amp;Report=Report" TargetMode="External"/><Relationship Id="rId687" Type="http://schemas.openxmlformats.org/officeDocument/2006/relationships/hyperlink" Target="http://10.32.16.105/systest/Reports/TestLink/SuiteExecC.php?plan=464959&amp;rep=F&amp;platform=390" TargetMode="External"/><Relationship Id="rId810" Type="http://schemas.openxmlformats.org/officeDocument/2006/relationships/hyperlink" Target="https://jira.atlnz.lc/secure/Tests.jspa" TargetMode="External"/><Relationship Id="rId908" Type="http://schemas.openxmlformats.org/officeDocument/2006/relationships/hyperlink" Target="https://jira.atlnz.lc/secure/Tests.jspa" TargetMode="External"/><Relationship Id="rId1233" Type="http://schemas.openxmlformats.org/officeDocument/2006/relationships/hyperlink" Target="http://10.32.16.105/systest/Reports/TestLink/SuiteExecC.php?plan=309805&amp;rep=F&amp;platform=179" TargetMode="External"/><Relationship Id="rId1440" Type="http://schemas.openxmlformats.org/officeDocument/2006/relationships/hyperlink" Target="https://wallace4.atlnz.lc/systest/Jira_Reports/testExecReport/jiraExecReport_wallace4.php?testPlanKey=125&amp;projectKey=TQUALTCM&amp;Report=Report" TargetMode="External"/><Relationship Id="rId1538" Type="http://schemas.openxmlformats.org/officeDocument/2006/relationships/hyperlink" Target="http://10.32.16.105/systest/Reports/TestLink/SuiteExecC.php?plan=308258&amp;rep=F&amp;platform=188" TargetMode="External"/><Relationship Id="rId242" Type="http://schemas.openxmlformats.org/officeDocument/2006/relationships/hyperlink" Target="http://10.32.16.105/systest/Reports/TestLink/SuiteExecC.php?plan=190066&amp;rep=F&amp;platform=203" TargetMode="External"/><Relationship Id="rId894" Type="http://schemas.openxmlformats.org/officeDocument/2006/relationships/hyperlink" Target="https://intranet.atlnz.lc/systest/Jira_Reports/testExecReport/jiraExecReport.php?testPlanKey=370,371&amp;projectKey=TQUALTCM&amp;Report=Report" TargetMode="External"/><Relationship Id="rId1177" Type="http://schemas.openxmlformats.org/officeDocument/2006/relationships/hyperlink" Target="http://10.32.16.105/systest/products/Accessories/pluggable_transceiver/results_aw+/SFP/1G%20fiber%20SFP/AT-SPLX10_Delta/Switchblade-x908_XEM-12S" TargetMode="External"/><Relationship Id="rId1300" Type="http://schemas.openxmlformats.org/officeDocument/2006/relationships/hyperlink" Target="http://10.32.16.105/systest/products/Accessories/pluggable_transceiver/results/SFP/AT-SPTX2_Delta/x900-48FE" TargetMode="External"/><Relationship Id="rId37" Type="http://schemas.openxmlformats.org/officeDocument/2006/relationships/hyperlink" Target="http://10.32.16.105/systest/Reports/TestLink/SuiteExecC.php?plan=478894&amp;rep=F&amp;platform=188" TargetMode="External"/><Relationship Id="rId102" Type="http://schemas.openxmlformats.org/officeDocument/2006/relationships/hyperlink" Target="http://10.32.16.105/systest/Reports/TestLink/SuiteExecC.php?plan=443246&amp;rep=F&amp;platform=1093" TargetMode="External"/><Relationship Id="rId547" Type="http://schemas.openxmlformats.org/officeDocument/2006/relationships/hyperlink" Target="http://10.32.16.105/systest/Reports/TestLink/SuiteExecC.php?plan=153890&amp;rep=F&amp;platform=181" TargetMode="External"/><Relationship Id="rId754" Type="http://schemas.openxmlformats.org/officeDocument/2006/relationships/hyperlink" Target="https://jira.atlnz.lc/secure/Tests.jspa" TargetMode="External"/><Relationship Id="rId961" Type="http://schemas.openxmlformats.org/officeDocument/2006/relationships/hyperlink" Target="http://10.32.16.105/systest/Reports/TestLink/SuiteExecC.php?plan=484370&amp;rep=F&amp;platform=386" TargetMode="External"/><Relationship Id="rId1384" Type="http://schemas.openxmlformats.org/officeDocument/2006/relationships/hyperlink" Target="https://jira.atlnz.lc/secure/Tests.jspa" TargetMode="External"/><Relationship Id="rId1591" Type="http://schemas.openxmlformats.org/officeDocument/2006/relationships/hyperlink" Target="http://10.32.16.105/systest/products/Accessories/pluggable_transceiver/results/SFP/AT-SPBD10-13_Delta_RevB/x900-48FS" TargetMode="External"/><Relationship Id="rId1605" Type="http://schemas.openxmlformats.org/officeDocument/2006/relationships/hyperlink" Target="http://10.32.16.105/systest/Reports/TestLink/SuiteExecC.php?plan=120841&amp;rep=F&amp;platform=233" TargetMode="External"/><Relationship Id="rId90" Type="http://schemas.openxmlformats.org/officeDocument/2006/relationships/hyperlink" Target="https://jira.atlnz.lc/secure/Tests.jspa" TargetMode="External"/><Relationship Id="rId186" Type="http://schemas.openxmlformats.org/officeDocument/2006/relationships/hyperlink" Target="https://jira.atlnz.lc/secure/Tests.jspa" TargetMode="External"/><Relationship Id="rId393" Type="http://schemas.openxmlformats.org/officeDocument/2006/relationships/hyperlink" Target="https://jira.atlnz.lc/secure/Tests.jspa" TargetMode="External"/><Relationship Id="rId407" Type="http://schemas.openxmlformats.org/officeDocument/2006/relationships/hyperlink" Target="http://10.32.16.105/systest/Reports/TestLink/SuiteExecC.php?plan=478894&amp;rep=F&amp;platform=184" TargetMode="External"/><Relationship Id="rId614" Type="http://schemas.openxmlformats.org/officeDocument/2006/relationships/hyperlink" Target="https://intranet.atlnz.lc/systest/Jira_Reports/testExecReport/jiraExecReport.php?testPlanKey=422&amp;projectKey=TQUALTCM&amp;Report=Report" TargetMode="External"/><Relationship Id="rId821" Type="http://schemas.openxmlformats.org/officeDocument/2006/relationships/hyperlink" Target="https://intranet.atlnz.lc/systest/Jira_Reports/testExecReport/jiraExecReport.php?testPlanKey=370,371&amp;projectKey=TQUALTCM&amp;Report=Report" TargetMode="External"/><Relationship Id="rId1037" Type="http://schemas.openxmlformats.org/officeDocument/2006/relationships/hyperlink" Target="https://jira.atlnz.lc/secure/Tests.jspa" TargetMode="External"/><Relationship Id="rId1244" Type="http://schemas.openxmlformats.org/officeDocument/2006/relationships/hyperlink" Target="http://10.32.16.105/systest/Reports/TestLink/SuiteExecC.php?plan=95955&amp;rep=F&amp;platform=98" TargetMode="External"/><Relationship Id="rId1451" Type="http://schemas.openxmlformats.org/officeDocument/2006/relationships/hyperlink" Target="https://wallace4.atlnz.lc/systest/Jira_Reports/testExecReport/jiraExecReport_wallace4.php?testPlanKey=133&amp;projectKey=TQUALTCM&amp;Report=Report" TargetMode="External"/><Relationship Id="rId253" Type="http://schemas.openxmlformats.org/officeDocument/2006/relationships/hyperlink" Target="https://jira.atlnz.lc/secure/Tests.jspa" TargetMode="External"/><Relationship Id="rId460" Type="http://schemas.openxmlformats.org/officeDocument/2006/relationships/hyperlink" Target="https://jira.atlnz.lc/secure/Tests.jspa" TargetMode="External"/><Relationship Id="rId698" Type="http://schemas.openxmlformats.org/officeDocument/2006/relationships/hyperlink" Target="http://10.32.16.105/systest/Reports/TestLink/SuiteExecC.php?plan=464959&amp;rep=F&amp;platform=171" TargetMode="External"/><Relationship Id="rId919" Type="http://schemas.openxmlformats.org/officeDocument/2006/relationships/hyperlink" Target="https://jira.atlnz.lc/secure/Tests.jspa" TargetMode="External"/><Relationship Id="rId1090" Type="http://schemas.openxmlformats.org/officeDocument/2006/relationships/hyperlink" Target="http://10.32.16.105/systest/Reports/TestLink/SuiteExecC.php?plan=458186&amp;rep=F&amp;platform=187" TargetMode="External"/><Relationship Id="rId1104" Type="http://schemas.openxmlformats.org/officeDocument/2006/relationships/hyperlink" Target="http://10.32.16.105/systest/Reports/TestLink/SuiteExecC.php?plan=130431&amp;rep=F&amp;platform=98" TargetMode="External"/><Relationship Id="rId1311" Type="http://schemas.openxmlformats.org/officeDocument/2006/relationships/hyperlink" Target="http://10.32.16.105/systest/products/Accessories/pluggable_transceiver/results/SFP/AT-SPFX_40/Mustang%20SFP" TargetMode="External"/><Relationship Id="rId1549" Type="http://schemas.openxmlformats.org/officeDocument/2006/relationships/hyperlink" Target="https://wallace4.atlnz.lc/systest/Jira_Reports/testExecReport/jiraExecReport_wallace4.php?testPlanKey=553&amp;projectKey=TQUALTCM&amp;Report=Report" TargetMode="External"/><Relationship Id="rId48" Type="http://schemas.openxmlformats.org/officeDocument/2006/relationships/hyperlink" Target="https://jira.atlnz.lc/secure/Tests.jspa" TargetMode="External"/><Relationship Id="rId113" Type="http://schemas.openxmlformats.org/officeDocument/2006/relationships/hyperlink" Target="http://10.32.16.105/systest/Reports/TestLink/SuiteExecC.php?plan=443246&amp;rep=F&amp;platform=386" TargetMode="External"/><Relationship Id="rId320" Type="http://schemas.openxmlformats.org/officeDocument/2006/relationships/hyperlink" Target="http://10.32.16.105/systest/products/Accessories/pluggable_transceiver/results/SFP/AT-SPEX/Mustang" TargetMode="External"/><Relationship Id="rId558" Type="http://schemas.openxmlformats.org/officeDocument/2006/relationships/hyperlink" Target="https://jira.atlnz.lc/secure/Tests.jspa" TargetMode="External"/><Relationship Id="rId765" Type="http://schemas.openxmlformats.org/officeDocument/2006/relationships/hyperlink" Target="http://10.32.16.105/systest/Reports/TestLink/SuiteExecC.php?plan=153890&amp;rep=F&amp;platform=350" TargetMode="External"/><Relationship Id="rId972" Type="http://schemas.openxmlformats.org/officeDocument/2006/relationships/hyperlink" Target="https://jira.atlnz.lc/secure/Tests.jspa" TargetMode="External"/><Relationship Id="rId1188" Type="http://schemas.openxmlformats.org/officeDocument/2006/relationships/hyperlink" Target="http://10.32.16.105/systest/products/Accessories/pluggable_transceiver/results/SFP/AT-SPLX20_Delta/x900-48" TargetMode="External"/><Relationship Id="rId1395" Type="http://schemas.openxmlformats.org/officeDocument/2006/relationships/hyperlink" Target="http://10.32.16.105/systest/Reports/TestLink/SuiteExecC.php?plan=309247&amp;rep=F&amp;platform=188" TargetMode="External"/><Relationship Id="rId1409" Type="http://schemas.openxmlformats.org/officeDocument/2006/relationships/hyperlink" Target="https://intranet.atlnz.lc/systest/Jira_Reports/testExecReport/jiraExecReport.php?testPlanKey=504&amp;projectKey=TQUALTCM&amp;Report=Report" TargetMode="External"/><Relationship Id="rId1616" Type="http://schemas.openxmlformats.org/officeDocument/2006/relationships/hyperlink" Target="http://10.32.16.105/systest/Reports/TestLink/SuiteExecC.php?plan=309247&amp;rep=F&amp;platform=203" TargetMode="External"/><Relationship Id="rId197" Type="http://schemas.openxmlformats.org/officeDocument/2006/relationships/hyperlink" Target="http://10.32.16.105/systest/Reports/TestLink/SuiteExecC.php?plan=453806&amp;rep=F&amp;platform=1138" TargetMode="External"/><Relationship Id="rId418" Type="http://schemas.openxmlformats.org/officeDocument/2006/relationships/hyperlink" Target="https://jira.atlnz.lc/secure/Tests.jspa" TargetMode="External"/><Relationship Id="rId625" Type="http://schemas.openxmlformats.org/officeDocument/2006/relationships/hyperlink" Target="https://jira.atlnz.lc/secure/Tests.jspa" TargetMode="External"/><Relationship Id="rId832" Type="http://schemas.openxmlformats.org/officeDocument/2006/relationships/hyperlink" Target="http://10.32.16.105/systest/Reports/TestLink/SuiteExecC.php?plan=479406&amp;rep=F&amp;platform=186" TargetMode="External"/><Relationship Id="rId1048" Type="http://schemas.openxmlformats.org/officeDocument/2006/relationships/hyperlink" Target="http://10.32.16.105/systest/Reports/TestLink/SuiteExecC.php?plan=182009&amp;rep=F&amp;platform=187" TargetMode="External"/><Relationship Id="rId1255" Type="http://schemas.openxmlformats.org/officeDocument/2006/relationships/hyperlink" Target="http://10.32.16.105/systest/products/Accessories/pluggable_transceiver/results/SFP/AT-SPSX_Avago/8948i" TargetMode="External"/><Relationship Id="rId1462" Type="http://schemas.openxmlformats.org/officeDocument/2006/relationships/hyperlink" Target="https://wallace4.atlnz.lc/systest/Jira_Reports/testExecReport/jiraExecReport_wallace4.php?testPlanKey=146&amp;projectKey=TQUALTCM&amp;Report=Report" TargetMode="External"/><Relationship Id="rId264" Type="http://schemas.openxmlformats.org/officeDocument/2006/relationships/hyperlink" Target="http://10.32.16.105/systest/Reports/TestLink/SuiteExecC.php?plan=191480&amp;rep=F&amp;platform=203" TargetMode="External"/><Relationship Id="rId471" Type="http://schemas.openxmlformats.org/officeDocument/2006/relationships/hyperlink" Target="https://jira.atlnz.lc/secure/Tests.jspa" TargetMode="External"/><Relationship Id="rId1115" Type="http://schemas.openxmlformats.org/officeDocument/2006/relationships/hyperlink" Target="http://10.32.16.105/systest/products/Accessories/pluggable_transceiver/results/SFP/AT-SPBD10-14_Sumitomo_SBP6H44-AM-BN-49/x900-48FE_8948i" TargetMode="External"/><Relationship Id="rId1322" Type="http://schemas.openxmlformats.org/officeDocument/2006/relationships/hyperlink" Target="http://10.32.16.105/systest/Reports/TestLink/SuiteExecC.php?plan=82172&amp;rep=F" TargetMode="External"/><Relationship Id="rId59" Type="http://schemas.openxmlformats.org/officeDocument/2006/relationships/hyperlink" Target="http://10.32.16.105/systest/Reports/TestLink/SuiteExecC.php?plan=458763&amp;rep=F&amp;platform=188" TargetMode="External"/><Relationship Id="rId124" Type="http://schemas.openxmlformats.org/officeDocument/2006/relationships/hyperlink" Target="http://10.32.16.105/systest/Reports/TestLink/SuiteExecC.php?plan=443246&amp;rep=F&amp;platform=1052" TargetMode="External"/><Relationship Id="rId569" Type="http://schemas.openxmlformats.org/officeDocument/2006/relationships/hyperlink" Target="http://10.32.16.105/systest/Reports/TestLink/SuiteExecC.php?plan=442278&amp;rep=F&amp;platform=181" TargetMode="External"/><Relationship Id="rId776" Type="http://schemas.openxmlformats.org/officeDocument/2006/relationships/hyperlink" Target="https://jira.atlnz.lc/secure/Tests.jspa" TargetMode="External"/><Relationship Id="rId983" Type="http://schemas.openxmlformats.org/officeDocument/2006/relationships/hyperlink" Target="http://10.32.16.105/systest/Reports/TestLink/SuiteExecC.php?plan=484370&amp;rep=F&amp;platform=407" TargetMode="External"/><Relationship Id="rId1199" Type="http://schemas.openxmlformats.org/officeDocument/2006/relationships/hyperlink" Target="http://10.32.16.105/systest/Reports/TestLink/SuiteExecC.php?plan=50634&amp;rep=F" TargetMode="External"/><Relationship Id="rId1627" Type="http://schemas.openxmlformats.org/officeDocument/2006/relationships/hyperlink" Target="http://10.32.16.105/systest/Reports/TestLink/SuiteExecC.php?plan=120841&amp;rep=F&amp;platform=127" TargetMode="External"/><Relationship Id="rId331" Type="http://schemas.openxmlformats.org/officeDocument/2006/relationships/hyperlink" Target="https://jira.atlnz.lc/secure/Tests.jspa" TargetMode="External"/><Relationship Id="rId429" Type="http://schemas.openxmlformats.org/officeDocument/2006/relationships/hyperlink" Target="http://10.32.16.105/systest/Reports/TestLink/SuiteExecC.php?plan=442278&amp;rep=F&amp;platform=184" TargetMode="External"/><Relationship Id="rId636" Type="http://schemas.openxmlformats.org/officeDocument/2006/relationships/hyperlink" Target="http://10.32.16.105/systest/Reports/TestLink/SuiteExecC.php?plan=190067&amp;rep=F&amp;platform=180" TargetMode="External"/><Relationship Id="rId1059" Type="http://schemas.openxmlformats.org/officeDocument/2006/relationships/hyperlink" Target="http://10.32.16.105/systest/Reports/TestLink/SuiteExecC.php?plan=123414&amp;rep=F&amp;platform=187" TargetMode="External"/><Relationship Id="rId1266" Type="http://schemas.openxmlformats.org/officeDocument/2006/relationships/hyperlink" Target="http://10.32.16.105/systest/products/Accessories/pluggable_transceiver/results_aw+/SFP/1G%20fiber%20SFP/AT-SPSX_Delta/Switchblade-x908_XEM-12S" TargetMode="External"/><Relationship Id="rId1473" Type="http://schemas.openxmlformats.org/officeDocument/2006/relationships/hyperlink" Target="http://10.32.16.105/systest/Reports/TestLink/SuiteExecC.php?plan=309805&amp;rep=F&amp;platform=185" TargetMode="External"/><Relationship Id="rId843" Type="http://schemas.openxmlformats.org/officeDocument/2006/relationships/hyperlink" Target="http://10.32.16.105/systest/Reports/TestLink/SuiteExecC.php?plan=144574&amp;rep=F&amp;platform=99" TargetMode="External"/><Relationship Id="rId1126" Type="http://schemas.openxmlformats.org/officeDocument/2006/relationships/hyperlink" Target="http://www.alliedtelesis.com/media/datasheets/x900-12x_24x_ds.pdf" TargetMode="External"/><Relationship Id="rId275" Type="http://schemas.openxmlformats.org/officeDocument/2006/relationships/hyperlink" Target="http://10.32.16.105/systest/Reports/TestLink/SuiteExecC.php?plan=120841&amp;rep=F" TargetMode="External"/><Relationship Id="rId482" Type="http://schemas.openxmlformats.org/officeDocument/2006/relationships/hyperlink" Target="https://jira.atlnz.lc/secure/Tests.jspa" TargetMode="External"/><Relationship Id="rId703" Type="http://schemas.openxmlformats.org/officeDocument/2006/relationships/hyperlink" Target="http://10.32.16.105/systest/Reports/TestLink/SuiteExecC.php?plan=464959&amp;rep=F&amp;platform=1144" TargetMode="External"/><Relationship Id="rId910" Type="http://schemas.openxmlformats.org/officeDocument/2006/relationships/hyperlink" Target="https://jira.atlnz.lc/secure/Tests.jspa" TargetMode="External"/><Relationship Id="rId1333" Type="http://schemas.openxmlformats.org/officeDocument/2006/relationships/hyperlink" Target="http://10.32.16.105/systest/products/Accessories/pluggable_transceiver/results/SFP/AT-SPZX80_Delta/XEM-12S" TargetMode="External"/><Relationship Id="rId1540" Type="http://schemas.openxmlformats.org/officeDocument/2006/relationships/hyperlink" Target="https://jira.atlnz.lc/secure/Tests.jspa" TargetMode="External"/><Relationship Id="rId135" Type="http://schemas.openxmlformats.org/officeDocument/2006/relationships/hyperlink" Target="http://10.32.16.105/systest/Reports/TestLink/SuiteExecC.php?plan=443246&amp;rep=F&amp;platform=131" TargetMode="External"/><Relationship Id="rId342" Type="http://schemas.openxmlformats.org/officeDocument/2006/relationships/hyperlink" Target="http://10.32.16.105/systest/Reports/TestLink/SuiteExecC.php?plan=309151&amp;rep=F&amp;platform=183" TargetMode="External"/><Relationship Id="rId787" Type="http://schemas.openxmlformats.org/officeDocument/2006/relationships/hyperlink" Target="http://10.32.16.105/systest/Reports/TestLink/SuiteExecC.php?plan=458763&amp;rep=F&amp;platform=350" TargetMode="External"/><Relationship Id="rId994" Type="http://schemas.openxmlformats.org/officeDocument/2006/relationships/hyperlink" Target="http://10.32.16.105/systest/Reports/TestLink/SuiteExecC.php?plan=484370&amp;rep=F&amp;platform=131" TargetMode="External"/><Relationship Id="rId1400" Type="http://schemas.openxmlformats.org/officeDocument/2006/relationships/hyperlink" Target="http://10.32.16.105/systest/Reports/TestLink/SuiteExecC.php?plan=123414&amp;rep=F&amp;platform=188" TargetMode="External"/><Relationship Id="rId202" Type="http://schemas.openxmlformats.org/officeDocument/2006/relationships/hyperlink" Target="http://10.32.16.105/systest/Reports/TestLink/SuiteExecC.php?plan=453806&amp;rep=F&amp;platform=98" TargetMode="External"/><Relationship Id="rId647" Type="http://schemas.openxmlformats.org/officeDocument/2006/relationships/hyperlink" Target="http://10.32.16.105/systest/Reports/TestLink/SuiteExecC.php?plan=458186&amp;rep=F&amp;platform=180" TargetMode="External"/><Relationship Id="rId854" Type="http://schemas.openxmlformats.org/officeDocument/2006/relationships/hyperlink" Target="http://10.32.16.105/systest/Reports/TestLink/SuiteExecC.php?plan=82155&amp;rep=F" TargetMode="External"/><Relationship Id="rId1277" Type="http://schemas.openxmlformats.org/officeDocument/2006/relationships/hyperlink" Target="http://10.32.16.105/systest/products/Accessories/pluggable_transceiver/results/SFP/Avago%20Cu" TargetMode="External"/><Relationship Id="rId1484" Type="http://schemas.openxmlformats.org/officeDocument/2006/relationships/hyperlink" Target="http://10.32.16.105/systest/Reports/TestLink/SuiteExecC.php?plan=96099&amp;rep=F&amp;platform=131" TargetMode="External"/><Relationship Id="rId286" Type="http://schemas.openxmlformats.org/officeDocument/2006/relationships/hyperlink" Target="http://10.32.16.105/systest/Reports/TestLink/SuiteExecC.php?plan=440944&amp;rep=F&amp;platform=182" TargetMode="External"/><Relationship Id="rId493" Type="http://schemas.openxmlformats.org/officeDocument/2006/relationships/hyperlink" Target="https://intranet.atlnz.lc/systest/Jira_Reports/testExecReport/jiraExecReport.php?testPlanKey=370,371&amp;projectKey=TQUALTCM&amp;Report=Report" TargetMode="External"/><Relationship Id="rId507" Type="http://schemas.openxmlformats.org/officeDocument/2006/relationships/hyperlink" Target="http://10.32.16.105/systest/Reports/TestLink/SuiteExecC.php?plan=309805&amp;rep=F&amp;platform=185" TargetMode="External"/><Relationship Id="rId714" Type="http://schemas.openxmlformats.org/officeDocument/2006/relationships/hyperlink" Target="https://intranet.atlnz.lc/systest/Jira_Reports/testExecReport/jiraExecReport.php?testPlanKey=94&amp;projectKey=TQUALTCM&amp;Report=Report" TargetMode="External"/><Relationship Id="rId921" Type="http://schemas.openxmlformats.org/officeDocument/2006/relationships/hyperlink" Target="https://jira.atlnz.lc/secure/Tests.jspa" TargetMode="External"/><Relationship Id="rId1137" Type="http://schemas.openxmlformats.org/officeDocument/2006/relationships/hyperlink" Target="http://10.32.16.105/systest/products/Accessories/pluggable_transceiver/results/SFP/AT-SPBD10-13_Delta/x900-48FE_8948i" TargetMode="External"/><Relationship Id="rId1344" Type="http://schemas.openxmlformats.org/officeDocument/2006/relationships/hyperlink" Target="http://10.32.16.105/systest/products/Accessories/pluggable_transceiver/results/SFP/AT-SPSX_RevBC/AT-A65" TargetMode="External"/><Relationship Id="rId1551" Type="http://schemas.openxmlformats.org/officeDocument/2006/relationships/hyperlink" Target="http://10.32.16.105/systest/Reports/TestLink/SuiteExecC.php?plan=442278&amp;rep=F&amp;platform=188" TargetMode="External"/><Relationship Id="rId50" Type="http://schemas.openxmlformats.org/officeDocument/2006/relationships/hyperlink" Target="https://jira.atlnz.lc/secure/Tests.jspa" TargetMode="External"/><Relationship Id="rId146" Type="http://schemas.openxmlformats.org/officeDocument/2006/relationships/hyperlink" Target="https://jira.atlnz.lc/secure/Tests.jspa" TargetMode="External"/><Relationship Id="rId353" Type="http://schemas.openxmlformats.org/officeDocument/2006/relationships/hyperlink" Target="http://10.32.16.105/systest/Reports/TestLink/SuiteExecC.php?plan=182009&amp;rep=F&amp;platform=183" TargetMode="External"/><Relationship Id="rId560" Type="http://schemas.openxmlformats.org/officeDocument/2006/relationships/hyperlink" Target="http://10.32.16.105/systest/Reports/TestLink/SuiteExecC.php?plan=95956&amp;rep=F&amp;platform=201" TargetMode="External"/><Relationship Id="rId798" Type="http://schemas.openxmlformats.org/officeDocument/2006/relationships/hyperlink" Target="https://intranet.atlnz.lc/systest/Jira_Reports/testExecReport/jiraExecReport.php?testPlanKey=428&amp;projectKey=TQUALTCM&amp;Report=Report" TargetMode="External"/><Relationship Id="rId1190" Type="http://schemas.openxmlformats.org/officeDocument/2006/relationships/hyperlink" Target="http://10.32.16.105/systest/products/Accessories/pluggable_transceiver/results/SFP/WTD-RTXM191_AT-SPLX30/AT-86482SP_&amp;_x900-48FE-N_(AT-8948i-N)" TargetMode="External"/><Relationship Id="rId1204" Type="http://schemas.openxmlformats.org/officeDocument/2006/relationships/hyperlink" Target="http://10.32.16.105/systest/products/Accessories/pluggable_transceiver/results/SFP/AT-SPLX-40_Delta/x600-48Ts" TargetMode="External"/><Relationship Id="rId1411" Type="http://schemas.openxmlformats.org/officeDocument/2006/relationships/hyperlink" Target="https://intranet.atlnz.lc/systest/Jira_Reports/testExecReport/jiraExecReport.php?testPlanKey=428&amp;projectKey=TQUALTCM&amp;Report=Report" TargetMode="External"/><Relationship Id="rId213" Type="http://schemas.openxmlformats.org/officeDocument/2006/relationships/hyperlink" Target="https://jira.atlnz.lc/secure/Tests.jspa" TargetMode="External"/><Relationship Id="rId420" Type="http://schemas.openxmlformats.org/officeDocument/2006/relationships/hyperlink" Target="https://jira.atlnz.lc/secure/Tests.jspa" TargetMode="External"/><Relationship Id="rId658" Type="http://schemas.openxmlformats.org/officeDocument/2006/relationships/hyperlink" Target="http://10.32.16.105/systest/Reports/TestLink/SuiteExecC.php?plan=442278&amp;rep=F&amp;platform=180" TargetMode="External"/><Relationship Id="rId865" Type="http://schemas.openxmlformats.org/officeDocument/2006/relationships/hyperlink" Target="http://10.32.16.105/systest/products/Accessories/pluggable_transceiver/results/SFP/AT-SPBDM-A_B_APACOpto/8948XL" TargetMode="External"/><Relationship Id="rId1050" Type="http://schemas.openxmlformats.org/officeDocument/2006/relationships/hyperlink" Target="http://10.32.16.105/systest/Reports/TestLink/SuiteExecC.php?plan=458186&amp;rep=F&amp;platform=187" TargetMode="External"/><Relationship Id="rId1288" Type="http://schemas.openxmlformats.org/officeDocument/2006/relationships/hyperlink" Target="http://10.32.16.105/systest/products/Accessories/pluggable_transceiver/results_aw+/SFP/Copper%20SFP/AT-SPTX2_Delta/x900-12XT-S" TargetMode="External"/><Relationship Id="rId1495" Type="http://schemas.openxmlformats.org/officeDocument/2006/relationships/hyperlink" Target="https://wallace4.atlnz.lc/systest/Jira_Reports/testExecReport/jiraExecReport_wallace4.php?testPlanKey=143&amp;projectKey=TQUALTCM&amp;Report=Report" TargetMode="External"/><Relationship Id="rId1509" Type="http://schemas.openxmlformats.org/officeDocument/2006/relationships/hyperlink" Target="https://jira.atlnz.lc/secure/Tests.jspa" TargetMode="External"/><Relationship Id="rId297" Type="http://schemas.openxmlformats.org/officeDocument/2006/relationships/hyperlink" Target="https://intranet.atlnz.lc/systest/Jira_Reports/testExecReport/jiraExecReport.php?testPlanKey=18,146&amp;projectKey=TQUALTCM&amp;Report=Report" TargetMode="External"/><Relationship Id="rId518" Type="http://schemas.openxmlformats.org/officeDocument/2006/relationships/hyperlink" Target="http://10.32.16.105/systest/Reports/TestLink/SuiteExecC.php?plan=96099&amp;rep=F&amp;platform=131" TargetMode="External"/><Relationship Id="rId725" Type="http://schemas.openxmlformats.org/officeDocument/2006/relationships/hyperlink" Target="https://jira.atlnz.lc/secure/Tests.jspa" TargetMode="External"/><Relationship Id="rId932" Type="http://schemas.openxmlformats.org/officeDocument/2006/relationships/hyperlink" Target="https://jira.atlnz.lc/secure/Tests.jspa" TargetMode="External"/><Relationship Id="rId1148" Type="http://schemas.openxmlformats.org/officeDocument/2006/relationships/hyperlink" Target="http://10.32.16.105/systest/products/Accessories/pluggable_transceiver/results/SFP/AT-SPBD10-13_Delta/x900-48FS/" TargetMode="External"/><Relationship Id="rId1355" Type="http://schemas.openxmlformats.org/officeDocument/2006/relationships/hyperlink" Target="https://intranet.atlnz.lc/systest/Jira_Reports/testExecReport/jiraExecReport.php?testPlanKey=440&amp;projectKey=TQUALTCM&amp;Report=Report" TargetMode="External"/><Relationship Id="rId1562" Type="http://schemas.openxmlformats.org/officeDocument/2006/relationships/hyperlink" Target="http://10.32.16.105/systest/products/Accessories/pluggable_transceiver/results/SFP/AT-SPBD10-13_Delta_RevB/x900-48FS" TargetMode="External"/><Relationship Id="rId157" Type="http://schemas.openxmlformats.org/officeDocument/2006/relationships/hyperlink" Target="http://10.32.16.105/systest/Reports/TestLink/SuiteExecC.php?plan=453806&amp;rep=F&amp;platform=1191" TargetMode="External"/><Relationship Id="rId364" Type="http://schemas.openxmlformats.org/officeDocument/2006/relationships/hyperlink" Target="http://10.32.16.105/systest/Reports/TestLink/SuiteExecC.php?plan=95952&amp;rep=F" TargetMode="External"/><Relationship Id="rId1008" Type="http://schemas.openxmlformats.org/officeDocument/2006/relationships/hyperlink" Target="https://jira.atlnz.lc/secure/Tests.jspa" TargetMode="External"/><Relationship Id="rId1215" Type="http://schemas.openxmlformats.org/officeDocument/2006/relationships/hyperlink" Target="http://10.32.16.105/systest/Reports/TestLink/SuiteExecC.php?plan=309151&amp;rep=F&amp;platform=179" TargetMode="External"/><Relationship Id="rId1422" Type="http://schemas.openxmlformats.org/officeDocument/2006/relationships/hyperlink" Target="https://intranet.atlnz.lc/systest/Jira_Reports/testExecReport/jiraExecReport.php?testPlanKey=496,497&amp;projectKey=TQUALTCM&amp;Report=Report" TargetMode="External"/><Relationship Id="rId61" Type="http://schemas.openxmlformats.org/officeDocument/2006/relationships/hyperlink" Target="http://10.32.16.105/systest/Reports/TestLink/SuiteExecC.php?plan=95948&amp;rep=F&amp;platform=202" TargetMode="External"/><Relationship Id="rId571" Type="http://schemas.openxmlformats.org/officeDocument/2006/relationships/hyperlink" Target="http://10.32.16.105/systest/Reports/TestLink/SuiteExecC.php?plan=459219&amp;rep=F&amp;platform=181" TargetMode="External"/><Relationship Id="rId669" Type="http://schemas.openxmlformats.org/officeDocument/2006/relationships/hyperlink" Target="http://10.32.16.105/systest/products/Accessories/pluggable_transceiver/results_aw+/SFP/1G%20fiber%20SFP/AT-SPSX_RevB_Delta/x900-12" TargetMode="External"/><Relationship Id="rId876" Type="http://schemas.openxmlformats.org/officeDocument/2006/relationships/hyperlink" Target="http://10.32.16.105/systest/products/Accessories/pluggable_transceiver/results/SFP/FIBEREXON-FTM-9301S-S20i/x900-24XS_XEM-12S_Mustang" TargetMode="External"/><Relationship Id="rId1299" Type="http://schemas.openxmlformats.org/officeDocument/2006/relationships/hyperlink" Target="http://10.32.16.105/systest/products/Accessories/pluggable_transceiver/results_aw+/SFP/Copper%20SFP/AT-SPTX2_Delta/x900-12XT-S" TargetMode="External"/><Relationship Id="rId19" Type="http://schemas.openxmlformats.org/officeDocument/2006/relationships/hyperlink" Target="http://10.32.16.105/systest/Reports/TestLink/SuiteExecC.php?plan=95948&amp;rep=F&amp;platform=202" TargetMode="External"/><Relationship Id="rId224" Type="http://schemas.openxmlformats.org/officeDocument/2006/relationships/hyperlink" Target="http://10.32.16.105/systest/Reports/TestLink/SuiteExecC.php?plan=309805&amp;rep=F&amp;platform=203" TargetMode="External"/><Relationship Id="rId431" Type="http://schemas.openxmlformats.org/officeDocument/2006/relationships/hyperlink" Target="http://10.32.16.105/systest/Reports/TestLink/SuiteExecC.php?plan=95953&amp;rep=F&amp;platform=233" TargetMode="External"/><Relationship Id="rId529" Type="http://schemas.openxmlformats.org/officeDocument/2006/relationships/hyperlink" Target="https://intranet.atlnz.lc/systest/Jira_Reports/testExecReport/jiraExecReport.php?testPlanKey=370,371&amp;projectKey=TQUALTCM&amp;Report=Report" TargetMode="External"/><Relationship Id="rId736" Type="http://schemas.openxmlformats.org/officeDocument/2006/relationships/hyperlink" Target="http://10.32.16.105/systest/Reports/TestLink/SuiteExecC.php?plan=95942&amp;rep=F&amp;platform=233" TargetMode="External"/><Relationship Id="rId1061" Type="http://schemas.openxmlformats.org/officeDocument/2006/relationships/hyperlink" Target="http://10.32.16.105/systest/Reports/TestLink/SuiteExecC.php?plan=458763&amp;rep=F&amp;platform=187" TargetMode="External"/><Relationship Id="rId1159" Type="http://schemas.openxmlformats.org/officeDocument/2006/relationships/hyperlink" Target="http://10.32.16.105/systest/Reports/TestLink/SuiteExecC.php?plan=50633&amp;rep=F" TargetMode="External"/><Relationship Id="rId1366" Type="http://schemas.openxmlformats.org/officeDocument/2006/relationships/hyperlink" Target="https://intranet.atlnz.lc/systest/Jira_Reports/testExecReport/jiraExecReport.php?testPlanKey=440&amp;projectKey=TQUALTCM&amp;Report=Report" TargetMode="External"/><Relationship Id="rId168" Type="http://schemas.openxmlformats.org/officeDocument/2006/relationships/hyperlink" Target="http://10.32.16.105/systest/Reports/TestLink/SuiteExecC.php?plan=453806&amp;rep=F&amp;platform=99" TargetMode="External"/><Relationship Id="rId943" Type="http://schemas.openxmlformats.org/officeDocument/2006/relationships/hyperlink" Target="https://jira.atlnz.lc/secure/Tests.jspa" TargetMode="External"/><Relationship Id="rId1019" Type="http://schemas.openxmlformats.org/officeDocument/2006/relationships/hyperlink" Target="https://jira.atlnz.lc/secure/Tests.jspa" TargetMode="External"/><Relationship Id="rId1573" Type="http://schemas.openxmlformats.org/officeDocument/2006/relationships/hyperlink" Target="http://10.32.16.105/systest/Reports/TestLink/SuiteExecC.php?plan=95948&amp;rep=F" TargetMode="External"/><Relationship Id="rId72" Type="http://schemas.openxmlformats.org/officeDocument/2006/relationships/hyperlink" Target="http://10.32.16.105/systest/products/Accessories/pluggable_transceiver/results/SFP/AT-SPBD10-13_Delta_RevB/AR570S" TargetMode="External"/><Relationship Id="rId375" Type="http://schemas.openxmlformats.org/officeDocument/2006/relationships/hyperlink" Target="http://10.32.16.105/systest/Reports/TestLink/SuiteExecC.php?plan=82317&amp;rep=F" TargetMode="External"/><Relationship Id="rId582" Type="http://schemas.openxmlformats.org/officeDocument/2006/relationships/hyperlink" Target="http://10.32.16.105/systest/Reports/TestLink/SuiteExecC.php?plan=67989&amp;rep=F" TargetMode="External"/><Relationship Id="rId803" Type="http://schemas.openxmlformats.org/officeDocument/2006/relationships/hyperlink" Target="https://intranet.atlnz.lc/systest/Jira_Reports/testExecReport/jiraExecReport.php?testPlanKey=370,371&amp;projectKey=TQUALTCM&amp;Report=Report" TargetMode="External"/><Relationship Id="rId1226" Type="http://schemas.openxmlformats.org/officeDocument/2006/relationships/hyperlink" Target="http://10.32.16.105/systest/Reports/TestLink/SuiteExecC.php?plan=458186&amp;rep=F&amp;platform=179" TargetMode="External"/><Relationship Id="rId1433" Type="http://schemas.openxmlformats.org/officeDocument/2006/relationships/hyperlink" Target="https://intranet.atlnz.lc/systest/Jira_Reports/testExecReport/jiraExecReport.php?testPlanKey=428&amp;projectKey=TQUALTCM&amp;Report=Report" TargetMode="External"/><Relationship Id="rId3" Type="http://schemas.openxmlformats.org/officeDocument/2006/relationships/hyperlink" Target="http://www.alliedtelesis.com/media/datasheets/x900-48_ds.pdf" TargetMode="External"/><Relationship Id="rId235" Type="http://schemas.openxmlformats.org/officeDocument/2006/relationships/hyperlink" Target="http://10.32.16.105/systest/Reports/TestLink/SuiteExecC.php?plan=120841&amp;rep=F&amp;platform=127" TargetMode="External"/><Relationship Id="rId442" Type="http://schemas.openxmlformats.org/officeDocument/2006/relationships/hyperlink" Target="https://jira.atlnz.lc/secure/Tests.jspa" TargetMode="External"/><Relationship Id="rId887" Type="http://schemas.openxmlformats.org/officeDocument/2006/relationships/hyperlink" Target="https://jira.atlnz.lc/secure/Tests.jspa" TargetMode="External"/><Relationship Id="rId1072" Type="http://schemas.openxmlformats.org/officeDocument/2006/relationships/hyperlink" Target="http://10.32.16.105/systest/products/Accessories/pluggable_transceiver/results/SFP/AT-SPBD10-13_Sumitomo_SBP6H44-AM-BN-31/x900-48FS" TargetMode="External"/><Relationship Id="rId1500" Type="http://schemas.openxmlformats.org/officeDocument/2006/relationships/hyperlink" Target="http://10.32.16.105/systest/Reports/TestLink/SuiteExecC.php?plan=308258&amp;rep=F&amp;platform=187" TargetMode="External"/><Relationship Id="rId302" Type="http://schemas.openxmlformats.org/officeDocument/2006/relationships/hyperlink" Target="http://10.32.16.105/systest/Reports/TestLink/SuiteExecC.php?plan=150360&amp;rep=F&amp;platform=182" TargetMode="External"/><Relationship Id="rId747" Type="http://schemas.openxmlformats.org/officeDocument/2006/relationships/hyperlink" Target="http://10.32.16.105/systest/products/Accessories/pluggable_transceiver/results/SFP/AT-SPTX_RevC/x900-24XS" TargetMode="External"/><Relationship Id="rId954" Type="http://schemas.openxmlformats.org/officeDocument/2006/relationships/hyperlink" Target="http://10.32.16.105/systest/Reports/TestLink/SuiteExecC.php?plan=484370&amp;rep=F&amp;platform=1051" TargetMode="External"/><Relationship Id="rId1377" Type="http://schemas.openxmlformats.org/officeDocument/2006/relationships/hyperlink" Target="https://intranet.atlnz.lc/systest/Jira_Reports/testExecReport/jiraExecReport.php?testPlanKey=440&amp;projectKey=TQUALTCM&amp;Report=Report" TargetMode="External"/><Relationship Id="rId1584" Type="http://schemas.openxmlformats.org/officeDocument/2006/relationships/hyperlink" Target="http://10.32.16.105/systest/products/Accessories/pluggable_transceiver/results/SFP/AT-SPBD10-13_Delta_RevB/x600-48Ts_XP" TargetMode="External"/><Relationship Id="rId83" Type="http://schemas.openxmlformats.org/officeDocument/2006/relationships/hyperlink" Target="http://10.32.16.105/systest/Reports/TestLink/SuiteExecC.php?plan=443246&amp;rep=F&amp;platform=386" TargetMode="External"/><Relationship Id="rId179" Type="http://schemas.openxmlformats.org/officeDocument/2006/relationships/hyperlink" Target="https://jira.atlnz.lc/secure/Tests.jspa" TargetMode="External"/><Relationship Id="rId386" Type="http://schemas.openxmlformats.org/officeDocument/2006/relationships/hyperlink" Target="http://10.32.16.105/systest/products/Accessories/pluggable_transceiver/results/SFP/AT-SPLX10_RevB/x900-48FE" TargetMode="External"/><Relationship Id="rId593" Type="http://schemas.openxmlformats.org/officeDocument/2006/relationships/hyperlink" Target="https://intranet.atlnz.lc/systest/Jira_Reports/testExecReport/jiraExecReport.php?testPlanKey=370,371&amp;projectKey=TQUALTCM&amp;Report=Report" TargetMode="External"/><Relationship Id="rId607" Type="http://schemas.openxmlformats.org/officeDocument/2006/relationships/hyperlink" Target="https://intranet.atlnz.lc/systest/Jira_Reports/testExecReport/jiraExecReport.php?testPlanKey=422&amp;projectKey=TQUALTCM&amp;Report=Report" TargetMode="External"/><Relationship Id="rId814" Type="http://schemas.openxmlformats.org/officeDocument/2006/relationships/hyperlink" Target="http://10.32.16.105/systest/Reports/TestLink/SuiteExecC.php?plan=190066&amp;rep=F&amp;platform=186" TargetMode="External"/><Relationship Id="rId1237" Type="http://schemas.openxmlformats.org/officeDocument/2006/relationships/hyperlink" Target="http://10.32.16.105/systest/Reports/TestLink/SuiteExecC.php?plan=152235&amp;rep=F&amp;platform=179" TargetMode="External"/><Relationship Id="rId1444" Type="http://schemas.openxmlformats.org/officeDocument/2006/relationships/hyperlink" Target="https://wallace4.atlnz.lc/systest/Jira_Reports/testExecReport/jiraExecReport_wallace4.php?testPlanKey=488&amp;projectKey=TQUALTCM&amp;Report=Report" TargetMode="External"/><Relationship Id="rId246" Type="http://schemas.openxmlformats.org/officeDocument/2006/relationships/hyperlink" Target="http://10.32.16.105/systest/Reports/TestLink/SuiteExecC.php?plan=153890&amp;rep=F&amp;platform=203" TargetMode="External"/><Relationship Id="rId453" Type="http://schemas.openxmlformats.org/officeDocument/2006/relationships/hyperlink" Target="https://jira.atlnz.lc/secure/Tests.jspa" TargetMode="External"/><Relationship Id="rId660" Type="http://schemas.openxmlformats.org/officeDocument/2006/relationships/hyperlink" Target="http://10.32.16.105/systest/Reports/TestLink/SuiteExecC.php?plan=458763&amp;rep=F&amp;platform=180" TargetMode="External"/><Relationship Id="rId898" Type="http://schemas.openxmlformats.org/officeDocument/2006/relationships/hyperlink" Target="https://jira.atlnz.lc/secure/Tests.jspa" TargetMode="External"/><Relationship Id="rId1083" Type="http://schemas.openxmlformats.org/officeDocument/2006/relationships/hyperlink" Target="http://10.32.16.105/systest/Reports/TestLink/SuiteExecC.php?plan=476649&amp;rep=F&amp;platform=187" TargetMode="External"/><Relationship Id="rId1290" Type="http://schemas.openxmlformats.org/officeDocument/2006/relationships/hyperlink" Target="http://10.32.16.105/systest/products/Accessories/pluggable_transceiver/results/SFP/AT-SPTX2_Delta/x900-48FE" TargetMode="External"/><Relationship Id="rId1304" Type="http://schemas.openxmlformats.org/officeDocument/2006/relationships/hyperlink" Target="http://10.32.16.105/systest/products/Accessories/pluggable_transceiver/results/SFP/AT-SPTX2_Delta/x900-24XS" TargetMode="External"/><Relationship Id="rId1511" Type="http://schemas.openxmlformats.org/officeDocument/2006/relationships/hyperlink" Target="https://jira.atlnz.lc/secure/Tests.jspa" TargetMode="External"/><Relationship Id="rId106" Type="http://schemas.openxmlformats.org/officeDocument/2006/relationships/hyperlink" Target="https://intranet.atlnz.lc/systest/Jira_Reports/testExecReport/jiraExecReport.php?testPlanKey=37&amp;projectKey=TQUALTCM&amp;Report=Report" TargetMode="External"/><Relationship Id="rId313" Type="http://schemas.openxmlformats.org/officeDocument/2006/relationships/hyperlink" Target="http://10.32.16.105/systest/Reports/TestLink/SuiteExecC.php?plan=82165&amp;rep=F" TargetMode="External"/><Relationship Id="rId758" Type="http://schemas.openxmlformats.org/officeDocument/2006/relationships/hyperlink" Target="http://10.32.16.105/systest/Reports/TestLink/SuiteExecC.php?plan=479407&amp;rep=F&amp;platform=1197" TargetMode="External"/><Relationship Id="rId965" Type="http://schemas.openxmlformats.org/officeDocument/2006/relationships/hyperlink" Target="https://jira.atlnz.lc/secure/Tests.jspa" TargetMode="External"/><Relationship Id="rId1150" Type="http://schemas.openxmlformats.org/officeDocument/2006/relationships/hyperlink" Target="http://10.32.16.105/systest/products/Accessories/pluggable_transceiver/results/SFP/AT-SPBD10-14_Delta/8648T_2SP" TargetMode="External"/><Relationship Id="rId1388" Type="http://schemas.openxmlformats.org/officeDocument/2006/relationships/hyperlink" Target="http://10.32.16.105/systest/Reports/TestLink/SuiteExecC.php?plan=182009&amp;rep=F&amp;platform=188" TargetMode="External"/><Relationship Id="rId1595" Type="http://schemas.openxmlformats.org/officeDocument/2006/relationships/hyperlink" Target="http://10.32.16.105/systest/Reports/TestLink/SuiteExecC.php?plan=150360&amp;rep=F&amp;platform=188" TargetMode="External"/><Relationship Id="rId1609" Type="http://schemas.openxmlformats.org/officeDocument/2006/relationships/hyperlink" Target="http://10.32.16.105/systest/Reports/TestLink/SuiteExecC.php?plan=120841&amp;rep=F" TargetMode="External"/><Relationship Id="rId10" Type="http://schemas.openxmlformats.org/officeDocument/2006/relationships/hyperlink" Target="http://10.32.16.105/systest/Reports/TestLink/SuiteExecC.php?plan=190066&amp;rep=F&amp;platform=188" TargetMode="External"/><Relationship Id="rId94" Type="http://schemas.openxmlformats.org/officeDocument/2006/relationships/hyperlink" Target="http://10.32.16.105/systest/Reports/TestLink/SuiteExecC.php?plan=443246&amp;rep=F&amp;platform=1052" TargetMode="External"/><Relationship Id="rId397" Type="http://schemas.openxmlformats.org/officeDocument/2006/relationships/hyperlink" Target="https://jira.atlnz.lc/secure/Tests.jspa" TargetMode="External"/><Relationship Id="rId520" Type="http://schemas.openxmlformats.org/officeDocument/2006/relationships/hyperlink" Target="http://10.32.16.105/systest/Reports/TestLink/SuiteExecC.php?plan=96099&amp;rep=F&amp;platform=94" TargetMode="External"/><Relationship Id="rId618" Type="http://schemas.openxmlformats.org/officeDocument/2006/relationships/hyperlink" Target="http://10.32.16.105/systest/Reports/TestLink/SuiteExecC.php?plan=484370&amp;rep=F&amp;platform=131" TargetMode="External"/><Relationship Id="rId825" Type="http://schemas.openxmlformats.org/officeDocument/2006/relationships/hyperlink" Target="https://jira.atlnz.lc/secure/Tests.jspa" TargetMode="External"/><Relationship Id="rId1248" Type="http://schemas.openxmlformats.org/officeDocument/2006/relationships/hyperlink" Target="http://10.32.16.105/systest/products/Accessories/pluggable_transceiver/results/SFP/AT-SPSX_Avago/x600-48Ts" TargetMode="External"/><Relationship Id="rId1455" Type="http://schemas.openxmlformats.org/officeDocument/2006/relationships/hyperlink" Target="https://wallace4.atlnz.lc/systest/Jira_Reports/testExecReport/jiraExecReport_wallace4.php?testPlanKey=137&amp;projectKey=TQUALTCM&amp;Report=Report" TargetMode="External"/><Relationship Id="rId257" Type="http://schemas.openxmlformats.org/officeDocument/2006/relationships/hyperlink" Target="https://jira.atlnz.lc/secure/Tests.jspa" TargetMode="External"/><Relationship Id="rId464" Type="http://schemas.openxmlformats.org/officeDocument/2006/relationships/hyperlink" Target="https://jira.atlnz.lc/secure/Tests.jspa" TargetMode="External"/><Relationship Id="rId1010" Type="http://schemas.openxmlformats.org/officeDocument/2006/relationships/hyperlink" Target="https://jira.atlnz.lc/secure/Tests.jspa" TargetMode="External"/><Relationship Id="rId1094" Type="http://schemas.openxmlformats.org/officeDocument/2006/relationships/hyperlink" Target="http://10.32.16.105/systest/Reports/TestLink/SuiteExecC.php?plan=479406&amp;rep=F&amp;platform=187" TargetMode="External"/><Relationship Id="rId1108" Type="http://schemas.openxmlformats.org/officeDocument/2006/relationships/hyperlink" Target="http://10.32.16.105/systest/products/Accessories/pluggable_transceiver/results/SFP/AT-SPBD10-14_Sumitomo_SBP6H44-AM-BN-49" TargetMode="External"/><Relationship Id="rId1315" Type="http://schemas.openxmlformats.org/officeDocument/2006/relationships/hyperlink" Target="http://10.32.16.105/systest/Reports/TestLink/SuiteExecC.php?plan=95958&amp;rep=F&amp;platform=201" TargetMode="External"/><Relationship Id="rId117" Type="http://schemas.openxmlformats.org/officeDocument/2006/relationships/hyperlink" Target="http://10.32.16.105/systest/Reports/TestLink/SuiteExecC.php?plan=443246&amp;rep=F&amp;platform=390" TargetMode="External"/><Relationship Id="rId671" Type="http://schemas.openxmlformats.org/officeDocument/2006/relationships/hyperlink" Target="http://10.32.16.105/systest/products/Accessories/pluggable_transceiver/results/SFP/AT-SPSX_RevB_Delta/x900-48" TargetMode="External"/><Relationship Id="rId769" Type="http://schemas.openxmlformats.org/officeDocument/2006/relationships/hyperlink" Target="https://jira.atlnz.lc/secure/Tests.jspa" TargetMode="External"/><Relationship Id="rId976" Type="http://schemas.openxmlformats.org/officeDocument/2006/relationships/hyperlink" Target="http://10.32.16.105/systest/Reports/TestLink/SuiteExecC.php?plan=484370&amp;rep=F&amp;platform=1052" TargetMode="External"/><Relationship Id="rId1399" Type="http://schemas.openxmlformats.org/officeDocument/2006/relationships/hyperlink" Target="http://10.32.16.105/systest/Reports/TestLink/SuiteExecC.php?plan=95948&amp;rep=F" TargetMode="External"/><Relationship Id="rId324" Type="http://schemas.openxmlformats.org/officeDocument/2006/relationships/hyperlink" Target="http://10.32.16.105/systest/products/Accessories/pluggable_transceiver/results/SFP/AT-SPEX/Switchblade" TargetMode="External"/><Relationship Id="rId531" Type="http://schemas.openxmlformats.org/officeDocument/2006/relationships/hyperlink" Target="https://jira.atlnz.lc/secure/Tests.jspa" TargetMode="External"/><Relationship Id="rId629" Type="http://schemas.openxmlformats.org/officeDocument/2006/relationships/hyperlink" Target="http://10.32.16.105/systest/Reports/TestLink/SuiteExecC.php?plan=479406&amp;rep=F&amp;platform=1193" TargetMode="External"/><Relationship Id="rId1161" Type="http://schemas.openxmlformats.org/officeDocument/2006/relationships/hyperlink" Target="http://10.32.16.105/systest/products/Accessories/pluggable_transceiver/results/SFP/AT-SPLX10_RevB/x600-24Ts_XP" TargetMode="External"/><Relationship Id="rId1259" Type="http://schemas.openxmlformats.org/officeDocument/2006/relationships/hyperlink" Target="http://10.32.16.105/systest/products/Accessories/pluggable_transceiver/results_aw+/SFP/1G%20fiber%20SFP/AT-SPSX_RevC_Delta/x908" TargetMode="External"/><Relationship Id="rId1466" Type="http://schemas.openxmlformats.org/officeDocument/2006/relationships/hyperlink" Target="https://wallace4.atlnz.lc/systest/Jira_Reports/testExecReport/jiraExecReport_wallace4.php?testPlanKey=428&amp;projectKey=TQUALTCM&amp;Report=Report" TargetMode="External"/><Relationship Id="rId836" Type="http://schemas.openxmlformats.org/officeDocument/2006/relationships/hyperlink" Target="http://10.32.16.105/systest/Reports/TestLink/SuiteExecC.php?plan=144574&amp;rep=F&amp;platform=172" TargetMode="External"/><Relationship Id="rId1021" Type="http://schemas.openxmlformats.org/officeDocument/2006/relationships/hyperlink" Target="https://jira.atlnz.lc/secure/Tests.jspa" TargetMode="External"/><Relationship Id="rId1119" Type="http://schemas.openxmlformats.org/officeDocument/2006/relationships/hyperlink" Target="http://www.alliedtelesis.com/media/datasheets/x900-12x_24x_ds.pdf" TargetMode="External"/><Relationship Id="rId903" Type="http://schemas.openxmlformats.org/officeDocument/2006/relationships/hyperlink" Target="https://jira.atlnz.lc/secure/Tests.jspa" TargetMode="External"/><Relationship Id="rId1326" Type="http://schemas.openxmlformats.org/officeDocument/2006/relationships/hyperlink" Target="http://10.32.16.105/systest/products/Accessories/pluggable_transceiver/results_aw+/SFP/1G%20fiber%20SFP/AT-SPZX80_Delta/x900-12XT-S" TargetMode="External"/><Relationship Id="rId1533" Type="http://schemas.openxmlformats.org/officeDocument/2006/relationships/hyperlink" Target="http://10.32.16.105/systest/Reports/TestLink/SuiteExecC.php?plan=308256&amp;rep=F&amp;platform=184" TargetMode="External"/><Relationship Id="rId32" Type="http://schemas.openxmlformats.org/officeDocument/2006/relationships/hyperlink" Target="http://10.32.16.105/systest/products/Accessories/pluggable_transceiver/results/SFP/AT-SPBD10-13_Delta_RevB/x900-48FS" TargetMode="External"/><Relationship Id="rId1600" Type="http://schemas.openxmlformats.org/officeDocument/2006/relationships/hyperlink" Target="http://10.32.16.105/systest/Reports/TestLink/SuiteExecC.php?plan=150485&amp;rep=F&amp;platform=203" TargetMode="External"/><Relationship Id="rId181" Type="http://schemas.openxmlformats.org/officeDocument/2006/relationships/hyperlink" Target="https://jira.atlnz.lc/secure/Tests.jspa" TargetMode="External"/><Relationship Id="rId279" Type="http://schemas.openxmlformats.org/officeDocument/2006/relationships/hyperlink" Target="https://intranet.atlnz.lc/systest/Jira_Reports/testExecReport/jiraExecReport.php?testPlanKey=18&amp;projectKey=TQUALTCM&amp;Report=Report" TargetMode="External"/><Relationship Id="rId486" Type="http://schemas.openxmlformats.org/officeDocument/2006/relationships/hyperlink" Target="http://10.32.16.105/systest/Reports/TestLink/SuiteExecC.php?plan=190067&amp;rep=F&amp;platform=185" TargetMode="External"/><Relationship Id="rId693" Type="http://schemas.openxmlformats.org/officeDocument/2006/relationships/hyperlink" Target="http://10.32.16.105/systest/Reports/TestLink/SuiteExecC.php?plan=464959&amp;rep=F&amp;platform=201" TargetMode="External"/><Relationship Id="rId139" Type="http://schemas.openxmlformats.org/officeDocument/2006/relationships/hyperlink" Target="http://10.32.16.105/systest/Reports/TestLink/SuiteExecC.php?plan=453806&amp;rep=F&amp;platform=1051" TargetMode="External"/><Relationship Id="rId346" Type="http://schemas.openxmlformats.org/officeDocument/2006/relationships/hyperlink" Target="http://10.32.16.105/systest/Reports/TestLink/SuiteExecC.php?plan=440944&amp;rep=F&amp;platform=183" TargetMode="External"/><Relationship Id="rId553" Type="http://schemas.openxmlformats.org/officeDocument/2006/relationships/hyperlink" Target="http://10.32.16.105/systest/Reports/TestLink/SuiteExecC.php?plan=480293&amp;rep=F&amp;platform=181" TargetMode="External"/><Relationship Id="rId760" Type="http://schemas.openxmlformats.org/officeDocument/2006/relationships/hyperlink" Target="http://10.32.16.105/systest/Reports/TestLink/SuiteExecC.php?plan=483931&amp;rep=F&amp;platform=1138" TargetMode="External"/><Relationship Id="rId998" Type="http://schemas.openxmlformats.org/officeDocument/2006/relationships/hyperlink" Target="https://jira.atlnz.lc/secure/Tests.jspa" TargetMode="External"/><Relationship Id="rId1183" Type="http://schemas.openxmlformats.org/officeDocument/2006/relationships/hyperlink" Target="http://10.32.16.105/systest/products/Accessories/pluggable_transceiver/results/SFP/AT-SPLX-10_Delta/Switchblade" TargetMode="External"/><Relationship Id="rId1390" Type="http://schemas.openxmlformats.org/officeDocument/2006/relationships/hyperlink" Target="http://10.32.16.105/systest/Reports/TestLink/SuiteExecC.php?plan=458186&amp;rep=F&amp;platform=188" TargetMode="External"/><Relationship Id="rId206" Type="http://schemas.openxmlformats.org/officeDocument/2006/relationships/hyperlink" Target="http://10.32.16.105/systest/Reports/TestLink/SuiteExecC.php?plan=190067&amp;rep=F&amp;platform=203" TargetMode="External"/><Relationship Id="rId413" Type="http://schemas.openxmlformats.org/officeDocument/2006/relationships/hyperlink" Target="https://jira.atlnz.lc/secure/Tests.jspa" TargetMode="External"/><Relationship Id="rId858" Type="http://schemas.openxmlformats.org/officeDocument/2006/relationships/hyperlink" Target="http://10.32.16.105/systest/products/Accessories/pluggable_transceiver/results/SFP/AT-SPBDM-A_B_APACOpto/x900-12XT_S" TargetMode="External"/><Relationship Id="rId1043" Type="http://schemas.openxmlformats.org/officeDocument/2006/relationships/hyperlink" Target="http://10.32.16.105/systest/Reports/TestLink/SuiteExecC.php?plan=478894&amp;rep=F&amp;platform=187" TargetMode="External"/><Relationship Id="rId1488" Type="http://schemas.openxmlformats.org/officeDocument/2006/relationships/hyperlink" Target="http://10.32.16.105/systest/Reports/TestLink/SuiteExecC.php?plan=96099&amp;rep=F&amp;platform=117" TargetMode="External"/><Relationship Id="rId620" Type="http://schemas.openxmlformats.org/officeDocument/2006/relationships/hyperlink" Target="https://intranet.atlnz.lc/systest/Jira_Reports/testExecReport/jiraExecReport.php?testPlanKey=27&amp;projectKey=TQUALTCM&amp;Report=Report" TargetMode="External"/><Relationship Id="rId718" Type="http://schemas.openxmlformats.org/officeDocument/2006/relationships/hyperlink" Target="http://10.32.16.105/systest/Reports/TestLink/SuiteExecC.php?plan=476649&amp;rep=F&amp;platform=203" TargetMode="External"/><Relationship Id="rId925" Type="http://schemas.openxmlformats.org/officeDocument/2006/relationships/hyperlink" Target="https://jira.atlnz.lc/secure/Tests.jspa" TargetMode="External"/><Relationship Id="rId1250" Type="http://schemas.openxmlformats.org/officeDocument/2006/relationships/hyperlink" Target="http://10.32.16.105/systest/products/Accessories/pluggable_transceiver/results/SFP/AT-SPSX_Avago/x900-24XS" TargetMode="External"/><Relationship Id="rId1348" Type="http://schemas.openxmlformats.org/officeDocument/2006/relationships/hyperlink" Target="http://10.32.16.105/systest/products/Accessories/pluggable_transceiver/results_aw+/SFP/1G%20fiber%20SFP/AT-SPSX_RevBC/x900-24XS" TargetMode="External"/><Relationship Id="rId1555" Type="http://schemas.openxmlformats.org/officeDocument/2006/relationships/hyperlink" Target="http://10.32.16.105/systest/Reports/TestLink/SuiteExecC.php?plan=50623&amp;rep=F" TargetMode="External"/><Relationship Id="rId1110" Type="http://schemas.openxmlformats.org/officeDocument/2006/relationships/hyperlink" Target="http://10.32.16.105/systest/products/Accessories/pluggable_transceiver/results/SFP/AT-SPBD10-14_Sumitomo_SBP6H44-AM-BN-49/x900-24XS" TargetMode="External"/><Relationship Id="rId1208" Type="http://schemas.openxmlformats.org/officeDocument/2006/relationships/hyperlink" Target="http://10.32.16.105/systest/products/Accessories/pluggable_transceiver/results/SFP/AT-SPLX-40_Delta/AR570" TargetMode="External"/><Relationship Id="rId1415" Type="http://schemas.openxmlformats.org/officeDocument/2006/relationships/hyperlink" Target="https://intranet.atlnz.lc/systest/Jira_Reports/testExecReport/jiraExecReport.php?testPlanKey=496,497&amp;projectKey=TQUALTCM&amp;Report=Report" TargetMode="External"/><Relationship Id="rId54" Type="http://schemas.openxmlformats.org/officeDocument/2006/relationships/hyperlink" Target="http://10.32.16.105/systest/Reports/TestLink/SuiteExecC.php?plan=309805&amp;rep=F&amp;platform=188" TargetMode="External"/><Relationship Id="rId1622" Type="http://schemas.openxmlformats.org/officeDocument/2006/relationships/hyperlink" Target="http://10.32.16.105/systest/Reports/TestLink/SuiteExecC.php?plan=120841&amp;rep=F&amp;platform=233" TargetMode="External"/><Relationship Id="rId270" Type="http://schemas.openxmlformats.org/officeDocument/2006/relationships/hyperlink" Target="http://10.32.16.105/systest/Reports/TestLink/SuiteExecC.php?plan=120841&amp;rep=F" TargetMode="External"/><Relationship Id="rId130" Type="http://schemas.openxmlformats.org/officeDocument/2006/relationships/hyperlink" Target="http://10.32.16.105/systest/Reports/TestLink/SuiteExecC.php?plan=443246&amp;rep=F&amp;platform=1091" TargetMode="External"/><Relationship Id="rId368" Type="http://schemas.openxmlformats.org/officeDocument/2006/relationships/hyperlink" Target="http://10.32.16.105/systest/Reports/TestLink/SuiteExecC.php?plan=443653&amp;rep=F&amp;platform=183" TargetMode="External"/><Relationship Id="rId575" Type="http://schemas.openxmlformats.org/officeDocument/2006/relationships/hyperlink" Target="http://10.32.16.105/systest/Reports/TestLink/SuiteExecC.php?plan=75670&amp;rep=F" TargetMode="External"/><Relationship Id="rId782" Type="http://schemas.openxmlformats.org/officeDocument/2006/relationships/hyperlink" Target="http://10.32.16.105/systest/Reports/TestLink/SuiteExecC.php?plan=309805&amp;rep=F&amp;platform=350" TargetMode="External"/><Relationship Id="rId228" Type="http://schemas.openxmlformats.org/officeDocument/2006/relationships/hyperlink" Target="http://10.32.16.105/systest/Reports/TestLink/SuiteExecC.php?plan=191480&amp;rep=F&amp;platform=203" TargetMode="External"/><Relationship Id="rId435" Type="http://schemas.openxmlformats.org/officeDocument/2006/relationships/hyperlink" Target="http://intranet.alliedtelesyn.co.nz/systest/Reports/TestLink/SuiteExecC.php?plan=92175&amp;platform=72&amp;rep=f" TargetMode="External"/><Relationship Id="rId642" Type="http://schemas.openxmlformats.org/officeDocument/2006/relationships/hyperlink" Target="https://intranet.atlnz.lc/systest/Jira_Reports/testExecReport/jiraExecReport.php?testPlanKey=370,371&amp;projectKey=TQUALTCM&amp;Report=Report" TargetMode="External"/><Relationship Id="rId1065" Type="http://schemas.openxmlformats.org/officeDocument/2006/relationships/hyperlink" Target="http://10.32.16.105/systest/Reports/TestLink/SuiteExecC.php?plan=130431&amp;rep=F&amp;platform=98" TargetMode="External"/><Relationship Id="rId1272" Type="http://schemas.openxmlformats.org/officeDocument/2006/relationships/hyperlink" Target="http://10.32.16.105/systest/products/Accessories/pluggable_transceiver/results/SFP/AT-SPSX_Delta/Switchblade" TargetMode="External"/><Relationship Id="rId502" Type="http://schemas.openxmlformats.org/officeDocument/2006/relationships/hyperlink" Target="https://jira.atlnz.lc/secure/Tests.jspa" TargetMode="External"/><Relationship Id="rId947" Type="http://schemas.openxmlformats.org/officeDocument/2006/relationships/hyperlink" Target="https://jira.atlnz.lc/secure/Tests.jspa" TargetMode="External"/><Relationship Id="rId1132" Type="http://schemas.openxmlformats.org/officeDocument/2006/relationships/hyperlink" Target="http://www.alliedtelesis.com/media/datasheets/sbx908_ds.pdf" TargetMode="External"/><Relationship Id="rId1577" Type="http://schemas.openxmlformats.org/officeDocument/2006/relationships/hyperlink" Target="http://10.32.16.105/systest/Reports/TestLink/SuiteExecC.php?plan=95948&amp;rep=F&amp;platform=233"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10.32.16.105/systest/Reports/TestLink/SuiteExecC.php?plan=301638&amp;rep=F&amp;platform=204" TargetMode="External"/><Relationship Id="rId299" Type="http://schemas.openxmlformats.org/officeDocument/2006/relationships/hyperlink" Target="https://jira.atlnz.lc/secure/Tests.jspa" TargetMode="External"/><Relationship Id="rId21" Type="http://schemas.openxmlformats.org/officeDocument/2006/relationships/hyperlink" Target="http://10.32.16.105/systest/Reports/TestLink/SuiteExecC.php?plan=458186&amp;rep=F&amp;platform=178" TargetMode="External"/><Relationship Id="rId63" Type="http://schemas.openxmlformats.org/officeDocument/2006/relationships/hyperlink" Target="http://10.32.16.105/systest/Reports/TestLink/SuiteExecC.php?plan=158999&amp;rep=F&amp;platform=330" TargetMode="External"/><Relationship Id="rId159" Type="http://schemas.openxmlformats.org/officeDocument/2006/relationships/hyperlink" Target="http://10.32.16.105/systest/Reports/TestLink/SuiteExecC.php?plan=95961&amp;rep=F&amp;platform=200" TargetMode="External"/><Relationship Id="rId324" Type="http://schemas.openxmlformats.org/officeDocument/2006/relationships/hyperlink" Target="http://10.32.16.105/systest/Reports/TestLink/SuiteExecC.php?plan=152235&amp;rep=F&amp;platform=177" TargetMode="External"/><Relationship Id="rId366" Type="http://schemas.openxmlformats.org/officeDocument/2006/relationships/hyperlink" Target="https://jira.atlnz.lc/secure/Tests.jspa" TargetMode="External"/><Relationship Id="rId531" Type="http://schemas.openxmlformats.org/officeDocument/2006/relationships/hyperlink" Target="https://jira.atlnz.lc/secure/Tests.jspa" TargetMode="External"/><Relationship Id="rId170" Type="http://schemas.openxmlformats.org/officeDocument/2006/relationships/hyperlink" Target="http://10.32.16.105/systest/Reports/TestLink/SuiteExecC.php?plan=142343&amp;rep=F&amp;platform=178" TargetMode="External"/><Relationship Id="rId226" Type="http://schemas.openxmlformats.org/officeDocument/2006/relationships/hyperlink" Target="https://jira.atlnz.lc/secure/Tests.jspa" TargetMode="External"/><Relationship Id="rId433" Type="http://schemas.openxmlformats.org/officeDocument/2006/relationships/hyperlink" Target="https://jira.atlnz.lc/secure/Tests.jspa" TargetMode="External"/><Relationship Id="rId268" Type="http://schemas.openxmlformats.org/officeDocument/2006/relationships/hyperlink" Target="http://10.32.16.105/systest/Reports/TestLink/SuiteExecC.php?plan=191480&amp;rep=F&amp;platform=190" TargetMode="External"/><Relationship Id="rId475" Type="http://schemas.openxmlformats.org/officeDocument/2006/relationships/hyperlink" Target="http://10.32.16.105/systest/Reports/TestLink/SuiteExecC.php?plan=481300&amp;rep=F&amp;platform=200" TargetMode="External"/><Relationship Id="rId32" Type="http://schemas.openxmlformats.org/officeDocument/2006/relationships/hyperlink" Target="http://10.32.16.105/systest/Reports/TestLink/SuiteExecC.php?plan=304663&amp;rep=F&amp;platform=391" TargetMode="External"/><Relationship Id="rId74" Type="http://schemas.openxmlformats.org/officeDocument/2006/relationships/hyperlink" Target="http://10.32.16.105/systest/Reports/TestLink/SuiteExecC.php?plan=144377&amp;rep=F&amp;platform=204" TargetMode="External"/><Relationship Id="rId128" Type="http://schemas.openxmlformats.org/officeDocument/2006/relationships/hyperlink" Target="http://10.32.16.105/systest/Reports/TestLink/SuiteExecC.php?plan=145783&amp;rep=F&amp;platform=189" TargetMode="External"/><Relationship Id="rId335" Type="http://schemas.openxmlformats.org/officeDocument/2006/relationships/hyperlink" Target="http://10.32.16.105/systest/Reports/TestLink/SuiteExecC.php?plan=458186&amp;rep=F&amp;platform=177" TargetMode="External"/><Relationship Id="rId377" Type="http://schemas.openxmlformats.org/officeDocument/2006/relationships/hyperlink" Target="https://jira.atlnz.lc/secure/Tests.jspa" TargetMode="External"/><Relationship Id="rId500" Type="http://schemas.openxmlformats.org/officeDocument/2006/relationships/hyperlink" Target="https://wallace4.atlnz.lc/systest/Jira_Reports/testExecReport/jiraExecReport_wallace4.php?testPlanKey=185&amp;projectKey=TQUALTCM&amp;Report=Report" TargetMode="External"/><Relationship Id="rId5" Type="http://schemas.openxmlformats.org/officeDocument/2006/relationships/hyperlink" Target="http://10.32.16.105/systest/Reports/TestLink/SuiteExecC.php?plan=481298&amp;rep=F&amp;platform=703" TargetMode="External"/><Relationship Id="rId181" Type="http://schemas.openxmlformats.org/officeDocument/2006/relationships/hyperlink" Target="http://10.32.16.105/systest/Reports/TestLink/SuiteExecC.php?plan=183619&amp;rep=F&amp;platform=236" TargetMode="External"/><Relationship Id="rId237" Type="http://schemas.openxmlformats.org/officeDocument/2006/relationships/hyperlink" Target="http://10.32.16.105/systest/Reports/TestLink/SuiteExecC.php?plan=158997&amp;rep=F&amp;platform=198" TargetMode="External"/><Relationship Id="rId402" Type="http://schemas.openxmlformats.org/officeDocument/2006/relationships/hyperlink" Target="http://intranet.atlnz.lc/systest/Reports/TestLink/SuiteExecC.php?plan=486616&amp;rep=F&amp;platform=1225" TargetMode="External"/><Relationship Id="rId279" Type="http://schemas.openxmlformats.org/officeDocument/2006/relationships/hyperlink" Target="https://jira.atlnz.lc/secure/Tests.jspa" TargetMode="External"/><Relationship Id="rId444" Type="http://schemas.openxmlformats.org/officeDocument/2006/relationships/hyperlink" Target="http://10.32.16.105/systest/Reports/TestLink/SuiteExecC.php?plan=481298&amp;rep=F&amp;platform=1200" TargetMode="External"/><Relationship Id="rId486" Type="http://schemas.openxmlformats.org/officeDocument/2006/relationships/hyperlink" Target="http://10.32.16.105/systest/Reports/TestLink/SuiteExecC.php?plan=453983&amp;rep=F&amp;platform=198" TargetMode="External"/><Relationship Id="rId43" Type="http://schemas.openxmlformats.org/officeDocument/2006/relationships/hyperlink" Target="https://intranet.atlnz.lc/systest/Jira_Reports/testExecReport/jiraExecReport.php?testPlanKey=52&amp;projectKey=TQUALTCM&amp;Report=Report" TargetMode="External"/><Relationship Id="rId139" Type="http://schemas.openxmlformats.org/officeDocument/2006/relationships/hyperlink" Target="http://intranet.alliedtelesyn.co.nz/systest/Reports/TestLink/SuiteExecC.php?plan=79637&amp;rep=f" TargetMode="External"/><Relationship Id="rId290" Type="http://schemas.openxmlformats.org/officeDocument/2006/relationships/hyperlink" Target="https://jira.atlnz.lc/secure/Tests.jspa" TargetMode="External"/><Relationship Id="rId304" Type="http://schemas.openxmlformats.org/officeDocument/2006/relationships/hyperlink" Target="http://10.32.16.105/systest/Reports/TestLink/SuiteExecC.php?plan=467281&amp;rep=F&amp;platform=98" TargetMode="External"/><Relationship Id="rId346" Type="http://schemas.openxmlformats.org/officeDocument/2006/relationships/hyperlink" Target="https://jira.atlnz.lc/secure/Tests.jspa" TargetMode="External"/><Relationship Id="rId388" Type="http://schemas.openxmlformats.org/officeDocument/2006/relationships/hyperlink" Target="http://10.32.16.105/systest/Reports/TestLink/SuiteExecC.php?plan=481298&amp;rep=F&amp;platform=391" TargetMode="External"/><Relationship Id="rId511" Type="http://schemas.openxmlformats.org/officeDocument/2006/relationships/hyperlink" Target="http://10.32.16.105/systest/Reports/TestLink/SuiteExecC.php?plan=69888" TargetMode="External"/><Relationship Id="rId85" Type="http://schemas.openxmlformats.org/officeDocument/2006/relationships/hyperlink" Target="https://jira.atlnz.lc/secure/Tests.jspa" TargetMode="External"/><Relationship Id="rId150" Type="http://schemas.openxmlformats.org/officeDocument/2006/relationships/hyperlink" Target="http://10.32.16.105/systest/Reports/TestLink/SuiteExecC.php?plan=443653&amp;rep=F&amp;platform=193" TargetMode="External"/><Relationship Id="rId192" Type="http://schemas.openxmlformats.org/officeDocument/2006/relationships/hyperlink" Target="http://10.32.16.105/systest/Reports/TestLink/SuiteExecC.php?plan=69603&amp;rep=F" TargetMode="External"/><Relationship Id="rId206" Type="http://schemas.openxmlformats.org/officeDocument/2006/relationships/hyperlink" Target="https://wallace4.atlnz.lc/systest/Jira_Reports/testExecReport/jiraExecReport_wallace4.php?testPlanKey=418&amp;projectKey=TQUALTCM&amp;Report=Report" TargetMode="External"/><Relationship Id="rId413" Type="http://schemas.openxmlformats.org/officeDocument/2006/relationships/hyperlink" Target="http://10.32.16.105/systest/Reports/TestLink/SuiteExecC.php?plan=481298&amp;rep=F&amp;platform=407" TargetMode="External"/><Relationship Id="rId248" Type="http://schemas.openxmlformats.org/officeDocument/2006/relationships/hyperlink" Target="http://10.32.16.105/systest/Reports/TestLink/SuiteExecC.php?plan=312671&amp;rep=F&amp;platform=204" TargetMode="External"/><Relationship Id="rId455" Type="http://schemas.openxmlformats.org/officeDocument/2006/relationships/hyperlink" Target="http://10.32.16.105/systest/Reports/TestLink/SuiteExecC.php?plan=481300&amp;rep=F&amp;platform=236" TargetMode="External"/><Relationship Id="rId497" Type="http://schemas.openxmlformats.org/officeDocument/2006/relationships/hyperlink" Target="https://wallace4.atlnz.lc/systest/Jira_Reports/testExecReport/jiraExecReport_wallace4.php?testPlanKey=182&amp;projectKey=TQUALTCM&amp;Report=Report" TargetMode="External"/><Relationship Id="rId12" Type="http://schemas.openxmlformats.org/officeDocument/2006/relationships/hyperlink" Target="https://jira.atlnz.lc/secure/Tests.jspa" TargetMode="External"/><Relationship Id="rId108" Type="http://schemas.openxmlformats.org/officeDocument/2006/relationships/hyperlink" Target="http://10.32.16.105/systest/Reports/TestLink/SuiteExecC.php?plan=458186&amp;rep=F&amp;platform=191" TargetMode="External"/><Relationship Id="rId315" Type="http://schemas.openxmlformats.org/officeDocument/2006/relationships/hyperlink" Target="https://jira.atlnz.lc/secure/Tests.jspa" TargetMode="External"/><Relationship Id="rId357" Type="http://schemas.openxmlformats.org/officeDocument/2006/relationships/hyperlink" Target="https://jira.atlnz.lc/secure/Tests.jspa" TargetMode="External"/><Relationship Id="rId522" Type="http://schemas.openxmlformats.org/officeDocument/2006/relationships/hyperlink" Target="https://wallace4.atlnz.lc/systest/Jira_Reports/testExecReport/jiraExecReport_wallace4.php?testPlanKey=536&amp;projectKey=TQUALTCM&amp;Report=Report" TargetMode="External"/><Relationship Id="rId54" Type="http://schemas.openxmlformats.org/officeDocument/2006/relationships/hyperlink" Target="https://intranet.atlnz.lc/systest/Jira_Reports/testExecReport/jiraExecReport.php?testPlanKey=373&amp;projectKey=TQUALTCM&amp;Report=Report" TargetMode="External"/><Relationship Id="rId96" Type="http://schemas.openxmlformats.org/officeDocument/2006/relationships/hyperlink" Target="http://10.32.16.105/systest/Reports/TestLink/SuiteExecC.php?plan=459219&amp;rep=F&amp;platform=321" TargetMode="External"/><Relationship Id="rId161" Type="http://schemas.openxmlformats.org/officeDocument/2006/relationships/hyperlink" Target="http://10.32.16.105/systest/Reports/TestLink/SuiteExecC.php?plan=142343&amp;rep=F&amp;platform=191" TargetMode="External"/><Relationship Id="rId217" Type="http://schemas.openxmlformats.org/officeDocument/2006/relationships/hyperlink" Target="http://intranet.alliedtelesyn.co.nz/systest/Reports/TestLink/SuiteExecC.php?plan=95985&amp;rep=f" TargetMode="External"/><Relationship Id="rId399" Type="http://schemas.openxmlformats.org/officeDocument/2006/relationships/hyperlink" Target="http://10.32.16.105/systest/Reports/TestLink/SuiteExecC.php?plan=481298&amp;rep=F&amp;platform=1145" TargetMode="External"/><Relationship Id="rId259" Type="http://schemas.openxmlformats.org/officeDocument/2006/relationships/hyperlink" Target="https://jira.atlnz.lc/secure/Tests.jspa" TargetMode="External"/><Relationship Id="rId424" Type="http://schemas.openxmlformats.org/officeDocument/2006/relationships/hyperlink" Target="https://jira.atlnz.lc/secure/Tests.jspa" TargetMode="External"/><Relationship Id="rId466" Type="http://schemas.openxmlformats.org/officeDocument/2006/relationships/hyperlink" Target="http://10.32.16.105/systest/Reports/TestLink/SuiteExecC.php?plan=481300&amp;rep=F&amp;platform=391" TargetMode="External"/><Relationship Id="rId23" Type="http://schemas.openxmlformats.org/officeDocument/2006/relationships/hyperlink" Target="http://10.32.16.105/systest/Reports/TestLink/SuiteExecC.php?plan=304663&amp;rep=F&amp;platform=200" TargetMode="External"/><Relationship Id="rId119" Type="http://schemas.openxmlformats.org/officeDocument/2006/relationships/hyperlink" Target="http://10.32.16.105/systest/Reports/TestLink/SuiteExecC.php?plan=301638&amp;rep=F&amp;platform=98" TargetMode="External"/><Relationship Id="rId270" Type="http://schemas.openxmlformats.org/officeDocument/2006/relationships/hyperlink" Target="http://10.32.16.105/systest/Reports/TestLink/SuiteExecC.php?plan=145783&amp;rep=F&amp;platform=190" TargetMode="External"/><Relationship Id="rId326" Type="http://schemas.openxmlformats.org/officeDocument/2006/relationships/hyperlink" Target="http://intranet.alliedtelesyn.co.nz/systest/Reports/TestLink/SuiteExecC.php?plan=95978&amp;rep=f&amp;platform=172" TargetMode="External"/><Relationship Id="rId533" Type="http://schemas.openxmlformats.org/officeDocument/2006/relationships/hyperlink" Target="https://jira.atlnz.lc/secure/Tests.jspa" TargetMode="External"/><Relationship Id="rId65" Type="http://schemas.openxmlformats.org/officeDocument/2006/relationships/hyperlink" Target="http://10.32.16.105/systest/Reports/TestLink/SuiteExecC.php?plan=458186&amp;rep=F&amp;platform=330" TargetMode="External"/><Relationship Id="rId130" Type="http://schemas.openxmlformats.org/officeDocument/2006/relationships/hyperlink" Target="http://10.32.16.105/systest/Reports/TestLink/SuiteExecC.php?plan=191480&amp;rep=F&amp;platform=189" TargetMode="External"/><Relationship Id="rId368" Type="http://schemas.openxmlformats.org/officeDocument/2006/relationships/hyperlink" Target="http://10.32.16.105/systest/Reports/TestLink/SuiteExecC.php?plan=481299&amp;rep=F&amp;platform=204" TargetMode="External"/><Relationship Id="rId172" Type="http://schemas.openxmlformats.org/officeDocument/2006/relationships/hyperlink" Target="http://10.32.16.105/systest/Reports/TestLink/SuiteExecC.php?plan=129269&amp;rep=F&amp;platform=172" TargetMode="External"/><Relationship Id="rId228" Type="http://schemas.openxmlformats.org/officeDocument/2006/relationships/hyperlink" Target="http://intranet.alliedtelesyn.co.nz/systest/Reports/TestLink/SuiteExecC.php?plan=79642&amp;rep=f" TargetMode="External"/><Relationship Id="rId435" Type="http://schemas.openxmlformats.org/officeDocument/2006/relationships/hyperlink" Target="http://10.32.16.105/systest/Reports/TestLink/SuiteExecC.php?plan=481298&amp;rep=F&amp;platform=706" TargetMode="External"/><Relationship Id="rId477" Type="http://schemas.openxmlformats.org/officeDocument/2006/relationships/hyperlink" Target="http://10.32.16.105/systest/Reports/TestLink/SuiteExecC.php?plan=481300&amp;rep=F&amp;platform=192" TargetMode="External"/><Relationship Id="rId281" Type="http://schemas.openxmlformats.org/officeDocument/2006/relationships/hyperlink" Target="https://jira.atlnz.lc/secure/Tests.jspa" TargetMode="External"/><Relationship Id="rId337" Type="http://schemas.openxmlformats.org/officeDocument/2006/relationships/hyperlink" Target="http://10.32.16.105/systest/Reports/TestLink/SuiteExecC.php?plan=158999&amp;rep=F&amp;platform=177" TargetMode="External"/><Relationship Id="rId502" Type="http://schemas.openxmlformats.org/officeDocument/2006/relationships/hyperlink" Target="https://wallace4.atlnz.lc/systest/Jira_Reports/testExecReport/jiraExecReport_wallace4.php?testPlanKey=187&amp;projectKey=TQUALTCM&amp;Report=Report" TargetMode="External"/><Relationship Id="rId34" Type="http://schemas.openxmlformats.org/officeDocument/2006/relationships/hyperlink" Target="http://10.32.16.105/systest/Reports/TestLink/SuiteExecC.php?plan=304663&amp;rep=F&amp;platform=207" TargetMode="External"/><Relationship Id="rId76" Type="http://schemas.openxmlformats.org/officeDocument/2006/relationships/hyperlink" Target="http://10.32.16.105/systest/Reports/TestLink/SuiteExecC.php?plan=144377&amp;rep=F&amp;platform=99" TargetMode="External"/><Relationship Id="rId141" Type="http://schemas.openxmlformats.org/officeDocument/2006/relationships/hyperlink" Target="http://10.32.16.105/systest/Reports/TestLink/SuiteExecC.php?plan=309151&amp;rep=F&amp;platform=193" TargetMode="External"/><Relationship Id="rId379" Type="http://schemas.openxmlformats.org/officeDocument/2006/relationships/hyperlink" Target="https://jira.atlnz.lc/secure/Tests.jspa" TargetMode="External"/><Relationship Id="rId7" Type="http://schemas.openxmlformats.org/officeDocument/2006/relationships/hyperlink" Target="http://10.32.16.105/systest/Reports/TestLink/SuiteExecC.php?plan=481298&amp;rep=F&amp;platform=703" TargetMode="External"/><Relationship Id="rId183" Type="http://schemas.openxmlformats.org/officeDocument/2006/relationships/hyperlink" Target="http://10.32.16.105/systest/Reports/TestLink/SuiteExecC.php?plan=183619&amp;rep=F&amp;platform=326" TargetMode="External"/><Relationship Id="rId239" Type="http://schemas.openxmlformats.org/officeDocument/2006/relationships/hyperlink" Target="https://jira.atlnz.lc/secure/Tests.jspa" TargetMode="External"/><Relationship Id="rId390" Type="http://schemas.openxmlformats.org/officeDocument/2006/relationships/hyperlink" Target="http://10.32.16.105/systest/Reports/TestLink/SuiteExecC.php?plan=481299&amp;rep=F&amp;platform=172" TargetMode="External"/><Relationship Id="rId404" Type="http://schemas.openxmlformats.org/officeDocument/2006/relationships/hyperlink" Target="http://10.32.16.105/systest/Reports/TestLink/SuiteExecC.php?plan=481299&amp;rep=F&amp;platform=1211" TargetMode="External"/><Relationship Id="rId446" Type="http://schemas.openxmlformats.org/officeDocument/2006/relationships/hyperlink" Target="https://jira.atlnz.lc/secure/Tests.jspa" TargetMode="External"/><Relationship Id="rId250" Type="http://schemas.openxmlformats.org/officeDocument/2006/relationships/hyperlink" Target="https://jira.atlnz.lc/secure/Tests.jspa" TargetMode="External"/><Relationship Id="rId292" Type="http://schemas.openxmlformats.org/officeDocument/2006/relationships/hyperlink" Target="https://jira.atlnz.lc/secure/Tests.jspa" TargetMode="External"/><Relationship Id="rId306" Type="http://schemas.openxmlformats.org/officeDocument/2006/relationships/hyperlink" Target="http://10.32.16.105/systest/Reports/TestLink/SuiteExecC.php?plan=467281&amp;rep=F&amp;platform=204" TargetMode="External"/><Relationship Id="rId488" Type="http://schemas.openxmlformats.org/officeDocument/2006/relationships/hyperlink" Target="https://wallace4.atlnz.lc/systest/Jira_Reports/testExecReport/jiraExecReport_wallace4.php?testPlanKey=174&amp;projectKey=TQUALTCM&amp;Report=Report" TargetMode="External"/><Relationship Id="rId45" Type="http://schemas.openxmlformats.org/officeDocument/2006/relationships/hyperlink" Target="http://intranet.alliedtelesyn.co.nz/systest/Reports/TestLink/SuiteExecC.php?plan=90586&amp;rep=f" TargetMode="External"/><Relationship Id="rId87" Type="http://schemas.openxmlformats.org/officeDocument/2006/relationships/hyperlink" Target="http://10.32.16.105/systest/Reports/TestLink/SuiteExecC.php?plan=158996&amp;rep=F&amp;platform=321" TargetMode="External"/><Relationship Id="rId110" Type="http://schemas.openxmlformats.org/officeDocument/2006/relationships/hyperlink" Target="http://10.32.16.105/systest/Reports/TestLink/SuiteExecC.php?plan=301638&amp;rep=F&amp;platform=200" TargetMode="External"/><Relationship Id="rId348" Type="http://schemas.openxmlformats.org/officeDocument/2006/relationships/hyperlink" Target="https://jira.atlnz.lc/secure/Tests.jspa" TargetMode="External"/><Relationship Id="rId513" Type="http://schemas.openxmlformats.org/officeDocument/2006/relationships/hyperlink" Target="https://jira.atlnz.lc/secure/Tests.jspa" TargetMode="External"/><Relationship Id="rId152" Type="http://schemas.openxmlformats.org/officeDocument/2006/relationships/hyperlink" Target="http://intranet.alliedtelesyn.co.nz/systest/Reports/TestLink/SuiteExecC.php?plan=121920&amp;rep=f" TargetMode="External"/><Relationship Id="rId194" Type="http://schemas.openxmlformats.org/officeDocument/2006/relationships/hyperlink" Target="http://intranet.alliedtelesyn.co.nz/systest/Reports/TestLink/SuiteExecC.php?plan=55754&amp;rep=f" TargetMode="External"/><Relationship Id="rId208" Type="http://schemas.openxmlformats.org/officeDocument/2006/relationships/hyperlink" Target="http://intranet.alliedtelesyn.co.nz/systest/Reports/TestLink/SuiteExecC.php?plan=79641&amp;rep=f" TargetMode="External"/><Relationship Id="rId415" Type="http://schemas.openxmlformats.org/officeDocument/2006/relationships/hyperlink" Target="http://10.32.16.105/systest/Reports/TestLink/SuiteExecC.php?plan=481298&amp;rep=F&amp;platform=326" TargetMode="External"/><Relationship Id="rId457" Type="http://schemas.openxmlformats.org/officeDocument/2006/relationships/hyperlink" Target="https://jira.atlnz.lc/secure/Tests.jspa" TargetMode="External"/><Relationship Id="rId261" Type="http://schemas.openxmlformats.org/officeDocument/2006/relationships/hyperlink" Target="https://jira.atlnz.lc/secure/Tests.jspa" TargetMode="External"/><Relationship Id="rId499" Type="http://schemas.openxmlformats.org/officeDocument/2006/relationships/hyperlink" Target="https://wallace4.atlnz.lc/systest/Jira_Reports/testExecReport/jiraExecReport_wallace4.php?testPlanKey=184&amp;projectKey=TQUALTCM&amp;Report=Report" TargetMode="External"/><Relationship Id="rId14" Type="http://schemas.openxmlformats.org/officeDocument/2006/relationships/hyperlink" Target="http://10.32.16.105/systest/Reports/TestLink/SuiteExecC.php?plan=309151&amp;rep=F&amp;platform=178" TargetMode="External"/><Relationship Id="rId56" Type="http://schemas.openxmlformats.org/officeDocument/2006/relationships/hyperlink" Target="http://intranet.alliedtelesyn.co.nz/systest/Reports/TestLink/SuiteExecC.php?plan=55758&amp;rep=f" TargetMode="External"/><Relationship Id="rId317" Type="http://schemas.openxmlformats.org/officeDocument/2006/relationships/hyperlink" Target="https://jira.atlnz.lc/secure/Tests.jspa" TargetMode="External"/><Relationship Id="rId359" Type="http://schemas.openxmlformats.org/officeDocument/2006/relationships/hyperlink" Target="https://jira.atlnz.lc/secure/Tests.jspa" TargetMode="External"/><Relationship Id="rId524" Type="http://schemas.openxmlformats.org/officeDocument/2006/relationships/hyperlink" Target="https://jira.atlnz.lc/secure/Tests.jspa" TargetMode="External"/><Relationship Id="rId98" Type="http://schemas.openxmlformats.org/officeDocument/2006/relationships/hyperlink" Target="http://10.32.16.105/systest/Reports/TestLink/SuiteExecC.php?plan=123556&amp;rep=F&amp;platform=204" TargetMode="External"/><Relationship Id="rId121" Type="http://schemas.openxmlformats.org/officeDocument/2006/relationships/hyperlink" Target="http://10.32.16.105/systest/Reports/TestLink/SuiteExecC.php?plan=309151&amp;rep=F&amp;platform=189" TargetMode="External"/><Relationship Id="rId163" Type="http://schemas.openxmlformats.org/officeDocument/2006/relationships/hyperlink" Target="http://intranet.alliedtelesyn.co.nz/systest/Reports/TestLink/SuiteExecC.php?plan=121920&amp;rep=f" TargetMode="External"/><Relationship Id="rId219" Type="http://schemas.openxmlformats.org/officeDocument/2006/relationships/hyperlink" Target="http://10.32.16.105/systest/Reports/TestLink/SuiteExecC.php?plan=308258&amp;rep=F&amp;platform=199" TargetMode="External"/><Relationship Id="rId370" Type="http://schemas.openxmlformats.org/officeDocument/2006/relationships/hyperlink" Target="http://10.32.16.105/systest/Reports/TestLink/SuiteExecC.php?plan=481298&amp;rep=F&amp;platform=1144" TargetMode="External"/><Relationship Id="rId426" Type="http://schemas.openxmlformats.org/officeDocument/2006/relationships/hyperlink" Target="https://jira.atlnz.lc/secure/Tests.jspa" TargetMode="External"/><Relationship Id="rId230" Type="http://schemas.openxmlformats.org/officeDocument/2006/relationships/hyperlink" Target="http://10.32.16.105/systest/Reports/TestLink/SuiteExecC.php?plan=69887" TargetMode="External"/><Relationship Id="rId468" Type="http://schemas.openxmlformats.org/officeDocument/2006/relationships/hyperlink" Target="http://10.32.16.105/systest/Reports/TestLink/SuiteExecC.php?plan=481300&amp;rep=F&amp;platform=172" TargetMode="External"/><Relationship Id="rId25" Type="http://schemas.openxmlformats.org/officeDocument/2006/relationships/hyperlink" Target="http://10.32.16.105/systest/Reports/TestLink/SuiteExecC.php?plan=308258&amp;rep=F&amp;platform=178" TargetMode="External"/><Relationship Id="rId46" Type="http://schemas.openxmlformats.org/officeDocument/2006/relationships/hyperlink" Target="https://intranet.atlnz.lc/systest/Jira_Reports/testExecReport/jiraExecReport.php?testPlanKey=51&amp;projectKey=TQUALTCM&amp;Report=Report" TargetMode="External"/><Relationship Id="rId67" Type="http://schemas.openxmlformats.org/officeDocument/2006/relationships/hyperlink" Target="http://10.32.16.105/systest/Reports/TestLink/SuiteExecC.php?plan=144377&amp;rep=F&amp;platform=200" TargetMode="External"/><Relationship Id="rId272" Type="http://schemas.openxmlformats.org/officeDocument/2006/relationships/hyperlink" Target="https://jira.atlnz.lc/secure/Tests.jspa" TargetMode="External"/><Relationship Id="rId293" Type="http://schemas.openxmlformats.org/officeDocument/2006/relationships/hyperlink" Target="https://jira.atlnz.lc/secure/Tests.jspa" TargetMode="External"/><Relationship Id="rId307" Type="http://schemas.openxmlformats.org/officeDocument/2006/relationships/hyperlink" Target="http://10.32.16.105/systest/Reports/TestLink/SuiteExecC.php?plan=467281&amp;rep=F&amp;platform=172" TargetMode="External"/><Relationship Id="rId328" Type="http://schemas.openxmlformats.org/officeDocument/2006/relationships/hyperlink" Target="http://10.32.16.105/systest/Reports/TestLink/SuiteExecC.php?plan=191480&amp;rep=F&amp;platform=177" TargetMode="External"/><Relationship Id="rId349" Type="http://schemas.openxmlformats.org/officeDocument/2006/relationships/hyperlink" Target="https://jira.atlnz.lc/secure/Tests.jspa" TargetMode="External"/><Relationship Id="rId514" Type="http://schemas.openxmlformats.org/officeDocument/2006/relationships/hyperlink" Target="http://10.32.16.105/systest/Reports/TestLink/SuiteExecC.php?plan=458186&amp;rep=F&amp;platform=178" TargetMode="External"/><Relationship Id="rId535" Type="http://schemas.openxmlformats.org/officeDocument/2006/relationships/hyperlink" Target="https://jira.atlnz.lc/secure/Tests.jspa" TargetMode="External"/><Relationship Id="rId88" Type="http://schemas.openxmlformats.org/officeDocument/2006/relationships/hyperlink" Target="https://jira.atlnz.lc/secure/Tests.jspa" TargetMode="External"/><Relationship Id="rId111" Type="http://schemas.openxmlformats.org/officeDocument/2006/relationships/hyperlink" Target="http://10.32.16.105/systest/Reports/TestLink/SuiteExecC.php?plan=301638&amp;rep=F&amp;platform=236" TargetMode="External"/><Relationship Id="rId132" Type="http://schemas.openxmlformats.org/officeDocument/2006/relationships/hyperlink" Target="http://10.32.16.105/systest/Reports/TestLink/SuiteExecC.php?plan=95977&amp;rep=F&amp;platform=172" TargetMode="External"/><Relationship Id="rId153" Type="http://schemas.openxmlformats.org/officeDocument/2006/relationships/hyperlink" Target="http://10.32.16.105/systest/Reports/TestLink/SuiteExecC.php?plan=158996&amp;rep=F&amp;platform=374" TargetMode="External"/><Relationship Id="rId174" Type="http://schemas.openxmlformats.org/officeDocument/2006/relationships/hyperlink" Target="http://10.32.16.105/systest/Reports/TestLink/SuiteExecC.php?plan=152235&amp;rep=F&amp;platform=178" TargetMode="External"/><Relationship Id="rId195" Type="http://schemas.openxmlformats.org/officeDocument/2006/relationships/hyperlink" Target="https://intranet.atlnz.lc/systest/Jira_Reports/testExecReport/jiraExecReport.php?testPlanKey=418&amp;projectKey=TQUALTCM&amp;Report=Report" TargetMode="External"/><Relationship Id="rId209" Type="http://schemas.openxmlformats.org/officeDocument/2006/relationships/hyperlink" Target="http://10.32.16.105/systest/Reports/TestLink/SuiteExecC.php?plan=152235&amp;rep=F&amp;platform=197" TargetMode="External"/><Relationship Id="rId360" Type="http://schemas.openxmlformats.org/officeDocument/2006/relationships/hyperlink" Target="https://jira.atlnz.lc/secure/Tests.jspa" TargetMode="External"/><Relationship Id="rId381" Type="http://schemas.openxmlformats.org/officeDocument/2006/relationships/hyperlink" Target="http://intranet.atlnz.lc/systest/Reports/TestLink/SuiteExecC.php?plan=486616&amp;rep=F&amp;platform=1225" TargetMode="External"/><Relationship Id="rId416" Type="http://schemas.openxmlformats.org/officeDocument/2006/relationships/hyperlink" Target="http://10.32.16.105/systest/Reports/TestLink/SuiteExecC.php?plan=481298&amp;rep=F&amp;platform=706" TargetMode="External"/><Relationship Id="rId220" Type="http://schemas.openxmlformats.org/officeDocument/2006/relationships/hyperlink" Target="http://10.32.16.105/systest/Reports/TestLink/SuiteExecC.php?plan=145783&amp;rep=F&amp;platform=199" TargetMode="External"/><Relationship Id="rId241" Type="http://schemas.openxmlformats.org/officeDocument/2006/relationships/hyperlink" Target="https://jira.atlnz.lc/secure/Tests.jspa" TargetMode="External"/><Relationship Id="rId437" Type="http://schemas.openxmlformats.org/officeDocument/2006/relationships/hyperlink" Target="http://10.32.16.105/systest/Reports/TestLink/SuiteExecC.php?plan=481298&amp;rep=F&amp;platform=200" TargetMode="External"/><Relationship Id="rId458" Type="http://schemas.openxmlformats.org/officeDocument/2006/relationships/hyperlink" Target="http://10.32.16.105/systest/Reports/TestLink/SuiteExecC.php?plan=481300&amp;rep=F&amp;platform=192" TargetMode="External"/><Relationship Id="rId479" Type="http://schemas.openxmlformats.org/officeDocument/2006/relationships/hyperlink" Target="http://10.32.16.105/systest/Reports/TestLink/SuiteExecC.php?plan=481300&amp;rep=F&amp;platform=390" TargetMode="External"/><Relationship Id="rId15" Type="http://schemas.openxmlformats.org/officeDocument/2006/relationships/hyperlink" Target="https://jira.atlnz.lc/secure/Tests.jspa" TargetMode="External"/><Relationship Id="rId36" Type="http://schemas.openxmlformats.org/officeDocument/2006/relationships/hyperlink" Target="https://jira.atlnz.lc/secure/Tests.jspa" TargetMode="External"/><Relationship Id="rId57" Type="http://schemas.openxmlformats.org/officeDocument/2006/relationships/hyperlink" Target="https://intranet.atlnz.lc/systest/Jira_Reports/testExecReport/jiraExecReport.php?testPlanKey=53&amp;projectKey=TQUALTCM&amp;Report=Report" TargetMode="External"/><Relationship Id="rId262" Type="http://schemas.openxmlformats.org/officeDocument/2006/relationships/hyperlink" Target="http://intranet.atlnz.lc/systest/Reports/TestLink/SuiteExecC.php?plan=486389&amp;rep=f&amp;platform=1144" TargetMode="External"/><Relationship Id="rId283" Type="http://schemas.openxmlformats.org/officeDocument/2006/relationships/hyperlink" Target="https://jira.atlnz.lc/secure/Tests.jspa" TargetMode="External"/><Relationship Id="rId318" Type="http://schemas.openxmlformats.org/officeDocument/2006/relationships/hyperlink" Target="http://10.32.16.105/systest/Reports/TestLink/SuiteExecC.php?plan=467281&amp;rep=F&amp;platform=390" TargetMode="External"/><Relationship Id="rId339" Type="http://schemas.openxmlformats.org/officeDocument/2006/relationships/hyperlink" Target="https://jira.atlnz.lc/secure/Tests.jspa" TargetMode="External"/><Relationship Id="rId490" Type="http://schemas.openxmlformats.org/officeDocument/2006/relationships/hyperlink" Target="https://wallace4.atlnz.lc/systest/Jira_Reports/testExecReport/jiraExecReport_wallace4.php?testPlanKey=496&amp;projectKey=TQUALTCM&amp;Report=Report" TargetMode="External"/><Relationship Id="rId504" Type="http://schemas.openxmlformats.org/officeDocument/2006/relationships/hyperlink" Target="https://wallace4.atlnz.lc/systest/Jira_Reports/testExecReport/jiraExecReport_wallace4.php?testPlanKey=189&amp;projectKey=TQUALTCM&amp;Report=Report" TargetMode="External"/><Relationship Id="rId525" Type="http://schemas.openxmlformats.org/officeDocument/2006/relationships/hyperlink" Target="https://jira.atlnz.lc/secure/Tests.jspa" TargetMode="External"/><Relationship Id="rId78" Type="http://schemas.openxmlformats.org/officeDocument/2006/relationships/hyperlink" Target="http://10.32.16.105/systest/Reports/TestLink/SuiteExecC.php?plan=158999&amp;rep=F&amp;platform=196" TargetMode="External"/><Relationship Id="rId99" Type="http://schemas.openxmlformats.org/officeDocument/2006/relationships/hyperlink" Target="http://10.32.16.105/systest/Reports/TestLink/SuiteExecC.php?plan=152235&amp;rep=F&amp;platform=321" TargetMode="External"/><Relationship Id="rId101" Type="http://schemas.openxmlformats.org/officeDocument/2006/relationships/hyperlink" Target="http://10.32.16.105/systest/Reports/TestLink/SuiteExecC.php?plan=123556&amp;rep=F&amp;platform=207" TargetMode="External"/><Relationship Id="rId122" Type="http://schemas.openxmlformats.org/officeDocument/2006/relationships/hyperlink" Target="http://10.32.16.105/systest/Reports/TestLink/SuiteExecC.php?plan=453983&amp;rep=F&amp;platform=189" TargetMode="External"/><Relationship Id="rId143" Type="http://schemas.openxmlformats.org/officeDocument/2006/relationships/hyperlink" Target="http://10.32.16.105/systest/Reports/TestLink/SuiteExecC.php?plan=453983&amp;rep=F&amp;platform=193" TargetMode="External"/><Relationship Id="rId164" Type="http://schemas.openxmlformats.org/officeDocument/2006/relationships/hyperlink" Target="http://intranet.alliedtelesyn.co.nz/systest/Reports/TestLink/SuiteExecC.php?plan=90597&amp;rep=f" TargetMode="External"/><Relationship Id="rId185" Type="http://schemas.openxmlformats.org/officeDocument/2006/relationships/hyperlink" Target="http://10.32.16.105/systest/Reports/TestLink/SuiteExecC.php?plan=459219&amp;rep=F&amp;platform=695" TargetMode="External"/><Relationship Id="rId350" Type="http://schemas.openxmlformats.org/officeDocument/2006/relationships/hyperlink" Target="https://jira.atlnz.lc/secure/Tests.jspa" TargetMode="External"/><Relationship Id="rId371" Type="http://schemas.openxmlformats.org/officeDocument/2006/relationships/hyperlink" Target="http://10.32.16.105/systest/Reports/TestLink/SuiteExecC.php?plan=481298&amp;rep=F&amp;platform=407" TargetMode="External"/><Relationship Id="rId406" Type="http://schemas.openxmlformats.org/officeDocument/2006/relationships/hyperlink" Target="http://10.32.16.105/systest/Reports/TestLink/SuiteExecC.php?plan=481298&amp;rep=F&amp;platform=1200" TargetMode="External"/><Relationship Id="rId9" Type="http://schemas.openxmlformats.org/officeDocument/2006/relationships/hyperlink" Target="http://10.32.16.105/systest/Reports/TestLink/SuiteExecC.php?plan=481299&amp;rep=F&amp;platform=703" TargetMode="External"/><Relationship Id="rId210" Type="http://schemas.openxmlformats.org/officeDocument/2006/relationships/hyperlink" Target="http://10.32.16.105/systest/Reports/TestLink/SuiteExecC.php?plan=69884" TargetMode="External"/><Relationship Id="rId392" Type="http://schemas.openxmlformats.org/officeDocument/2006/relationships/hyperlink" Target="http://10.32.16.105/systest/Reports/TestLink/SuiteExecC.php?plan=481298&amp;rep=F&amp;platform=407" TargetMode="External"/><Relationship Id="rId427" Type="http://schemas.openxmlformats.org/officeDocument/2006/relationships/hyperlink" Target="https://jira.atlnz.lc/secure/Tests.jspa" TargetMode="External"/><Relationship Id="rId448" Type="http://schemas.openxmlformats.org/officeDocument/2006/relationships/hyperlink" Target="http://10.32.16.105/systest/Reports/TestLink/SuiteExecC.php?plan=481300&amp;rep=F&amp;platform=204" TargetMode="External"/><Relationship Id="rId469" Type="http://schemas.openxmlformats.org/officeDocument/2006/relationships/hyperlink" Target="http://10.32.16.105/systest/Reports/TestLink/SuiteExecC.php?plan=481300&amp;rep=F&amp;platform=1144" TargetMode="External"/><Relationship Id="rId26" Type="http://schemas.openxmlformats.org/officeDocument/2006/relationships/hyperlink" Target="http://10.32.16.105/systest/Reports/TestLink/SuiteExecC.php?plan=144377&amp;rep=F&amp;platform=195" TargetMode="External"/><Relationship Id="rId231" Type="http://schemas.openxmlformats.org/officeDocument/2006/relationships/hyperlink" Target="http://intranet.alliedtelesyn.co.nz/systest/Reports/TestLink/SuiteExecC.php?plan=95983&amp;rep=f" TargetMode="External"/><Relationship Id="rId252" Type="http://schemas.openxmlformats.org/officeDocument/2006/relationships/hyperlink" Target="http://10.32.16.105/systest/Reports/TestLink/SuiteExecC.php?plan=312671&amp;rep=F&amp;platform=236" TargetMode="External"/><Relationship Id="rId273" Type="http://schemas.openxmlformats.org/officeDocument/2006/relationships/hyperlink" Target="http://10.32.16.105/systest/Reports/TestLink/SuiteExecC.php?plan=458186&amp;rep=F&amp;platform=190" TargetMode="External"/><Relationship Id="rId294" Type="http://schemas.openxmlformats.org/officeDocument/2006/relationships/hyperlink" Target="https://jira.atlnz.lc/secure/Tests.jspa" TargetMode="External"/><Relationship Id="rId308" Type="http://schemas.openxmlformats.org/officeDocument/2006/relationships/hyperlink" Target="http://10.32.16.105/systest/Reports/TestLink/SuiteExecC.php?plan=467281&amp;rep=F&amp;platform=1144" TargetMode="External"/><Relationship Id="rId329" Type="http://schemas.openxmlformats.org/officeDocument/2006/relationships/hyperlink" Target="https://jira.atlnz.lc/secure/Tests.jspa" TargetMode="External"/><Relationship Id="rId480" Type="http://schemas.openxmlformats.org/officeDocument/2006/relationships/hyperlink" Target="http://10.32.16.105/systest/Reports/TestLink/SuiteExecC.php?plan=481300&amp;rep=F&amp;platform=1211" TargetMode="External"/><Relationship Id="rId515" Type="http://schemas.openxmlformats.org/officeDocument/2006/relationships/hyperlink" Target="http://10.32.16.105/systest/Reports/TestLink/SuiteExecC.php?plan=458186&amp;rep=F&amp;platform=330" TargetMode="External"/><Relationship Id="rId536" Type="http://schemas.openxmlformats.org/officeDocument/2006/relationships/hyperlink" Target="https://jira.atlnz.lc/secure/Tests.jspa" TargetMode="External"/><Relationship Id="rId47" Type="http://schemas.openxmlformats.org/officeDocument/2006/relationships/hyperlink" Target="https://intranet.atlnz.lc/systest/Jira_Reports/testExecReport/jiraExecReport.php?testPlanKey=35&amp;projectKey=TQUALTCM&amp;Report=Report" TargetMode="External"/><Relationship Id="rId68" Type="http://schemas.openxmlformats.org/officeDocument/2006/relationships/hyperlink" Target="http://10.32.16.105/systest/Reports/TestLink/SuiteExecC.php?plan=145783&amp;rep=F&amp;platform=330" TargetMode="External"/><Relationship Id="rId89" Type="http://schemas.openxmlformats.org/officeDocument/2006/relationships/hyperlink" Target="http://10.32.16.105/systest/Reports/TestLink/SuiteExecC.php?plan=458186&amp;rep=F&amp;platform=321" TargetMode="External"/><Relationship Id="rId112" Type="http://schemas.openxmlformats.org/officeDocument/2006/relationships/hyperlink" Target="http://10.32.16.105/systest/Reports/TestLink/SuiteExecC.php?plan=301638&amp;rep=F&amp;platform=326" TargetMode="External"/><Relationship Id="rId133" Type="http://schemas.openxmlformats.org/officeDocument/2006/relationships/hyperlink" Target="http://10.32.16.105/systest/Reports/TestLink/SuiteExecC.php?plan=95977&amp;rep=F&amp;platform=204" TargetMode="External"/><Relationship Id="rId154" Type="http://schemas.openxmlformats.org/officeDocument/2006/relationships/hyperlink" Target="http://10.32.16.105/systest/Reports/TestLink/SuiteExecC.php?plan=138623&amp;rep=F&amp;platform=172" TargetMode="External"/><Relationship Id="rId175" Type="http://schemas.openxmlformats.org/officeDocument/2006/relationships/hyperlink" Target="http://10.32.16.105/systest/Reports/TestLink/SuiteExecC.php?plan=129269&amp;rep=F&amp;platform=98" TargetMode="External"/><Relationship Id="rId340" Type="http://schemas.openxmlformats.org/officeDocument/2006/relationships/hyperlink" Target="http://10.32.16.105/systest/Reports/TestLink/SuiteExecC.php?plan=453983&amp;rep=F&amp;platform=177" TargetMode="External"/><Relationship Id="rId361" Type="http://schemas.openxmlformats.org/officeDocument/2006/relationships/hyperlink" Target="https://jira.atlnz.lc/secure/Tests.jspa" TargetMode="External"/><Relationship Id="rId196" Type="http://schemas.openxmlformats.org/officeDocument/2006/relationships/hyperlink" Target="https://jira.atlnz.lc/secure/Tests.jspa" TargetMode="External"/><Relationship Id="rId200" Type="http://schemas.openxmlformats.org/officeDocument/2006/relationships/hyperlink" Target="https://jira.atlnz.lc/secure/Tests.jspa" TargetMode="External"/><Relationship Id="rId382" Type="http://schemas.openxmlformats.org/officeDocument/2006/relationships/hyperlink" Target="http://10.32.16.105/systest/Reports/TestLink/SuiteExecC.php?plan=481299&amp;rep=F&amp;platform=390" TargetMode="External"/><Relationship Id="rId417" Type="http://schemas.openxmlformats.org/officeDocument/2006/relationships/hyperlink" Target="http://10.32.16.105/systest/Reports/TestLink/SuiteExecC.php?plan=481298&amp;rep=F&amp;platform=236" TargetMode="External"/><Relationship Id="rId438" Type="http://schemas.openxmlformats.org/officeDocument/2006/relationships/hyperlink" Target="https://jira.atlnz.lc/secure/Tests.jspa" TargetMode="External"/><Relationship Id="rId459" Type="http://schemas.openxmlformats.org/officeDocument/2006/relationships/hyperlink" Target="https://jira.atlnz.lc/secure/Tests.jspa" TargetMode="External"/><Relationship Id="rId16" Type="http://schemas.openxmlformats.org/officeDocument/2006/relationships/hyperlink" Target="http://10.32.16.105/systest/Reports/TestLink/SuiteExecC.php?plan=453983&amp;rep=F&amp;platform=178" TargetMode="External"/><Relationship Id="rId221" Type="http://schemas.openxmlformats.org/officeDocument/2006/relationships/hyperlink" Target="http://10.32.16.105/systest/Reports/TestLink/SuiteExecC.php?plan=95985&amp;rep=F&amp;platform=200" TargetMode="External"/><Relationship Id="rId242" Type="http://schemas.openxmlformats.org/officeDocument/2006/relationships/hyperlink" Target="https://jira.atlnz.lc/secure/Tests.jspa" TargetMode="External"/><Relationship Id="rId263" Type="http://schemas.openxmlformats.org/officeDocument/2006/relationships/hyperlink" Target="https://jira.atlnz.lc/secure/Tests.jspa" TargetMode="External"/><Relationship Id="rId284" Type="http://schemas.openxmlformats.org/officeDocument/2006/relationships/hyperlink" Target="https://jira.atlnz.lc/secure/Tests.jspa" TargetMode="External"/><Relationship Id="rId319" Type="http://schemas.openxmlformats.org/officeDocument/2006/relationships/hyperlink" Target="http://10.32.16.105/systest/Reports/TestLink/SuiteExecC.php?plan=480293&amp;rep=F&amp;platform=1144" TargetMode="External"/><Relationship Id="rId470" Type="http://schemas.openxmlformats.org/officeDocument/2006/relationships/hyperlink" Target="http://10.32.16.105/systest/Reports/TestLink/SuiteExecC.php?plan=481300&amp;rep=F&amp;platform=407" TargetMode="External"/><Relationship Id="rId491" Type="http://schemas.openxmlformats.org/officeDocument/2006/relationships/hyperlink" Target="https://wallace4.atlnz.lc/systest/Jira_Reports/testExecReport/jiraExecReport_wallace4.php?testPlanKey=175&amp;projectKey=TQUALTCM&amp;Report=Report" TargetMode="External"/><Relationship Id="rId505" Type="http://schemas.openxmlformats.org/officeDocument/2006/relationships/hyperlink" Target="https://intranet.atlnz.lc/systest/Jira_Reports/testExecReport/jiraExecReport.php?testPlanKey=466&amp;projectKey=TQUALTCM&amp;Report=Report" TargetMode="External"/><Relationship Id="rId526" Type="http://schemas.openxmlformats.org/officeDocument/2006/relationships/hyperlink" Target="https://wallace4.atlnz.lc/systest/Jira_Reports/testExecReport/jiraExecReport_wallace4.php?testPlanKey=570&amp;projectKey=TQUALTCM&amp;Report=Report" TargetMode="External"/><Relationship Id="rId37" Type="http://schemas.openxmlformats.org/officeDocument/2006/relationships/hyperlink" Target="http://10.32.16.105/systest/Reports/TestLink/SuiteExecC.php?plan=309151&amp;rep=F&amp;platform=177" TargetMode="External"/><Relationship Id="rId58" Type="http://schemas.openxmlformats.org/officeDocument/2006/relationships/hyperlink" Target="http://10.32.16.105/systest/Reports/TestLink/SuiteExecC.php?plan=309151&amp;rep=F&amp;platform=330" TargetMode="External"/><Relationship Id="rId79" Type="http://schemas.openxmlformats.org/officeDocument/2006/relationships/hyperlink" Target="http://10.32.16.105/systest/Reports/TestLink/SuiteExecC.php?plan=144377&amp;rep=F&amp;platform=196" TargetMode="External"/><Relationship Id="rId102" Type="http://schemas.openxmlformats.org/officeDocument/2006/relationships/hyperlink" Target="http://10.32.16.105/systest/Reports/TestLink/SuiteExecC.php?plan=309151&amp;rep=F&amp;platform=191" TargetMode="External"/><Relationship Id="rId123" Type="http://schemas.openxmlformats.org/officeDocument/2006/relationships/hyperlink" Target="http://10.32.16.105/systest/Reports/TestLink/SuiteExecC.php?plan=453983&amp;rep=F&amp;platform=189" TargetMode="External"/><Relationship Id="rId144" Type="http://schemas.openxmlformats.org/officeDocument/2006/relationships/hyperlink" Target="http://10.32.16.105/systest/Reports/TestLink/SuiteExecC.php?plan=480293&amp;rep=F&amp;platform=193" TargetMode="External"/><Relationship Id="rId330" Type="http://schemas.openxmlformats.org/officeDocument/2006/relationships/hyperlink" Target="http://10.32.16.105/systest/Reports/TestLink/SuiteExecC.php?plan=142343&amp;rep=F&amp;platform=177" TargetMode="External"/><Relationship Id="rId90" Type="http://schemas.openxmlformats.org/officeDocument/2006/relationships/hyperlink" Target="https://jira.atlnz.lc/secure/Tests.jspa" TargetMode="External"/><Relationship Id="rId165" Type="http://schemas.openxmlformats.org/officeDocument/2006/relationships/hyperlink" Target="http://10.32.16.105/systest/Reports/TestLink/SuiteExecC.php?plan=152235&amp;rep=F&amp;platform=191" TargetMode="External"/><Relationship Id="rId186" Type="http://schemas.openxmlformats.org/officeDocument/2006/relationships/hyperlink" Target="http://10.32.16.105/systest/Reports/TestLink/SuiteExecC.php?plan=183619&amp;rep=F&amp;platform=172" TargetMode="External"/><Relationship Id="rId351" Type="http://schemas.openxmlformats.org/officeDocument/2006/relationships/hyperlink" Target="https://jira.atlnz.lc/secure/Tests.jspa" TargetMode="External"/><Relationship Id="rId372" Type="http://schemas.openxmlformats.org/officeDocument/2006/relationships/hyperlink" Target="https://jira.atlnz.lc/secure/Tests.jspa" TargetMode="External"/><Relationship Id="rId393" Type="http://schemas.openxmlformats.org/officeDocument/2006/relationships/hyperlink" Target="https://jira.atlnz.lc/secure/Tests.jspa" TargetMode="External"/><Relationship Id="rId407" Type="http://schemas.openxmlformats.org/officeDocument/2006/relationships/hyperlink" Target="https://jira.atlnz.lc/secure/Tests.jspa" TargetMode="External"/><Relationship Id="rId428" Type="http://schemas.openxmlformats.org/officeDocument/2006/relationships/hyperlink" Target="http://10.32.16.105/systest/Reports/TestLink/SuiteExecC.php?plan=481298&amp;rep=F&amp;platform=391" TargetMode="External"/><Relationship Id="rId449" Type="http://schemas.openxmlformats.org/officeDocument/2006/relationships/hyperlink" Target="http://10.32.16.105/systest/Reports/TestLink/SuiteExecC.php?plan=481300&amp;rep=F&amp;platform=172" TargetMode="External"/><Relationship Id="rId211" Type="http://schemas.openxmlformats.org/officeDocument/2006/relationships/hyperlink" Target="https://jira.atlnz.lc/secure/Tests.jspa" TargetMode="External"/><Relationship Id="rId232" Type="http://schemas.openxmlformats.org/officeDocument/2006/relationships/hyperlink" Target="http://10.32.16.105/systest/Reports/TestLink/SuiteExecC.php?plan=142343&amp;rep=F&amp;platform=198" TargetMode="External"/><Relationship Id="rId253" Type="http://schemas.openxmlformats.org/officeDocument/2006/relationships/hyperlink" Target="http://10.32.16.105/systest/Reports/TestLink/SuiteExecC.php?plan=312671&amp;rep=F&amp;platform=200" TargetMode="External"/><Relationship Id="rId274" Type="http://schemas.openxmlformats.org/officeDocument/2006/relationships/hyperlink" Target="https://jira.atlnz.lc/secure/Tests.jspa" TargetMode="External"/><Relationship Id="rId295" Type="http://schemas.openxmlformats.org/officeDocument/2006/relationships/hyperlink" Target="https://jira.atlnz.lc/secure/Tests.jspa" TargetMode="External"/><Relationship Id="rId309" Type="http://schemas.openxmlformats.org/officeDocument/2006/relationships/hyperlink" Target="http://10.32.16.105/systest/Reports/TestLink/SuiteExecC.php?plan=467281&amp;rep=F&amp;platform=407" TargetMode="External"/><Relationship Id="rId460" Type="http://schemas.openxmlformats.org/officeDocument/2006/relationships/hyperlink" Target="http://10.32.16.105/systest/Reports/TestLink/SuiteExecC.php?plan=481300&amp;rep=F&amp;platform=390" TargetMode="External"/><Relationship Id="rId481" Type="http://schemas.openxmlformats.org/officeDocument/2006/relationships/hyperlink" Target="https://jira.atlnz.lc/secure/Tests.jspa" TargetMode="External"/><Relationship Id="rId516" Type="http://schemas.openxmlformats.org/officeDocument/2006/relationships/hyperlink" Target="http://10.32.16.105/systest/Reports/TestLink/SuiteExecC.php?plan=458186&amp;rep=F&amp;platform=321" TargetMode="External"/><Relationship Id="rId27" Type="http://schemas.openxmlformats.org/officeDocument/2006/relationships/hyperlink" Target="https://jira.atlnz.lc/secure/Tests.jspa" TargetMode="External"/><Relationship Id="rId48" Type="http://schemas.openxmlformats.org/officeDocument/2006/relationships/hyperlink" Target="https://intranet.atlnz.lc/systest/Jira_Reports/testExecReport/jiraExecReport.php?testPlanKey=275&amp;projectKey=TQUALTCM&amp;Report=Report" TargetMode="External"/><Relationship Id="rId69" Type="http://schemas.openxmlformats.org/officeDocument/2006/relationships/hyperlink" Target="http://10.32.16.105/systest/Reports/TestLink/SuiteExecC.php?plan=144377&amp;rep=F&amp;platform=706" TargetMode="External"/><Relationship Id="rId113" Type="http://schemas.openxmlformats.org/officeDocument/2006/relationships/hyperlink" Target="https://jira.atlnz.lc/secure/Tests.jspa" TargetMode="External"/><Relationship Id="rId134" Type="http://schemas.openxmlformats.org/officeDocument/2006/relationships/hyperlink" Target="http://10.32.16.105/systest/Reports/TestLink/SuiteExecC.php?plan=95977&amp;rep=F&amp;platform=99" TargetMode="External"/><Relationship Id="rId320" Type="http://schemas.openxmlformats.org/officeDocument/2006/relationships/hyperlink" Target="https://jira.atlnz.lc/secure/Tests.jspa" TargetMode="External"/><Relationship Id="rId537" Type="http://schemas.openxmlformats.org/officeDocument/2006/relationships/hyperlink" Target="https://jira.atlnz.lc/secure/Tests.jspa" TargetMode="External"/><Relationship Id="rId80" Type="http://schemas.openxmlformats.org/officeDocument/2006/relationships/hyperlink" Target="http://10.32.16.105/systest/Reports/TestLink/SuiteExecC.php?plan=459219&amp;rep=F&amp;platform=196" TargetMode="External"/><Relationship Id="rId155" Type="http://schemas.openxmlformats.org/officeDocument/2006/relationships/hyperlink" Target="http://10.32.16.105/systest/Reports/TestLink/SuiteExecC.php?plan=69594&amp;rep=F" TargetMode="External"/><Relationship Id="rId176" Type="http://schemas.openxmlformats.org/officeDocument/2006/relationships/hyperlink" Target="http://10.32.16.105/systest/Reports/TestLink/SuiteExecC.php?plan=129269&amp;rep=F&amp;platform=207" TargetMode="External"/><Relationship Id="rId197" Type="http://schemas.openxmlformats.org/officeDocument/2006/relationships/hyperlink" Target="https://jira.atlnz.lc/secure/Tests.jspa" TargetMode="External"/><Relationship Id="rId341" Type="http://schemas.openxmlformats.org/officeDocument/2006/relationships/hyperlink" Target="https://jira.atlnz.lc/secure/Tests.jspa" TargetMode="External"/><Relationship Id="rId362" Type="http://schemas.openxmlformats.org/officeDocument/2006/relationships/hyperlink" Target="https://jira.atlnz.lc/secure/Tests.jspa" TargetMode="External"/><Relationship Id="rId383" Type="http://schemas.openxmlformats.org/officeDocument/2006/relationships/hyperlink" Target="http://10.32.16.105/systest/Reports/TestLink/SuiteExecC.php?plan=481299&amp;rep=F&amp;platform=1211" TargetMode="External"/><Relationship Id="rId418" Type="http://schemas.openxmlformats.org/officeDocument/2006/relationships/hyperlink" Target="http://10.32.16.105/systest/Reports/TestLink/SuiteExecC.php?plan=481298&amp;rep=F&amp;platform=200" TargetMode="External"/><Relationship Id="rId439" Type="http://schemas.openxmlformats.org/officeDocument/2006/relationships/hyperlink" Target="http://10.32.16.105/systest/Reports/TestLink/SuiteExecC.php?plan=481298&amp;rep=F&amp;platform=1145" TargetMode="External"/><Relationship Id="rId201" Type="http://schemas.openxmlformats.org/officeDocument/2006/relationships/hyperlink" Target="http://10.32.16.105/systest/Reports/TestLink/SuiteExecC.php?plan=158999&amp;rep=F&amp;platform=375" TargetMode="External"/><Relationship Id="rId222" Type="http://schemas.openxmlformats.org/officeDocument/2006/relationships/hyperlink" Target="https://jira.atlnz.lc/secure/Tests.jspa" TargetMode="External"/><Relationship Id="rId243" Type="http://schemas.openxmlformats.org/officeDocument/2006/relationships/hyperlink" Target="https://jira.atlnz.lc/secure/Tests.jspa" TargetMode="External"/><Relationship Id="rId264" Type="http://schemas.openxmlformats.org/officeDocument/2006/relationships/hyperlink" Target="http://intranet.alliedtelesyn.co.nz/systest/Reports/TestLink/SuiteExecC.php?plan=90590&amp;rep=f" TargetMode="External"/><Relationship Id="rId285" Type="http://schemas.openxmlformats.org/officeDocument/2006/relationships/hyperlink" Target="https://jira.atlnz.lc/secure/Tests.jspa" TargetMode="External"/><Relationship Id="rId450" Type="http://schemas.openxmlformats.org/officeDocument/2006/relationships/hyperlink" Target="http://10.32.16.105/systest/Reports/TestLink/SuiteExecC.php?plan=481300&amp;rep=F&amp;platform=1144" TargetMode="External"/><Relationship Id="rId471" Type="http://schemas.openxmlformats.org/officeDocument/2006/relationships/hyperlink" Target="https://jira.atlnz.lc/secure/Tests.jspa" TargetMode="External"/><Relationship Id="rId506" Type="http://schemas.openxmlformats.org/officeDocument/2006/relationships/hyperlink" Target="https://intranet.atlnz.lc/systest/Jira_Reports/testExecReport/jiraExecReport.php?testPlanKey=467&amp;projectKey=TQUALTCM&amp;Report=Report" TargetMode="External"/><Relationship Id="rId17" Type="http://schemas.openxmlformats.org/officeDocument/2006/relationships/hyperlink" Target="https://jira.atlnz.lc/secure/Tests.jspa" TargetMode="External"/><Relationship Id="rId38" Type="http://schemas.openxmlformats.org/officeDocument/2006/relationships/hyperlink" Target="http://10.32.16.105/systest/Reports/TestLink/SuiteExecC.php?plan=83081" TargetMode="External"/><Relationship Id="rId59" Type="http://schemas.openxmlformats.org/officeDocument/2006/relationships/hyperlink" Target="https://jira.atlnz.lc/secure/Tests.jspa" TargetMode="External"/><Relationship Id="rId103" Type="http://schemas.openxmlformats.org/officeDocument/2006/relationships/hyperlink" Target="http://10.32.16.105/systest/Reports/TestLink/SuiteExecC.php?plan=453983&amp;rep=F&amp;platform=191" TargetMode="External"/><Relationship Id="rId124" Type="http://schemas.openxmlformats.org/officeDocument/2006/relationships/hyperlink" Target="http://10.32.16.105/systest/Reports/TestLink/SuiteExecC.php?plan=480293&amp;rep=F&amp;platform=189" TargetMode="External"/><Relationship Id="rId310" Type="http://schemas.openxmlformats.org/officeDocument/2006/relationships/hyperlink" Target="https://jira.atlnz.lc/secure/Tests.jspa" TargetMode="External"/><Relationship Id="rId492" Type="http://schemas.openxmlformats.org/officeDocument/2006/relationships/hyperlink" Target="https://wallace4.atlnz.lc/systest/Jira_Reports/testExecReport/jiraExecReport_wallace4.php?testPlanKey=176&amp;projectKey=TQUALTCM&amp;Report=Report" TargetMode="External"/><Relationship Id="rId527" Type="http://schemas.openxmlformats.org/officeDocument/2006/relationships/hyperlink" Target="https://jira.atlnz.lc/secure/Tests.jspa" TargetMode="External"/><Relationship Id="rId70" Type="http://schemas.openxmlformats.org/officeDocument/2006/relationships/hyperlink" Target="http://10.32.16.105/systest/Reports/TestLink/SuiteExecC.php?plan=144377&amp;rep=F&amp;platform=326" TargetMode="External"/><Relationship Id="rId91" Type="http://schemas.openxmlformats.org/officeDocument/2006/relationships/hyperlink" Target="http://10.32.16.105/systest/Reports/TestLink/SuiteExecC.php?plan=123556&amp;rep=F&amp;platform=200" TargetMode="External"/><Relationship Id="rId145" Type="http://schemas.openxmlformats.org/officeDocument/2006/relationships/hyperlink" Target="http://10.32.16.105/systest/Reports/TestLink/SuiteExecC.php?plan=158998&amp;rep=F&amp;platform=193" TargetMode="External"/><Relationship Id="rId166" Type="http://schemas.openxmlformats.org/officeDocument/2006/relationships/hyperlink" Target="http://intranet.alliedtelesyn.co.nz/systest/Reports/TestLink/SuiteExecC.php?plan=90589&amp;rep=f" TargetMode="External"/><Relationship Id="rId187" Type="http://schemas.openxmlformats.org/officeDocument/2006/relationships/hyperlink" Target="http://10.32.16.105/systest/Reports/TestLink/SuiteExecC.php?plan=183619&amp;rep=F&amp;platform=204" TargetMode="External"/><Relationship Id="rId331" Type="http://schemas.openxmlformats.org/officeDocument/2006/relationships/hyperlink" Target="http://10.32.16.105/systest/Reports/TestLink/SuiteExecC.php?plan=308258&amp;rep=F&amp;platform=177" TargetMode="External"/><Relationship Id="rId352" Type="http://schemas.openxmlformats.org/officeDocument/2006/relationships/hyperlink" Target="https://jira.atlnz.lc/secure/Tests.jspa" TargetMode="External"/><Relationship Id="rId373" Type="http://schemas.openxmlformats.org/officeDocument/2006/relationships/hyperlink" Target="http://10.32.16.105/systest/Reports/TestLink/SuiteExecC.php?plan=481298&amp;rep=F&amp;platform=326" TargetMode="External"/><Relationship Id="rId394" Type="http://schemas.openxmlformats.org/officeDocument/2006/relationships/hyperlink" Target="http://10.32.16.105/systest/Reports/TestLink/SuiteExecC.php?plan=481298&amp;rep=F&amp;platform=326" TargetMode="External"/><Relationship Id="rId408" Type="http://schemas.openxmlformats.org/officeDocument/2006/relationships/hyperlink" Target="https://jira.atlnz.lc/secure/Tests.jspa" TargetMode="External"/><Relationship Id="rId429" Type="http://schemas.openxmlformats.org/officeDocument/2006/relationships/hyperlink" Target="http://10.32.16.105/systest/Reports/TestLink/SuiteExecC.php?plan=481298&amp;rep=F&amp;platform=204" TargetMode="External"/><Relationship Id="rId1" Type="http://schemas.openxmlformats.org/officeDocument/2006/relationships/hyperlink" Target="http://10.32.16.105/systest/Reports/TestLink/SuiteExecC.php?plan=481300&amp;rep=F&amp;platform=703" TargetMode="External"/><Relationship Id="rId212" Type="http://schemas.openxmlformats.org/officeDocument/2006/relationships/hyperlink" Target="http://intranet.alliedtelesyn.co.nz/systest/Reports/TestLink/SuiteExecC.php?plan=95982&amp;rep=f" TargetMode="External"/><Relationship Id="rId233" Type="http://schemas.openxmlformats.org/officeDocument/2006/relationships/hyperlink" Target="http://10.32.16.105/systest/Reports/TestLink/SuiteExecC.php?plan=308258&amp;rep=F&amp;platform=198" TargetMode="External"/><Relationship Id="rId254" Type="http://schemas.openxmlformats.org/officeDocument/2006/relationships/hyperlink" Target="https://jira.atlnz.lc/secure/Tests.jspa" TargetMode="External"/><Relationship Id="rId440" Type="http://schemas.openxmlformats.org/officeDocument/2006/relationships/hyperlink" Target="https://jira.atlnz.lc/secure/Tests.jspa" TargetMode="External"/><Relationship Id="rId28" Type="http://schemas.openxmlformats.org/officeDocument/2006/relationships/hyperlink" Target="http://10.32.16.105/systest/Reports/TestLink/SuiteExecC.php?plan=304663&amp;rep=F&amp;platform=407" TargetMode="External"/><Relationship Id="rId49" Type="http://schemas.openxmlformats.org/officeDocument/2006/relationships/hyperlink" Target="https://intranet.atlnz.lc/systest/Jira_Reports/testExecReport/jiraExecReport.php?testPlanKey=257&amp;projectKey=TQUALTCM&amp;Report=Report" TargetMode="External"/><Relationship Id="rId114" Type="http://schemas.openxmlformats.org/officeDocument/2006/relationships/hyperlink" Target="http://10.32.16.105/systest/Reports/TestLink/SuiteExecC.php?plan=301638&amp;rep=F&amp;platform=407" TargetMode="External"/><Relationship Id="rId275" Type="http://schemas.openxmlformats.org/officeDocument/2006/relationships/hyperlink" Target="http://10.32.16.105/systest/Reports/TestLink/SuiteExecC.php?plan=158996&amp;rep=F&amp;platform=190" TargetMode="External"/><Relationship Id="rId296" Type="http://schemas.openxmlformats.org/officeDocument/2006/relationships/hyperlink" Target="https://jira.atlnz.lc/secure/Tests.jspa" TargetMode="External"/><Relationship Id="rId300" Type="http://schemas.openxmlformats.org/officeDocument/2006/relationships/hyperlink" Target="https://jira.atlnz.lc/secure/Tests.jspa" TargetMode="External"/><Relationship Id="rId461" Type="http://schemas.openxmlformats.org/officeDocument/2006/relationships/hyperlink" Target="http://10.32.16.105/systest/Reports/TestLink/SuiteExecC.php?plan=481300&amp;rep=F&amp;platform=1211" TargetMode="External"/><Relationship Id="rId482" Type="http://schemas.openxmlformats.org/officeDocument/2006/relationships/hyperlink" Target="http://10.32.16.105/systest/Reports/TestLink/SuiteExecC.php?plan=481300&amp;rep=F&amp;platform=1200" TargetMode="External"/><Relationship Id="rId517" Type="http://schemas.openxmlformats.org/officeDocument/2006/relationships/hyperlink" Target="http://10.32.16.105/systest/Reports/TestLink/SuiteExecC.php?plan=458186&amp;rep=F&amp;platform=191" TargetMode="External"/><Relationship Id="rId538" Type="http://schemas.openxmlformats.org/officeDocument/2006/relationships/printerSettings" Target="../printerSettings/printerSettings3.bin"/><Relationship Id="rId60" Type="http://schemas.openxmlformats.org/officeDocument/2006/relationships/hyperlink" Target="http://10.32.16.105/systest/Reports/TestLink/SuiteExecC.php?plan=453983&amp;rep=F&amp;platform=330" TargetMode="External"/><Relationship Id="rId81" Type="http://schemas.openxmlformats.org/officeDocument/2006/relationships/hyperlink" Target="http://10.32.16.105/systest/Reports/TestLink/SuiteExecC.php?plan=121920&amp;rep=F&amp;platform=196" TargetMode="External"/><Relationship Id="rId135" Type="http://schemas.openxmlformats.org/officeDocument/2006/relationships/hyperlink" Target="http://10.32.16.105/systest/Reports/TestLink/SuiteExecC.php?plan=&amp;rep=F&amp;platform=207" TargetMode="External"/><Relationship Id="rId156" Type="http://schemas.openxmlformats.org/officeDocument/2006/relationships/hyperlink" Target="http://intranet.alliedtelesyn.co.nz/systest/Reports/TestLink/SuiteExecC.php?plan=79640&amp;rep=f" TargetMode="External"/><Relationship Id="rId177" Type="http://schemas.openxmlformats.org/officeDocument/2006/relationships/hyperlink" Target="http://10.32.16.105/systest/Reports/TestLink/SuiteExecC.php?plan=309151&amp;rep=F&amp;platform=695" TargetMode="External"/><Relationship Id="rId198" Type="http://schemas.openxmlformats.org/officeDocument/2006/relationships/hyperlink" Target="https://jira.atlnz.lc/secure/Tests.jspa" TargetMode="External"/><Relationship Id="rId321" Type="http://schemas.openxmlformats.org/officeDocument/2006/relationships/hyperlink" Target="http://10.32.16.105/systest/Reports/TestLink/SuiteExecC.php?plan=453983&amp;rep=F&amp;platform=1144" TargetMode="External"/><Relationship Id="rId342" Type="http://schemas.openxmlformats.org/officeDocument/2006/relationships/hyperlink" Target="https://jira.atlnz.lc/secure/Tests.jspa" TargetMode="External"/><Relationship Id="rId363" Type="http://schemas.openxmlformats.org/officeDocument/2006/relationships/hyperlink" Target="https://jira.atlnz.lc/secure/Tests.jspa" TargetMode="External"/><Relationship Id="rId384" Type="http://schemas.openxmlformats.org/officeDocument/2006/relationships/hyperlink" Target="https://jira.atlnz.lc/secure/Tests.jspa" TargetMode="External"/><Relationship Id="rId419" Type="http://schemas.openxmlformats.org/officeDocument/2006/relationships/hyperlink" Target="https://jira.atlnz.lc/secure/Tests.jspa" TargetMode="External"/><Relationship Id="rId202" Type="http://schemas.openxmlformats.org/officeDocument/2006/relationships/hyperlink" Target="http://intranet.alliedtelesyn.co.nz/systest/Reports/TestLink/SuiteExecC.php?plan=154044&amp;rep=f&amp;platform=172" TargetMode="External"/><Relationship Id="rId223" Type="http://schemas.openxmlformats.org/officeDocument/2006/relationships/hyperlink" Target="http://10.32.16.105/systest/Reports/TestLink/SuiteExecC.php?plan=458186&amp;rep=F&amp;platform=199" TargetMode="External"/><Relationship Id="rId244" Type="http://schemas.openxmlformats.org/officeDocument/2006/relationships/hyperlink" Target="https://jira.atlnz.lc/secure/Tests.jspa" TargetMode="External"/><Relationship Id="rId430" Type="http://schemas.openxmlformats.org/officeDocument/2006/relationships/hyperlink" Target="http://10.32.16.105/systest/Reports/TestLink/SuiteExecC.php?plan=481298&amp;rep=F&amp;platform=172" TargetMode="External"/><Relationship Id="rId18" Type="http://schemas.openxmlformats.org/officeDocument/2006/relationships/hyperlink" Target="http://10.32.16.105/systest/Reports/TestLink/SuiteExecC.php?plan=480293&amp;rep=F&amp;platform=178" TargetMode="External"/><Relationship Id="rId39" Type="http://schemas.openxmlformats.org/officeDocument/2006/relationships/hyperlink" Target="http://10.32.16.105/systest/Reports/TestLink/SuiteExecC.php?plan=467281&amp;rep=F&amp;platform=703" TargetMode="External"/><Relationship Id="rId265" Type="http://schemas.openxmlformats.org/officeDocument/2006/relationships/hyperlink" Target="http://intranet.alliedtelesyn.co.nz/systest/Reports/TestLink/SuiteExecC.php?plan=90598&amp;rep=f" TargetMode="External"/><Relationship Id="rId286" Type="http://schemas.openxmlformats.org/officeDocument/2006/relationships/hyperlink" Target="https://jira.atlnz.lc/secure/Tests.jspa" TargetMode="External"/><Relationship Id="rId451" Type="http://schemas.openxmlformats.org/officeDocument/2006/relationships/hyperlink" Target="http://10.32.16.105/systest/Reports/TestLink/SuiteExecC.php?plan=481300&amp;rep=F&amp;platform=407" TargetMode="External"/><Relationship Id="rId472" Type="http://schemas.openxmlformats.org/officeDocument/2006/relationships/hyperlink" Target="http://10.32.16.105/systest/Reports/TestLink/SuiteExecC.php?plan=481300&amp;rep=F&amp;platform=326" TargetMode="External"/><Relationship Id="rId493" Type="http://schemas.openxmlformats.org/officeDocument/2006/relationships/hyperlink" Target="https://wallace4.atlnz.lc/systest/Jira_Reports/testExecReport/jiraExecReport_wallace4.php?testPlanKey=177&amp;projectKey=TQUALTCM&amp;Report=Report" TargetMode="External"/><Relationship Id="rId507" Type="http://schemas.openxmlformats.org/officeDocument/2006/relationships/hyperlink" Target="https://intranet.atlnz.lc/systest/Jira_Reports/testExecReport/jiraExecReport.php?testPlanKey=547&amp;projectKey=TQUALTCM&amp;Report=Report" TargetMode="External"/><Relationship Id="rId528" Type="http://schemas.openxmlformats.org/officeDocument/2006/relationships/hyperlink" Target="https://intranet.atlnz.lc/systest/Jira_Reports/testExecReport/jiraExecReport.php?testPlanKey=619&amp;projectKey=TQUALTCM&amp;Report=Report" TargetMode="External"/><Relationship Id="rId50" Type="http://schemas.openxmlformats.org/officeDocument/2006/relationships/hyperlink" Target="https://intranet.atlnz.lc/systest/Jira_Reports/testExecReport/jiraExecReport.php?testPlanKey=259&amp;projectKey=TQUALTCM&amp;Report=Report" TargetMode="External"/><Relationship Id="rId104" Type="http://schemas.openxmlformats.org/officeDocument/2006/relationships/hyperlink" Target="https://jira.atlnz.lc/secure/Tests.jspa" TargetMode="External"/><Relationship Id="rId125" Type="http://schemas.openxmlformats.org/officeDocument/2006/relationships/hyperlink" Target="http://10.32.16.105/systest/Reports/TestLink/SuiteExecC.php?plan=158999&amp;rep=F&amp;platform=189" TargetMode="External"/><Relationship Id="rId146" Type="http://schemas.openxmlformats.org/officeDocument/2006/relationships/hyperlink" Target="http://10.32.16.105/systest/Reports/TestLink/SuiteExecC.php?plan=458186&amp;rep=F&amp;platform=193" TargetMode="External"/><Relationship Id="rId167" Type="http://schemas.openxmlformats.org/officeDocument/2006/relationships/hyperlink" Target="http://intranet.alliedtelesyn.co.nz/systest/Reports/TestLink/SuiteExecC.php?plan=90585&amp;rep=f" TargetMode="External"/><Relationship Id="rId188" Type="http://schemas.openxmlformats.org/officeDocument/2006/relationships/hyperlink" Target="http://10.32.16.105/systest/Reports/TestLink/SuiteExecC.php?plan=183619&amp;rep=F&amp;platform=391" TargetMode="External"/><Relationship Id="rId311" Type="http://schemas.openxmlformats.org/officeDocument/2006/relationships/hyperlink" Target="http://10.32.16.105/systest/Reports/TestLink/SuiteExecC.php?plan=467281&amp;rep=F&amp;platform=326" TargetMode="External"/><Relationship Id="rId332" Type="http://schemas.openxmlformats.org/officeDocument/2006/relationships/hyperlink" Target="http://10.32.16.105/systest/Reports/TestLink/SuiteExecC.php?plan=145783&amp;rep=F&amp;platform=177" TargetMode="External"/><Relationship Id="rId353" Type="http://schemas.openxmlformats.org/officeDocument/2006/relationships/hyperlink" Target="https://jira.atlnz.lc/secure/Tests.jspa" TargetMode="External"/><Relationship Id="rId374" Type="http://schemas.openxmlformats.org/officeDocument/2006/relationships/hyperlink" Target="http://10.32.16.105/systest/Reports/TestLink/SuiteExecC.php?plan=481299&amp;rep=F&amp;platform=706" TargetMode="External"/><Relationship Id="rId395" Type="http://schemas.openxmlformats.org/officeDocument/2006/relationships/hyperlink" Target="http://10.32.16.105/systest/Reports/TestLink/SuiteExecC.php?plan=481299&amp;rep=F&amp;platform=706" TargetMode="External"/><Relationship Id="rId409" Type="http://schemas.openxmlformats.org/officeDocument/2006/relationships/hyperlink" Target="http://10.32.16.105/systest/Reports/TestLink/SuiteExecC.php?plan=481298&amp;rep=F&amp;platform=391" TargetMode="External"/><Relationship Id="rId71" Type="http://schemas.openxmlformats.org/officeDocument/2006/relationships/hyperlink" Target="http://10.32.16.105/systest/Reports/TestLink/SuiteExecC.php?plan=191480&amp;rep=F&amp;platform=330" TargetMode="External"/><Relationship Id="rId92" Type="http://schemas.openxmlformats.org/officeDocument/2006/relationships/hyperlink" Target="http://10.32.16.105/systest/Reports/TestLink/SuiteExecC.php?plan=145783&amp;rep=F&amp;platform=321" TargetMode="External"/><Relationship Id="rId213" Type="http://schemas.openxmlformats.org/officeDocument/2006/relationships/hyperlink" Target="http://10.32.16.105/systest/Reports/TestLink/SuiteExecC.php?plan=191480&amp;rep=F&amp;platform=197" TargetMode="External"/><Relationship Id="rId234" Type="http://schemas.openxmlformats.org/officeDocument/2006/relationships/hyperlink" Target="http://10.32.16.105/systest/Reports/TestLink/SuiteExecC.php?plan=145783&amp;rep=F&amp;platform=198" TargetMode="External"/><Relationship Id="rId420" Type="http://schemas.openxmlformats.org/officeDocument/2006/relationships/hyperlink" Target="http://10.32.16.105/systest/Reports/TestLink/SuiteExecC.php?plan=481298&amp;rep=F&amp;platform=1145" TargetMode="External"/><Relationship Id="rId2" Type="http://schemas.openxmlformats.org/officeDocument/2006/relationships/hyperlink" Target="https://jira.atlnz.lc/secure/Tests.jspa" TargetMode="External"/><Relationship Id="rId29" Type="http://schemas.openxmlformats.org/officeDocument/2006/relationships/hyperlink" Target="http://10.32.16.105/systest/Reports/TestLink/SuiteExecC.php?plan=459219&amp;rep=F&amp;platform=195" TargetMode="External"/><Relationship Id="rId255" Type="http://schemas.openxmlformats.org/officeDocument/2006/relationships/hyperlink" Target="http://10.32.16.105/systest/Reports/TestLink/SuiteExecC.php?plan=458186&amp;rep=F&amp;platform=1105" TargetMode="External"/><Relationship Id="rId276" Type="http://schemas.openxmlformats.org/officeDocument/2006/relationships/hyperlink" Target="http://10.32.16.105/systest/Reports/TestLink/SuiteExecC.php?plan=480293&amp;rep=F&amp;platform=190" TargetMode="External"/><Relationship Id="rId297" Type="http://schemas.openxmlformats.org/officeDocument/2006/relationships/hyperlink" Target="https://jira.atlnz.lc/secure/Tests.jspa" TargetMode="External"/><Relationship Id="rId441" Type="http://schemas.openxmlformats.org/officeDocument/2006/relationships/hyperlink" Target="http://10.32.16.105/systest/Reports/TestLink/SuiteExecC.php?plan=481298&amp;rep=F&amp;platform=390" TargetMode="External"/><Relationship Id="rId462" Type="http://schemas.openxmlformats.org/officeDocument/2006/relationships/hyperlink" Target="https://jira.atlnz.lc/secure/Tests.jspa" TargetMode="External"/><Relationship Id="rId483" Type="http://schemas.openxmlformats.org/officeDocument/2006/relationships/hyperlink" Target="https://jira.atlnz.lc/secure/Tests.jspa" TargetMode="External"/><Relationship Id="rId518" Type="http://schemas.openxmlformats.org/officeDocument/2006/relationships/hyperlink" Target="http://10.32.16.105/systest/Reports/TestLink/SuiteExecC.php?plan=458186&amp;rep=F&amp;platform=189" TargetMode="External"/><Relationship Id="rId539" Type="http://schemas.openxmlformats.org/officeDocument/2006/relationships/vmlDrawing" Target="../drawings/vmlDrawing3.vml"/><Relationship Id="rId40" Type="http://schemas.openxmlformats.org/officeDocument/2006/relationships/hyperlink" Target="http://10.32.16.105/systest/Reports/TestLink/SuiteExecC.php?plan=467281&amp;rep=F&amp;platform=207" TargetMode="External"/><Relationship Id="rId115" Type="http://schemas.openxmlformats.org/officeDocument/2006/relationships/hyperlink" Target="http://10.32.16.105/systest/Reports/TestLink/SuiteExecC.php?plan=459219&amp;rep=F&amp;platform=191" TargetMode="External"/><Relationship Id="rId136" Type="http://schemas.openxmlformats.org/officeDocument/2006/relationships/hyperlink" Target="http://intranet.alliedtelesyn.co.nz/systest/Reports/TestLink/SuiteExecC.php?plan=70957&amp;rep=f" TargetMode="External"/><Relationship Id="rId157" Type="http://schemas.openxmlformats.org/officeDocument/2006/relationships/hyperlink" Target="http://intranet.alliedtelesyn.co.nz/systest/Reports/TestLink/SuiteExecC.php?plan=55750&amp;rep=f" TargetMode="External"/><Relationship Id="rId178" Type="http://schemas.openxmlformats.org/officeDocument/2006/relationships/hyperlink" Target="http://10.32.16.105/systest/Reports/TestLink/SuiteExecC.php?plan=158999&amp;rep=F&amp;platform=177" TargetMode="External"/><Relationship Id="rId301" Type="http://schemas.openxmlformats.org/officeDocument/2006/relationships/hyperlink" Target="https://jira.atlnz.lc/secure/Tests.jspa" TargetMode="External"/><Relationship Id="rId322" Type="http://schemas.openxmlformats.org/officeDocument/2006/relationships/hyperlink" Target="https://jira.atlnz.lc/secure/Tests.jspa" TargetMode="External"/><Relationship Id="rId343" Type="http://schemas.openxmlformats.org/officeDocument/2006/relationships/hyperlink" Target="https://jira.atlnz.lc/secure/Tests.jspa" TargetMode="External"/><Relationship Id="rId364" Type="http://schemas.openxmlformats.org/officeDocument/2006/relationships/hyperlink" Target="https://jira.atlnz.lc/secure/Tests.jspa" TargetMode="External"/><Relationship Id="rId61" Type="http://schemas.openxmlformats.org/officeDocument/2006/relationships/hyperlink" Target="https://jira.atlnz.lc/secure/Tests.jspa" TargetMode="External"/><Relationship Id="rId82" Type="http://schemas.openxmlformats.org/officeDocument/2006/relationships/hyperlink" Target="http://10.32.16.105/systest/Reports/TestLink/SuiteExecC.php?plan=309151&amp;rep=F&amp;platform=321" TargetMode="External"/><Relationship Id="rId199" Type="http://schemas.openxmlformats.org/officeDocument/2006/relationships/hyperlink" Target="https://jira.atlnz.lc/secure/Tests.jspa" TargetMode="External"/><Relationship Id="rId203" Type="http://schemas.openxmlformats.org/officeDocument/2006/relationships/hyperlink" Target="http://intranet.alliedtelesyn.co.nz/systest/Reports/TestLink/SuiteExecC.php?plan=55756&amp;rep=f" TargetMode="External"/><Relationship Id="rId385" Type="http://schemas.openxmlformats.org/officeDocument/2006/relationships/hyperlink" Target="http://10.32.16.105/systest/Reports/TestLink/SuiteExecC.php?plan=481298&amp;rep=F&amp;platform=1200" TargetMode="External"/><Relationship Id="rId19" Type="http://schemas.openxmlformats.org/officeDocument/2006/relationships/hyperlink" Target="http://10.32.16.105/systest/Reports/TestLink/SuiteExecC.php?plan=158997&amp;rep=F&amp;platform=195" TargetMode="External"/><Relationship Id="rId224" Type="http://schemas.openxmlformats.org/officeDocument/2006/relationships/hyperlink" Target="https://jira.atlnz.lc/secure/Tests.jspa" TargetMode="External"/><Relationship Id="rId245" Type="http://schemas.openxmlformats.org/officeDocument/2006/relationships/hyperlink" Target="https://jira.atlnz.lc/secure/Tests.jspa" TargetMode="External"/><Relationship Id="rId266" Type="http://schemas.openxmlformats.org/officeDocument/2006/relationships/hyperlink" Target="http://intranet.alliedtelesyn.co.nz/systest/Reports/TestLink/SuiteExecC.php?plan=121920&amp;rep=f" TargetMode="External"/><Relationship Id="rId287" Type="http://schemas.openxmlformats.org/officeDocument/2006/relationships/hyperlink" Target="https://jira.atlnz.lc/secure/Tests.jspa" TargetMode="External"/><Relationship Id="rId410" Type="http://schemas.openxmlformats.org/officeDocument/2006/relationships/hyperlink" Target="http://10.32.16.105/systest/Reports/TestLink/SuiteExecC.php?plan=481298&amp;rep=F&amp;platform=204" TargetMode="External"/><Relationship Id="rId431" Type="http://schemas.openxmlformats.org/officeDocument/2006/relationships/hyperlink" Target="http://10.32.16.105/systest/Reports/TestLink/SuiteExecC.php?plan=481298&amp;rep=F&amp;platform=1144" TargetMode="External"/><Relationship Id="rId452" Type="http://schemas.openxmlformats.org/officeDocument/2006/relationships/hyperlink" Target="https://jira.atlnz.lc/secure/Tests.jspa" TargetMode="External"/><Relationship Id="rId473" Type="http://schemas.openxmlformats.org/officeDocument/2006/relationships/hyperlink" Target="http://10.32.16.105/systest/Reports/TestLink/SuiteExecC.php?plan=481300&amp;rep=F&amp;platform=706" TargetMode="External"/><Relationship Id="rId494" Type="http://schemas.openxmlformats.org/officeDocument/2006/relationships/hyperlink" Target="https://wallace4.atlnz.lc/systest/Jira_Reports/testExecReport/jiraExecReport_wallace4.php?testPlanKey=178&amp;projectKey=TQUALTCM&amp;Report=Report" TargetMode="External"/><Relationship Id="rId508" Type="http://schemas.openxmlformats.org/officeDocument/2006/relationships/hyperlink" Target="http://intranet.alliedtelesyn.co.nz/systest/Reports/TestLink/SuiteExecC.php?plan=55758&amp;rep=f" TargetMode="External"/><Relationship Id="rId529" Type="http://schemas.openxmlformats.org/officeDocument/2006/relationships/hyperlink" Target="https://jira.atlnz.lc/secure/Tests.jspa" TargetMode="External"/><Relationship Id="rId30" Type="http://schemas.openxmlformats.org/officeDocument/2006/relationships/hyperlink" Target="http://10.32.16.105/systest/Reports/TestLink/SuiteExecC.php?plan=121920&amp;rep=F&amp;platform=195" TargetMode="External"/><Relationship Id="rId105" Type="http://schemas.openxmlformats.org/officeDocument/2006/relationships/hyperlink" Target="http://10.32.16.105/systest/Reports/TestLink/SuiteExecC.php?plan=480293&amp;rep=F&amp;platform=191" TargetMode="External"/><Relationship Id="rId126" Type="http://schemas.openxmlformats.org/officeDocument/2006/relationships/hyperlink" Target="http://10.32.16.105/systest/Reports/TestLink/SuiteExecC.php?plan=458186&amp;rep=F&amp;platform=189" TargetMode="External"/><Relationship Id="rId147" Type="http://schemas.openxmlformats.org/officeDocument/2006/relationships/hyperlink" Target="http://10.32.16.105/systest/Reports/TestLink/SuiteExecC.php?plan=191480&amp;rep=F&amp;platform=193" TargetMode="External"/><Relationship Id="rId168" Type="http://schemas.openxmlformats.org/officeDocument/2006/relationships/hyperlink" Target="http://10.32.16.105/systest/Reports/TestLink/SuiteExecC.php?plan=129269&amp;rep=F&amp;platform=200" TargetMode="External"/><Relationship Id="rId312" Type="http://schemas.openxmlformats.org/officeDocument/2006/relationships/hyperlink" Target="http://10.32.16.105/systest/Reports/TestLink/SuiteExecC.php?plan=467281&amp;rep=F&amp;platform=706" TargetMode="External"/><Relationship Id="rId333" Type="http://schemas.openxmlformats.org/officeDocument/2006/relationships/hyperlink" Target="http://10.32.16.105/systest/Reports/TestLink/SuiteExecC.php?plan=95978&amp;rep=F&amp;platform=200" TargetMode="External"/><Relationship Id="rId354" Type="http://schemas.openxmlformats.org/officeDocument/2006/relationships/hyperlink" Target="https://jira.atlnz.lc/secure/Tests.jspa" TargetMode="External"/><Relationship Id="rId540" Type="http://schemas.openxmlformats.org/officeDocument/2006/relationships/comments" Target="../comments3.xml"/><Relationship Id="rId51" Type="http://schemas.openxmlformats.org/officeDocument/2006/relationships/hyperlink" Target="https://intranet.atlnz.lc/systest/Jira_Reports/testExecReport/jiraExecReport.php?testPlanKey=57&amp;projectKey=TQUALTCM&amp;Report=Report" TargetMode="External"/><Relationship Id="rId72" Type="http://schemas.openxmlformats.org/officeDocument/2006/relationships/hyperlink" Target="http://10.32.16.105/systest/Reports/TestLink/SuiteExecC.php?plan=459219&amp;rep=F&amp;platform=330" TargetMode="External"/><Relationship Id="rId93" Type="http://schemas.openxmlformats.org/officeDocument/2006/relationships/hyperlink" Target="http://10.32.16.105/systest/Reports/TestLink/SuiteExecC.php?plan=142343&amp;rep=F&amp;platform=321" TargetMode="External"/><Relationship Id="rId189" Type="http://schemas.openxmlformats.org/officeDocument/2006/relationships/hyperlink" Target="http://10.32.16.105/systest/Reports/TestLink/SuiteExecC.php?plan=183619&amp;rep=F&amp;platform=98" TargetMode="External"/><Relationship Id="rId375" Type="http://schemas.openxmlformats.org/officeDocument/2006/relationships/hyperlink" Target="http://10.32.16.105/systest/Reports/TestLink/SuiteExecC.php?plan=481299&amp;rep=F&amp;platform=236" TargetMode="External"/><Relationship Id="rId396" Type="http://schemas.openxmlformats.org/officeDocument/2006/relationships/hyperlink" Target="http://10.32.16.105/systest/Reports/TestLink/SuiteExecC.php?plan=481299&amp;rep=F&amp;platform=236" TargetMode="External"/><Relationship Id="rId3" Type="http://schemas.openxmlformats.org/officeDocument/2006/relationships/hyperlink" Target="http://10.32.16.105/systest/Reports/TestLink/SuiteExecC.php?plan=481300&amp;rep=F&amp;platform=703" TargetMode="External"/><Relationship Id="rId214" Type="http://schemas.openxmlformats.org/officeDocument/2006/relationships/hyperlink" Target="http://intranet.alliedtelesyn.co.nz/systest/Reports/TestLink/SuiteExecC.php?plan=79643&amp;rep=f" TargetMode="External"/><Relationship Id="rId235" Type="http://schemas.openxmlformats.org/officeDocument/2006/relationships/hyperlink" Target="http://10.32.16.105/systest/Reports/TestLink/SuiteExecC.php?plan=95983&amp;rep=F&amp;platform=200" TargetMode="External"/><Relationship Id="rId256" Type="http://schemas.openxmlformats.org/officeDocument/2006/relationships/hyperlink" Target="https://jira.atlnz.lc/secure/Tests.jspa" TargetMode="External"/><Relationship Id="rId277" Type="http://schemas.openxmlformats.org/officeDocument/2006/relationships/hyperlink" Target="https://jira.atlnz.lc/secure/Tests.jspa" TargetMode="External"/><Relationship Id="rId298" Type="http://schemas.openxmlformats.org/officeDocument/2006/relationships/hyperlink" Target="https://jira.atlnz.lc/secure/Tests.jspa" TargetMode="External"/><Relationship Id="rId400" Type="http://schemas.openxmlformats.org/officeDocument/2006/relationships/hyperlink" Target="https://jira.atlnz.lc/secure/Tests.jspa" TargetMode="External"/><Relationship Id="rId421" Type="http://schemas.openxmlformats.org/officeDocument/2006/relationships/hyperlink" Target="https://jira.atlnz.lc/secure/Tests.jspa" TargetMode="External"/><Relationship Id="rId442" Type="http://schemas.openxmlformats.org/officeDocument/2006/relationships/hyperlink" Target="http://10.32.16.105/systest/Reports/TestLink/SuiteExecC.php?plan=481298&amp;rep=F&amp;platform=1211" TargetMode="External"/><Relationship Id="rId463" Type="http://schemas.openxmlformats.org/officeDocument/2006/relationships/hyperlink" Target="http://10.32.16.105/systest/Reports/TestLink/SuiteExecC.php?plan=481300&amp;rep=F&amp;platform=1200" TargetMode="External"/><Relationship Id="rId484" Type="http://schemas.openxmlformats.org/officeDocument/2006/relationships/hyperlink" Target="https://wallace4.atlnz.lc/systest/Jira_Reports/testExecReport/jiraExecReport_wallace4.php?testPlanKey=481&amp;projectKey=TQUALTCM&amp;Report=Report" TargetMode="External"/><Relationship Id="rId519" Type="http://schemas.openxmlformats.org/officeDocument/2006/relationships/hyperlink" Target="http://10.32.16.105/systest/Reports/TestLink/SuiteExecC.php?plan=458186&amp;rep=F&amp;platform=193" TargetMode="External"/><Relationship Id="rId116" Type="http://schemas.openxmlformats.org/officeDocument/2006/relationships/hyperlink" Target="http://10.32.16.105/systest/Reports/TestLink/SuiteExecC.php?plan=301638&amp;rep=F&amp;platform=172" TargetMode="External"/><Relationship Id="rId137" Type="http://schemas.openxmlformats.org/officeDocument/2006/relationships/hyperlink" Target="http://intranet.alliedtelesyn.co.nz/systest/Reports/TestLink/SuiteExecC.php?plan=79639&amp;rep=f" TargetMode="External"/><Relationship Id="rId158" Type="http://schemas.openxmlformats.org/officeDocument/2006/relationships/hyperlink" Target="http://10.32.16.105/systest/Reports/TestLink/SuiteExecC.php?plan=158998&amp;rep=F&amp;platform=191" TargetMode="External"/><Relationship Id="rId302" Type="http://schemas.openxmlformats.org/officeDocument/2006/relationships/hyperlink" Target="https://jira.atlnz.lc/secure/Tests.jspa" TargetMode="External"/><Relationship Id="rId323" Type="http://schemas.openxmlformats.org/officeDocument/2006/relationships/hyperlink" Target="http://intranet.alliedtelesyn.co.nz/systest/Reports/TestLink/SuiteExecC.php?plan=83081&amp;rep=f" TargetMode="External"/><Relationship Id="rId344" Type="http://schemas.openxmlformats.org/officeDocument/2006/relationships/hyperlink" Target="https://jira.atlnz.lc/secure/Tests.jspa" TargetMode="External"/><Relationship Id="rId530" Type="http://schemas.openxmlformats.org/officeDocument/2006/relationships/hyperlink" Target="https://jira.atlnz.lc/secure/Tests.jspa" TargetMode="External"/><Relationship Id="rId20" Type="http://schemas.openxmlformats.org/officeDocument/2006/relationships/hyperlink" Target="https://jira.atlnz.lc/secure/Tests.jspa" TargetMode="External"/><Relationship Id="rId41" Type="http://schemas.openxmlformats.org/officeDocument/2006/relationships/hyperlink" Target="https://jira.atlnz.lc/secure/Tests.jspa" TargetMode="External"/><Relationship Id="rId62" Type="http://schemas.openxmlformats.org/officeDocument/2006/relationships/hyperlink" Target="http://10.32.16.105/systest/Reports/TestLink/SuiteExecC.php?plan=480293&amp;rep=F&amp;platform=330" TargetMode="External"/><Relationship Id="rId83" Type="http://schemas.openxmlformats.org/officeDocument/2006/relationships/hyperlink" Target="https://jira.atlnz.lc/secure/Tests.jspa" TargetMode="External"/><Relationship Id="rId179" Type="http://schemas.openxmlformats.org/officeDocument/2006/relationships/hyperlink" Target="http://10.32.16.105/systest/Reports/TestLink/SuiteExecC.php?plan=458186&amp;rep=F&amp;platform=695" TargetMode="External"/><Relationship Id="rId365" Type="http://schemas.openxmlformats.org/officeDocument/2006/relationships/hyperlink" Target="https://jira.atlnz.lc/secure/Tests.jspa" TargetMode="External"/><Relationship Id="rId386" Type="http://schemas.openxmlformats.org/officeDocument/2006/relationships/hyperlink" Target="https://jira.atlnz.lc/secure/Tests.jspa" TargetMode="External"/><Relationship Id="rId190" Type="http://schemas.openxmlformats.org/officeDocument/2006/relationships/hyperlink" Target="http://10.32.16.105/systest/Reports/TestLink/SuiteExecC.php?plan=183619&amp;rep=F&amp;platform=207" TargetMode="External"/><Relationship Id="rId204" Type="http://schemas.openxmlformats.org/officeDocument/2006/relationships/hyperlink" Target="https://intranet.atlnz.lc/systest/Jira_Reports/testExecReport/jiraExecReport.php?testPlanKey=474&amp;projectKey=TQUALTCM&amp;Report=Report" TargetMode="External"/><Relationship Id="rId225" Type="http://schemas.openxmlformats.org/officeDocument/2006/relationships/hyperlink" Target="http://10.32.16.105/systest/Reports/TestLink/SuiteExecC.php?plan=158998&amp;rep=F&amp;platform=199" TargetMode="External"/><Relationship Id="rId246" Type="http://schemas.openxmlformats.org/officeDocument/2006/relationships/hyperlink" Target="https://jira.atlnz.lc/secure/Tests.jspa" TargetMode="External"/><Relationship Id="rId267" Type="http://schemas.openxmlformats.org/officeDocument/2006/relationships/hyperlink" Target="http://10.32.16.105/systest/Reports/TestLink/SuiteExecC.php?plan=459219&amp;rep=F&amp;platform=190" TargetMode="External"/><Relationship Id="rId288" Type="http://schemas.openxmlformats.org/officeDocument/2006/relationships/hyperlink" Target="https://jira.atlnz.lc/secure/Tests.jspa" TargetMode="External"/><Relationship Id="rId411" Type="http://schemas.openxmlformats.org/officeDocument/2006/relationships/hyperlink" Target="http://10.32.16.105/systest/Reports/TestLink/SuiteExecC.php?plan=481298&amp;rep=F&amp;platform=172" TargetMode="External"/><Relationship Id="rId432" Type="http://schemas.openxmlformats.org/officeDocument/2006/relationships/hyperlink" Target="http://10.32.16.105/systest/Reports/TestLink/SuiteExecC.php?plan=481298&amp;rep=F&amp;platform=407" TargetMode="External"/><Relationship Id="rId453" Type="http://schemas.openxmlformats.org/officeDocument/2006/relationships/hyperlink" Target="http://10.32.16.105/systest/Reports/TestLink/SuiteExecC.php?plan=481300&amp;rep=F&amp;platform=326" TargetMode="External"/><Relationship Id="rId474" Type="http://schemas.openxmlformats.org/officeDocument/2006/relationships/hyperlink" Target="http://10.32.16.105/systest/Reports/TestLink/SuiteExecC.php?plan=481300&amp;rep=F&amp;platform=236" TargetMode="External"/><Relationship Id="rId509" Type="http://schemas.openxmlformats.org/officeDocument/2006/relationships/hyperlink" Target="http://intranet.alliedtelesyn.co.nz/systest/Reports/TestLink/SuiteExecC.php?plan=79643&amp;rep=f" TargetMode="External"/><Relationship Id="rId106" Type="http://schemas.openxmlformats.org/officeDocument/2006/relationships/hyperlink" Target="http://10.32.16.105/systest/Reports/TestLink/SuiteExecC.php?plan=301638&amp;rep=F&amp;platform=390" TargetMode="External"/><Relationship Id="rId127" Type="http://schemas.openxmlformats.org/officeDocument/2006/relationships/hyperlink" Target="http://10.32.16.105/systest/Reports/TestLink/SuiteExecC.php?plan=95977&amp;rep=F&amp;platform=200" TargetMode="External"/><Relationship Id="rId313" Type="http://schemas.openxmlformats.org/officeDocument/2006/relationships/hyperlink" Target="http://10.32.16.105/systest/Reports/TestLink/SuiteExecC.php?plan=467281&amp;rep=F&amp;platform=236" TargetMode="External"/><Relationship Id="rId495" Type="http://schemas.openxmlformats.org/officeDocument/2006/relationships/hyperlink" Target="https://wallace4.atlnz.lc/systest/Jira_Reports/testExecReport/jiraExecReport_wallace4.php?testPlanKey=180&amp;projectKey=TQUALTCM&amp;Report=Report" TargetMode="External"/><Relationship Id="rId10" Type="http://schemas.openxmlformats.org/officeDocument/2006/relationships/hyperlink" Target="https://jira.atlnz.lc/secure/Tests.jspa" TargetMode="External"/><Relationship Id="rId31" Type="http://schemas.openxmlformats.org/officeDocument/2006/relationships/hyperlink" Target="http://10.32.16.105/systest/Reports/TestLink/SuiteExecC.php?plan=304663&amp;rep=F&amp;platform=204" TargetMode="External"/><Relationship Id="rId52" Type="http://schemas.openxmlformats.org/officeDocument/2006/relationships/hyperlink" Target="http://10.32.16.105/systest/Reports/TestLink/SuiteExecC.php?plan=95983&amp;rep=F&amp;platform=703" TargetMode="External"/><Relationship Id="rId73" Type="http://schemas.openxmlformats.org/officeDocument/2006/relationships/hyperlink" Target="http://10.32.16.105/systest/Reports/TestLink/SuiteExecC.php?plan=144377&amp;rep=F&amp;platform=172" TargetMode="External"/><Relationship Id="rId94" Type="http://schemas.openxmlformats.org/officeDocument/2006/relationships/hyperlink" Target="https://jira.atlnz.lc/secure/Tests.jspa" TargetMode="External"/><Relationship Id="rId148" Type="http://schemas.openxmlformats.org/officeDocument/2006/relationships/hyperlink" Target="http://10.32.16.105/systest/Reports/TestLink/SuiteExecC.php?plan=459219&amp;rep=F&amp;platform=193" TargetMode="External"/><Relationship Id="rId169" Type="http://schemas.openxmlformats.org/officeDocument/2006/relationships/hyperlink" Target="http://10.32.16.105/systest/Reports/TestLink/SuiteExecC.php?plan=145783&amp;rep=F&amp;platform=178" TargetMode="External"/><Relationship Id="rId334" Type="http://schemas.openxmlformats.org/officeDocument/2006/relationships/hyperlink" Target="https://jira.atlnz.lc/secure/Tests.jspa" TargetMode="External"/><Relationship Id="rId355" Type="http://schemas.openxmlformats.org/officeDocument/2006/relationships/hyperlink" Target="https://jira.atlnz.lc/secure/Tests.jspa" TargetMode="External"/><Relationship Id="rId376" Type="http://schemas.openxmlformats.org/officeDocument/2006/relationships/hyperlink" Target="http://10.32.16.105/systest/Reports/TestLink/SuiteExecC.php?plan=481299&amp;rep=F&amp;platform=200" TargetMode="External"/><Relationship Id="rId397" Type="http://schemas.openxmlformats.org/officeDocument/2006/relationships/hyperlink" Target="http://10.32.16.105/systest/Reports/TestLink/SuiteExecC.php?plan=481299&amp;rep=F&amp;platform=200" TargetMode="External"/><Relationship Id="rId520" Type="http://schemas.openxmlformats.org/officeDocument/2006/relationships/hyperlink" Target="http://10.32.16.105/systest/Reports/TestLink/SuiteExecC.php?plan=458186&amp;rep=F&amp;platform=695" TargetMode="External"/><Relationship Id="rId4" Type="http://schemas.openxmlformats.org/officeDocument/2006/relationships/hyperlink" Target="https://jira.atlnz.lc/secure/Tests.jspa" TargetMode="External"/><Relationship Id="rId180" Type="http://schemas.openxmlformats.org/officeDocument/2006/relationships/hyperlink" Target="http://10.32.16.105/systest/Reports/TestLink/SuiteExecC.php?plan=183619&amp;rep=F&amp;platform=200" TargetMode="External"/><Relationship Id="rId215" Type="http://schemas.openxmlformats.org/officeDocument/2006/relationships/hyperlink" Target="http://10.32.16.105/systest/Reports/TestLink/SuiteExecC.php?plan=152235&amp;rep=F&amp;platform=199" TargetMode="External"/><Relationship Id="rId236" Type="http://schemas.openxmlformats.org/officeDocument/2006/relationships/hyperlink" Target="http://10.32.16.105/systest/Reports/TestLink/SuiteExecC.php?plan=458186&amp;rep=F&amp;platform=198" TargetMode="External"/><Relationship Id="rId257" Type="http://schemas.openxmlformats.org/officeDocument/2006/relationships/hyperlink" Target="http://10.32.16.105/systest/Reports/TestLink/SuiteExecC.php?plan=312671&amp;rep=F&amp;platform=390" TargetMode="External"/><Relationship Id="rId278" Type="http://schemas.openxmlformats.org/officeDocument/2006/relationships/hyperlink" Target="http://10.32.16.105/systest/Reports/TestLink/SuiteExecC.php?plan=453983&amp;rep=F&amp;platform=190" TargetMode="External"/><Relationship Id="rId401" Type="http://schemas.openxmlformats.org/officeDocument/2006/relationships/hyperlink" Target="http://intranet.atlnz.lc/systest/Reports/TestLink/SuiteExecC.php?plan=490516&amp;rep=F&amp;platform=1225" TargetMode="External"/><Relationship Id="rId422" Type="http://schemas.openxmlformats.org/officeDocument/2006/relationships/hyperlink" Target="http://10.32.16.105/systest/Reports/TestLink/SuiteExecC.php?plan=481298&amp;rep=F&amp;platform=390" TargetMode="External"/><Relationship Id="rId443" Type="http://schemas.openxmlformats.org/officeDocument/2006/relationships/hyperlink" Target="https://jira.atlnz.lc/secure/Tests.jspa" TargetMode="External"/><Relationship Id="rId464" Type="http://schemas.openxmlformats.org/officeDocument/2006/relationships/hyperlink" Target="https://jira.atlnz.lc/secure/Tests.jspa" TargetMode="External"/><Relationship Id="rId303" Type="http://schemas.openxmlformats.org/officeDocument/2006/relationships/hyperlink" Target="https://jira.atlnz.lc/secure/Tests.jspa" TargetMode="External"/><Relationship Id="rId485" Type="http://schemas.openxmlformats.org/officeDocument/2006/relationships/hyperlink" Target="https://wallace4.atlnz.lc/systest/Jira_Reports/testExecReport/jiraExecReport_wallace4.php?testPlanKey=489&amp;projectKey=TQUALTCM&amp;Report=Report" TargetMode="External"/><Relationship Id="rId42" Type="http://schemas.openxmlformats.org/officeDocument/2006/relationships/hyperlink" Target="https://jira.atlnz.lc/secure/Tests.jspa" TargetMode="External"/><Relationship Id="rId84" Type="http://schemas.openxmlformats.org/officeDocument/2006/relationships/hyperlink" Target="http://10.32.16.105/systest/Reports/TestLink/SuiteExecC.php?plan=453983&amp;rep=F&amp;platform=321" TargetMode="External"/><Relationship Id="rId138" Type="http://schemas.openxmlformats.org/officeDocument/2006/relationships/hyperlink" Target="http://intranet.alliedtelesyn.co.nz/systest/Reports/TestLink/SuiteExecC.php?plan=55751&amp;rep=f" TargetMode="External"/><Relationship Id="rId345" Type="http://schemas.openxmlformats.org/officeDocument/2006/relationships/hyperlink" Target="https://jira.atlnz.lc/secure/Tests.jspa" TargetMode="External"/><Relationship Id="rId387" Type="http://schemas.openxmlformats.org/officeDocument/2006/relationships/hyperlink" Target="https://jira.atlnz.lc/secure/Tests.jspa" TargetMode="External"/><Relationship Id="rId510" Type="http://schemas.openxmlformats.org/officeDocument/2006/relationships/hyperlink" Target="http://10.32.16.105/systest/Reports/TestLink/SuiteExecC.php?plan=152235&amp;rep=F&amp;platform=199" TargetMode="External"/><Relationship Id="rId191" Type="http://schemas.openxmlformats.org/officeDocument/2006/relationships/hyperlink" Target="http://intranet.alliedtelesyn.co.nz/systest/Reports/TestLink/SuiteExecC.php?plan=95960&amp;rep=f" TargetMode="External"/><Relationship Id="rId205" Type="http://schemas.openxmlformats.org/officeDocument/2006/relationships/hyperlink" Target="https://intranet.atlnz.lc/systest/Jira_Reports/testExecReport/jiraExecReport.php?testPlanKey=418&amp;projectKey=TQUALTCM&amp;Report=Report" TargetMode="External"/><Relationship Id="rId247" Type="http://schemas.openxmlformats.org/officeDocument/2006/relationships/hyperlink" Target="http://10.32.16.105/systest/Reports/TestLink/SuiteExecC.php?plan=312671&amp;rep=F&amp;platform=391" TargetMode="External"/><Relationship Id="rId412" Type="http://schemas.openxmlformats.org/officeDocument/2006/relationships/hyperlink" Target="http://10.32.16.105/systest/Reports/TestLink/SuiteExecC.php?plan=481298&amp;rep=F&amp;platform=1144" TargetMode="External"/><Relationship Id="rId107" Type="http://schemas.openxmlformats.org/officeDocument/2006/relationships/hyperlink" Target="https://jira.atlnz.lc/secure/Tests.jspa" TargetMode="External"/><Relationship Id="rId289" Type="http://schemas.openxmlformats.org/officeDocument/2006/relationships/hyperlink" Target="https://jira.atlnz.lc/secure/Tests.jspa" TargetMode="External"/><Relationship Id="rId454" Type="http://schemas.openxmlformats.org/officeDocument/2006/relationships/hyperlink" Target="http://10.32.16.105/systest/Reports/TestLink/SuiteExecC.php?plan=481300&amp;rep=F&amp;platform=706" TargetMode="External"/><Relationship Id="rId496" Type="http://schemas.openxmlformats.org/officeDocument/2006/relationships/hyperlink" Target="https://wallace4.atlnz.lc/systest/Jira_Reports/testExecReport/jiraExecReport_wallace4.php?testPlanKey=181&amp;projectKey=TQUALTCM&amp;Report=Report" TargetMode="External"/><Relationship Id="rId11" Type="http://schemas.openxmlformats.org/officeDocument/2006/relationships/hyperlink" Target="http://10.32.16.105/systest/Reports/TestLink/SuiteExecC.php?plan=481299&amp;rep=F&amp;platform=703" TargetMode="External"/><Relationship Id="rId53" Type="http://schemas.openxmlformats.org/officeDocument/2006/relationships/hyperlink" Target="http://intranet.alliedtelesyn.co.nz/systest/Reports/TestLink/SuiteExecC.php?plan=55757&amp;rep=f" TargetMode="External"/><Relationship Id="rId149" Type="http://schemas.openxmlformats.org/officeDocument/2006/relationships/hyperlink" Target="http://intranet.alliedtelesyn.co.nz/systest/Reports/TestLink/SuiteExecC.php?plan=121920&amp;rep=f" TargetMode="External"/><Relationship Id="rId314" Type="http://schemas.openxmlformats.org/officeDocument/2006/relationships/hyperlink" Target="http://10.32.16.105/systest/Reports/TestLink/SuiteExecC.php?plan=467281&amp;rep=F&amp;platform=200" TargetMode="External"/><Relationship Id="rId356" Type="http://schemas.openxmlformats.org/officeDocument/2006/relationships/hyperlink" Target="https://jira.atlnz.lc/secure/Tests.jspa" TargetMode="External"/><Relationship Id="rId398" Type="http://schemas.openxmlformats.org/officeDocument/2006/relationships/hyperlink" Target="https://jira.atlnz.lc/secure/Tests.jspa" TargetMode="External"/><Relationship Id="rId521" Type="http://schemas.openxmlformats.org/officeDocument/2006/relationships/hyperlink" Target="https://jira.atlnz.lc/secure/Tests.jspa" TargetMode="External"/><Relationship Id="rId95" Type="http://schemas.openxmlformats.org/officeDocument/2006/relationships/hyperlink" Target="http://10.32.16.105/systest/Reports/TestLink/SuiteExecC.php?plan=191480&amp;rep=F&amp;platform=321" TargetMode="External"/><Relationship Id="rId160" Type="http://schemas.openxmlformats.org/officeDocument/2006/relationships/hyperlink" Target="http://10.32.16.105/systest/Reports/TestLink/SuiteExecC.php?plan=145783&amp;rep=F&amp;platform=191" TargetMode="External"/><Relationship Id="rId216" Type="http://schemas.openxmlformats.org/officeDocument/2006/relationships/hyperlink" Target="http://10.32.16.105/systest/Reports/TestLink/SuiteExecC.php?plan=69888" TargetMode="External"/><Relationship Id="rId423" Type="http://schemas.openxmlformats.org/officeDocument/2006/relationships/hyperlink" Target="http://10.32.16.105/systest/Reports/TestLink/SuiteExecC.php?plan=481298&amp;rep=F&amp;platform=1211" TargetMode="External"/><Relationship Id="rId258" Type="http://schemas.openxmlformats.org/officeDocument/2006/relationships/hyperlink" Target="http://10.32.16.105/systest/Reports/TestLink/SuiteExecC.php?plan=480293&amp;rep=F&amp;platform=1105" TargetMode="External"/><Relationship Id="rId465" Type="http://schemas.openxmlformats.org/officeDocument/2006/relationships/hyperlink" Target="https://jira.atlnz.lc/secure/Tests.jspa" TargetMode="External"/><Relationship Id="rId22" Type="http://schemas.openxmlformats.org/officeDocument/2006/relationships/hyperlink" Target="https://jira.atlnz.lc/secure/Tests.jspa" TargetMode="External"/><Relationship Id="rId64" Type="http://schemas.openxmlformats.org/officeDocument/2006/relationships/hyperlink" Target="https://jira.atlnz.lc/secure/Tests.jspa" TargetMode="External"/><Relationship Id="rId118" Type="http://schemas.openxmlformats.org/officeDocument/2006/relationships/hyperlink" Target="http://10.32.16.105/systest/Reports/TestLink/SuiteExecC.php?plan=301638&amp;rep=F&amp;platform=391" TargetMode="External"/><Relationship Id="rId325" Type="http://schemas.openxmlformats.org/officeDocument/2006/relationships/hyperlink" Target="http://intranet.alliedtelesyn.co.nz/systest/Reports/TestLink/SuiteExecC.php?plan=83118&amp;rep=f" TargetMode="External"/><Relationship Id="rId367" Type="http://schemas.openxmlformats.org/officeDocument/2006/relationships/hyperlink" Target="http://10.32.16.105/systest/Reports/TestLink/SuiteExecC.php?plan=481298&amp;rep=F&amp;platform=391" TargetMode="External"/><Relationship Id="rId532" Type="http://schemas.openxmlformats.org/officeDocument/2006/relationships/hyperlink" Target="https://jira.atlnz.lc/secure/Tests.jspa" TargetMode="External"/><Relationship Id="rId171" Type="http://schemas.openxmlformats.org/officeDocument/2006/relationships/hyperlink" Target="http://10.32.16.105/systest/Reports/TestLink/SuiteExecC.php?plan=191480&amp;rep=F&amp;platform=178" TargetMode="External"/><Relationship Id="rId227" Type="http://schemas.openxmlformats.org/officeDocument/2006/relationships/hyperlink" Target="https://jira.atlnz.lc/secure/Tests.jspa" TargetMode="External"/><Relationship Id="rId269" Type="http://schemas.openxmlformats.org/officeDocument/2006/relationships/hyperlink" Target="http://10.32.16.105/systest/Reports/TestLink/SuiteExecC.php?plan=142343&amp;rep=F&amp;platform=190" TargetMode="External"/><Relationship Id="rId434" Type="http://schemas.openxmlformats.org/officeDocument/2006/relationships/hyperlink" Target="http://10.32.16.105/systest/Reports/TestLink/SuiteExecC.php?plan=481298&amp;rep=F&amp;platform=326" TargetMode="External"/><Relationship Id="rId476" Type="http://schemas.openxmlformats.org/officeDocument/2006/relationships/hyperlink" Target="https://jira.atlnz.lc/secure/Tests.jspa" TargetMode="External"/><Relationship Id="rId33" Type="http://schemas.openxmlformats.org/officeDocument/2006/relationships/hyperlink" Target="http://10.32.16.105/systest/Reports/TestLink/SuiteExecC.php?plan=304663&amp;rep=F&amp;platform=98" TargetMode="External"/><Relationship Id="rId129" Type="http://schemas.openxmlformats.org/officeDocument/2006/relationships/hyperlink" Target="http://10.32.16.105/systest/Reports/TestLink/SuiteExecC.php?plan=142343&amp;rep=F&amp;platform=189" TargetMode="External"/><Relationship Id="rId280" Type="http://schemas.openxmlformats.org/officeDocument/2006/relationships/hyperlink" Target="https://jira.atlnz.lc/secure/Tests.jspa" TargetMode="External"/><Relationship Id="rId336" Type="http://schemas.openxmlformats.org/officeDocument/2006/relationships/hyperlink" Target="https://jira.atlnz.lc/secure/Tests.jspa" TargetMode="External"/><Relationship Id="rId501" Type="http://schemas.openxmlformats.org/officeDocument/2006/relationships/hyperlink" Target="https://wallace4.atlnz.lc/systest/Jira_Reports/testExecReport/jiraExecReport_wallace4.php?testPlanKey=186&amp;projectKey=TQUALTCM&amp;Report=Report" TargetMode="External"/><Relationship Id="rId75" Type="http://schemas.openxmlformats.org/officeDocument/2006/relationships/hyperlink" Target="http://10.32.16.105/systest/Reports/TestLink/SuiteExecC.php?plan=144377&amp;rep=F&amp;platform=391" TargetMode="External"/><Relationship Id="rId140" Type="http://schemas.openxmlformats.org/officeDocument/2006/relationships/hyperlink" Target="http://intranet.alliedtelesyn.co.nz/systest/Reports/TestLink/SuiteExecC.php?plan=55755&amp;rep=f" TargetMode="External"/><Relationship Id="rId182" Type="http://schemas.openxmlformats.org/officeDocument/2006/relationships/hyperlink" Target="http://10.32.16.105/systest/Reports/TestLink/SuiteExecC.php?plan=308258&amp;rep=F&amp;platform=695" TargetMode="External"/><Relationship Id="rId378" Type="http://schemas.openxmlformats.org/officeDocument/2006/relationships/hyperlink" Target="http://10.32.16.105/systest/Reports/TestLink/SuiteExecC.php?plan=481298&amp;rep=F&amp;platform=1145" TargetMode="External"/><Relationship Id="rId403" Type="http://schemas.openxmlformats.org/officeDocument/2006/relationships/hyperlink" Target="http://10.32.16.105/systest/Reports/TestLink/SuiteExecC.php?plan=481299&amp;rep=F&amp;platform=390" TargetMode="External"/><Relationship Id="rId6" Type="http://schemas.openxmlformats.org/officeDocument/2006/relationships/hyperlink" Target="https://jira.atlnz.lc/secure/Tests.jspa" TargetMode="External"/><Relationship Id="rId238" Type="http://schemas.openxmlformats.org/officeDocument/2006/relationships/hyperlink" Target="http://10.32.16.105/systest/Reports/TestLink/SuiteExecC.php?plan=480293&amp;rep=F&amp;platform=198" TargetMode="External"/><Relationship Id="rId445" Type="http://schemas.openxmlformats.org/officeDocument/2006/relationships/hyperlink" Target="https://jira.atlnz.lc/secure/Tests.jspa" TargetMode="External"/><Relationship Id="rId487" Type="http://schemas.openxmlformats.org/officeDocument/2006/relationships/hyperlink" Target="https://wallace4.atlnz.lc/systest/Jira_Reports/testExecReport/jiraExecReport_wallace4.php?testPlanKey=371&amp;projectKey=TQUALTCM&amp;Report=Report" TargetMode="External"/><Relationship Id="rId291" Type="http://schemas.openxmlformats.org/officeDocument/2006/relationships/hyperlink" Target="https://jira.atlnz.lc/secure/Tests.jspa" TargetMode="External"/><Relationship Id="rId305" Type="http://schemas.openxmlformats.org/officeDocument/2006/relationships/hyperlink" Target="http://10.32.16.105/systest/Reports/TestLink/SuiteExecC.php?plan=467281&amp;rep=F&amp;platform=391" TargetMode="External"/><Relationship Id="rId347" Type="http://schemas.openxmlformats.org/officeDocument/2006/relationships/hyperlink" Target="https://jira.atlnz.lc/secure/Tests.jspa" TargetMode="External"/><Relationship Id="rId512" Type="http://schemas.openxmlformats.org/officeDocument/2006/relationships/hyperlink" Target="http://intranet.alliedtelesyn.co.nz/systest/Reports/TestLink/SuiteExecC.php?plan=95985&amp;rep=f" TargetMode="External"/><Relationship Id="rId44" Type="http://schemas.openxmlformats.org/officeDocument/2006/relationships/hyperlink" Target="http://10.32.16.105/systest/Reports/TestLink/SuiteExecC.php?plan=309151&amp;rep=F&amp;platform=190" TargetMode="External"/><Relationship Id="rId86" Type="http://schemas.openxmlformats.org/officeDocument/2006/relationships/hyperlink" Target="http://10.32.16.105/systest/Reports/TestLink/SuiteExecC.php?plan=480293&amp;rep=F&amp;platform=321" TargetMode="External"/><Relationship Id="rId151" Type="http://schemas.openxmlformats.org/officeDocument/2006/relationships/hyperlink" Target="http://10.32.16.105/systest/Reports/TestLink/SuiteExecC.php?plan=158997&amp;rep=F&amp;platform=194" TargetMode="External"/><Relationship Id="rId389" Type="http://schemas.openxmlformats.org/officeDocument/2006/relationships/hyperlink" Target="http://10.32.16.105/systest/Reports/TestLink/SuiteExecC.php?plan=481299&amp;rep=F&amp;platform=204" TargetMode="External"/><Relationship Id="rId193" Type="http://schemas.openxmlformats.org/officeDocument/2006/relationships/hyperlink" Target="http://intranet.alliedtelesyn.co.nz/systest/Reports/TestLink/SuiteExecC.php?plan=79638&amp;rep=f" TargetMode="External"/><Relationship Id="rId207" Type="http://schemas.openxmlformats.org/officeDocument/2006/relationships/hyperlink" Target="https://wallace4.atlnz.lc/systest/Jira_Reports/testExecReport/jiraExecReport_wallace4.php?testPlanKey=418&amp;projectKey=TQUALTCM&amp;Report=Report" TargetMode="External"/><Relationship Id="rId249" Type="http://schemas.openxmlformats.org/officeDocument/2006/relationships/hyperlink" Target="http://10.32.16.105/systest/Reports/TestLink/SuiteExecC.php?plan=312671&amp;rep=F&amp;platform=172" TargetMode="External"/><Relationship Id="rId414" Type="http://schemas.openxmlformats.org/officeDocument/2006/relationships/hyperlink" Target="https://jira.atlnz.lc/secure/Tests.jspa" TargetMode="External"/><Relationship Id="rId456" Type="http://schemas.openxmlformats.org/officeDocument/2006/relationships/hyperlink" Target="http://10.32.16.105/systest/Reports/TestLink/SuiteExecC.php?plan=481300&amp;rep=F&amp;platform=200" TargetMode="External"/><Relationship Id="rId498" Type="http://schemas.openxmlformats.org/officeDocument/2006/relationships/hyperlink" Target="https://wallace4.atlnz.lc/systest/Jira_Reports/testExecReport/jiraExecReport_wallace4.php?testPlanKey=183&amp;projectKey=TQUALTCM&amp;Report=Report" TargetMode="External"/><Relationship Id="rId13" Type="http://schemas.openxmlformats.org/officeDocument/2006/relationships/hyperlink" Target="https://intranet.atlnz.lc/systest/Jira_Reports/testExecReport/jiraExecReport.php?testPlanKey=46&amp;projectKey=TQUALTCM&amp;Report=Report" TargetMode="External"/><Relationship Id="rId109" Type="http://schemas.openxmlformats.org/officeDocument/2006/relationships/hyperlink" Target="https://jira.atlnz.lc/secure/Tests.jspa" TargetMode="External"/><Relationship Id="rId260" Type="http://schemas.openxmlformats.org/officeDocument/2006/relationships/hyperlink" Target="http://10.32.16.105/systest/Reports/TestLink/SuiteExecC.php?plan=453983&amp;rep=F&amp;platform=1105" TargetMode="External"/><Relationship Id="rId316" Type="http://schemas.openxmlformats.org/officeDocument/2006/relationships/hyperlink" Target="http://10.32.16.105/systest/Reports/TestLink/SuiteExecC.php?plan=467281&amp;rep=F&amp;platform=1145" TargetMode="External"/><Relationship Id="rId523" Type="http://schemas.openxmlformats.org/officeDocument/2006/relationships/hyperlink" Target="https://intranet.atlnz.lc/systest/Jira_Reports/testExecReport/jiraExecReport.php?testPlanKey=259&amp;projectKey=TQUALTCM&amp;Report=Report" TargetMode="External"/><Relationship Id="rId55" Type="http://schemas.openxmlformats.org/officeDocument/2006/relationships/hyperlink" Target="https://intranet.atlnz.lc/systest/Jira_Reports/testExecReport/jiraExecReport.php?testPlanKey=58&amp;projectKey=TQUALTCM&amp;Report=Report" TargetMode="External"/><Relationship Id="rId97" Type="http://schemas.openxmlformats.org/officeDocument/2006/relationships/hyperlink" Target="http://10.32.16.105/systest/Reports/TestLink/SuiteExecC.php?plan=123556&amp;rep=F&amp;platform=172" TargetMode="External"/><Relationship Id="rId120" Type="http://schemas.openxmlformats.org/officeDocument/2006/relationships/hyperlink" Target="http://10.32.16.105/systest/Reports/TestLink/SuiteExecC.php?plan=301638&amp;rep=F&amp;platform=207" TargetMode="External"/><Relationship Id="rId358" Type="http://schemas.openxmlformats.org/officeDocument/2006/relationships/hyperlink" Target="https://jira.atlnz.lc/secure/Tests.jspa" TargetMode="External"/><Relationship Id="rId162" Type="http://schemas.openxmlformats.org/officeDocument/2006/relationships/hyperlink" Target="http://10.32.16.105/systest/Reports/TestLink/SuiteExecC.php?plan=191480&amp;rep=F&amp;platform=191" TargetMode="External"/><Relationship Id="rId218" Type="http://schemas.openxmlformats.org/officeDocument/2006/relationships/hyperlink" Target="http://10.32.16.105/systest/Reports/TestLink/SuiteExecC.php?plan=142343&amp;rep=F&amp;platform=199" TargetMode="External"/><Relationship Id="rId425" Type="http://schemas.openxmlformats.org/officeDocument/2006/relationships/hyperlink" Target="http://10.32.16.105/systest/Reports/TestLink/SuiteExecC.php?plan=481298&amp;rep=F&amp;platform=1200" TargetMode="External"/><Relationship Id="rId467" Type="http://schemas.openxmlformats.org/officeDocument/2006/relationships/hyperlink" Target="http://10.32.16.105/systest/Reports/TestLink/SuiteExecC.php?plan=481300&amp;rep=F&amp;platform=204" TargetMode="External"/><Relationship Id="rId271" Type="http://schemas.openxmlformats.org/officeDocument/2006/relationships/hyperlink" Target="http://10.32.16.105/systest/Reports/TestLink/SuiteExecC.php?plan=95979&amp;rep=F&amp;platform=200" TargetMode="External"/><Relationship Id="rId24" Type="http://schemas.openxmlformats.org/officeDocument/2006/relationships/hyperlink" Target="http://10.32.16.105/systest/Reports/TestLink/SuiteExecC.php?plan=304663&amp;rep=F&amp;platform=236" TargetMode="External"/><Relationship Id="rId66" Type="http://schemas.openxmlformats.org/officeDocument/2006/relationships/hyperlink" Target="https://jira.atlnz.lc/secure/Tests.jspa" TargetMode="External"/><Relationship Id="rId131" Type="http://schemas.openxmlformats.org/officeDocument/2006/relationships/hyperlink" Target="http://10.32.16.105/systest/Reports/TestLink/SuiteExecC.php?plan=459219&amp;rep=F&amp;platform=189" TargetMode="External"/><Relationship Id="rId327" Type="http://schemas.openxmlformats.org/officeDocument/2006/relationships/hyperlink" Target="http://10.32.16.105/systest/Reports/TestLink/SuiteExecC.php?plan=459219&amp;rep=F&amp;platform=177" TargetMode="External"/><Relationship Id="rId369" Type="http://schemas.openxmlformats.org/officeDocument/2006/relationships/hyperlink" Target="http://10.32.16.105/systest/Reports/TestLink/SuiteExecC.php?plan=481299&amp;rep=F&amp;platform=172" TargetMode="External"/><Relationship Id="rId534" Type="http://schemas.openxmlformats.org/officeDocument/2006/relationships/hyperlink" Target="https://jira.atlnz.lc/secure/Tests.jspa" TargetMode="External"/><Relationship Id="rId173" Type="http://schemas.openxmlformats.org/officeDocument/2006/relationships/hyperlink" Target="http://10.32.16.105/systest/Reports/TestLink/SuiteExecC.php?plan=129269&amp;rep=F&amp;platform=204" TargetMode="External"/><Relationship Id="rId229" Type="http://schemas.openxmlformats.org/officeDocument/2006/relationships/hyperlink" Target="http://10.32.16.105/systest/Reports/TestLink/SuiteExecC.php?plan=152235&amp;rep=F&amp;platform=198" TargetMode="External"/><Relationship Id="rId380" Type="http://schemas.openxmlformats.org/officeDocument/2006/relationships/hyperlink" Target="http://intranet.atlnz.lc/systest/Reports/TestLink/SuiteExecC.php?plan=490516&amp;rep=F&amp;platform=1225" TargetMode="External"/><Relationship Id="rId436" Type="http://schemas.openxmlformats.org/officeDocument/2006/relationships/hyperlink" Target="http://10.32.16.105/systest/Reports/TestLink/SuiteExecC.php?plan=481298&amp;rep=F&amp;platform=236" TargetMode="External"/><Relationship Id="rId240" Type="http://schemas.openxmlformats.org/officeDocument/2006/relationships/hyperlink" Target="https://jira.atlnz.lc/secure/Tests.jspa" TargetMode="External"/><Relationship Id="rId478" Type="http://schemas.openxmlformats.org/officeDocument/2006/relationships/hyperlink" Target="https://jira.atlnz.lc/secure/Tests.jspa" TargetMode="External"/><Relationship Id="rId35" Type="http://schemas.openxmlformats.org/officeDocument/2006/relationships/hyperlink" Target="https://jira.atlnz.lc/secure/Tests.jspa" TargetMode="External"/><Relationship Id="rId77" Type="http://schemas.openxmlformats.org/officeDocument/2006/relationships/hyperlink" Target="http://10.32.16.105/systest/Reports/TestLink/SuiteExecC.php?plan=144377&amp;rep=F&amp;platform=207" TargetMode="External"/><Relationship Id="rId100" Type="http://schemas.openxmlformats.org/officeDocument/2006/relationships/hyperlink" Target="http://10.32.16.105/systest/Reports/TestLink/SuiteExecC.php?plan=123556&amp;rep=F&amp;platform=99" TargetMode="External"/><Relationship Id="rId282" Type="http://schemas.openxmlformats.org/officeDocument/2006/relationships/hyperlink" Target="https://jira.atlnz.lc/secure/Tests.jspa" TargetMode="External"/><Relationship Id="rId338" Type="http://schemas.openxmlformats.org/officeDocument/2006/relationships/hyperlink" Target="http://10.32.16.105/systest/Reports/TestLink/SuiteExecC.php?plan=480293&amp;rep=F&amp;platform=177" TargetMode="External"/><Relationship Id="rId503" Type="http://schemas.openxmlformats.org/officeDocument/2006/relationships/hyperlink" Target="https://wallace4.atlnz.lc/systest/Jira_Reports/testExecReport/jiraExecReport_wallace4.php?testPlanKey=188&amp;projectKey=TQUALTCM&amp;Report=Report" TargetMode="External"/><Relationship Id="rId8" Type="http://schemas.openxmlformats.org/officeDocument/2006/relationships/hyperlink" Target="https://jira.atlnz.lc/secure/Tests.jspa" TargetMode="External"/><Relationship Id="rId142" Type="http://schemas.openxmlformats.org/officeDocument/2006/relationships/hyperlink" Target="http://10.32.16.105/systest/Reports/TestLink/SuiteExecC.php?plan=453983&amp;rep=F&amp;platform=193" TargetMode="External"/><Relationship Id="rId184" Type="http://schemas.openxmlformats.org/officeDocument/2006/relationships/hyperlink" Target="http://10.32.16.105/systest/Reports/TestLink/SuiteExecC.php?plan=183619&amp;rep=F&amp;platform=407" TargetMode="External"/><Relationship Id="rId391" Type="http://schemas.openxmlformats.org/officeDocument/2006/relationships/hyperlink" Target="http://10.32.16.105/systest/Reports/TestLink/SuiteExecC.php?plan=481298&amp;rep=F&amp;platform=1144" TargetMode="External"/><Relationship Id="rId405" Type="http://schemas.openxmlformats.org/officeDocument/2006/relationships/hyperlink" Target="https://jira.atlnz.lc/secure/Tests.jspa" TargetMode="External"/><Relationship Id="rId447" Type="http://schemas.openxmlformats.org/officeDocument/2006/relationships/hyperlink" Target="http://10.32.16.105/systest/Reports/TestLink/SuiteExecC.php?plan=481300&amp;rep=F&amp;platform=391" TargetMode="External"/><Relationship Id="rId251" Type="http://schemas.openxmlformats.org/officeDocument/2006/relationships/hyperlink" Target="http://10.32.16.105/systest/Reports/TestLink/SuiteExecC.php?plan=312671&amp;rep=F&amp;platform=706" TargetMode="External"/><Relationship Id="rId489" Type="http://schemas.openxmlformats.org/officeDocument/2006/relationships/hyperlink" Target="https://wallace4.atlnz.lc/systest/Jira_Reports/testExecReport/jiraExecReport_wallace4.php?testPlanKey=173&amp;projectKey=TQUALTCM&amp;Report=Report"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intranet.atlnz.lc/systest/Jira_Reports/testExecReport/jiraExecReport.php?testPlanKey=457&amp;projectKey=TQUALTCM&amp;Report=Report" TargetMode="External"/><Relationship Id="rId3" Type="http://schemas.openxmlformats.org/officeDocument/2006/relationships/hyperlink" Target="https://intranet.atlnz.lc/systest/Jira_Reports/testExecReport/jiraExecReport.php?testPlanKey=459&amp;projectKey=TQUALTCM&amp;Report=Report" TargetMode="External"/><Relationship Id="rId7" Type="http://schemas.openxmlformats.org/officeDocument/2006/relationships/hyperlink" Target="https://intranet.atlnz.lc/systest/Jira_Reports/testExecReport/jiraExecReport.php?testPlanKey=458&amp;projectKey=TQUALTCM&amp;Report=Report" TargetMode="External"/><Relationship Id="rId2" Type="http://schemas.openxmlformats.org/officeDocument/2006/relationships/hyperlink" Target="https://intranet.atlnz.lc/systest/Jira_Reports/testExecReport/jiraExecReport.php?testPlanKey=457&amp;projectKey=TQUALTCM&amp;Report=Report" TargetMode="External"/><Relationship Id="rId1" Type="http://schemas.openxmlformats.org/officeDocument/2006/relationships/hyperlink" Target="https://intranet.atlnz.lc/systest/Jira_Reports/testExecReport/jiraExecReport.php?testPlanKey=458&amp;projectKey=TQUALTCM&amp;Report=Report" TargetMode="External"/><Relationship Id="rId6" Type="http://schemas.openxmlformats.org/officeDocument/2006/relationships/hyperlink" Target="https://intranet.atlnz.lc/systest/Jira_Reports/testExecReport/jiraExecReport.php?testPlanKey=461&amp;projectKey=TQUALTCM&amp;Report=Report" TargetMode="External"/><Relationship Id="rId11" Type="http://schemas.openxmlformats.org/officeDocument/2006/relationships/printerSettings" Target="../printerSettings/printerSettings4.bin"/><Relationship Id="rId5" Type="http://schemas.openxmlformats.org/officeDocument/2006/relationships/hyperlink" Target="https://intranet.atlnz.lc/systest/Jira_Reports/testExecReport/jiraExecReport.php?testPlanKey=460&amp;projectKey=TQUALTCM&amp;Report=Report" TargetMode="External"/><Relationship Id="rId10" Type="http://schemas.openxmlformats.org/officeDocument/2006/relationships/hyperlink" Target="https://intranet.atlnz.lc/systest/Jira_Reports/testExecReport/jiraExecReport.php?testPlanKey=536&amp;projectKey=TQUALTCM&amp;Report=Report" TargetMode="External"/><Relationship Id="rId4" Type="http://schemas.openxmlformats.org/officeDocument/2006/relationships/hyperlink" Target="https://intranet.atlnz.lc/systest/Jira_Reports/testExecReport/jiraExecReport.php?testPlanKey=459&amp;projectKey=TQUALTCM&amp;Report=Report" TargetMode="External"/><Relationship Id="rId9" Type="http://schemas.openxmlformats.org/officeDocument/2006/relationships/hyperlink" Target="https://wallace4.atlnz.lc/systest/Jira_Reports/testExecReport/jiraExecReport_wallace4.php?testPlanKey=569&amp;projectKey=TQUALTCM&amp;Report=Report"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intranet.atlnz.lc/systest/Jira_Reports/testExecReport/jiraExecReport.php?testPlanKey=462&amp;projectKey=TQUALTCM&amp;Report=Report" TargetMode="External"/><Relationship Id="rId2" Type="http://schemas.openxmlformats.org/officeDocument/2006/relationships/hyperlink" Target="https://intranet.atlnz.lc/systest/Jira_Reports/testExecReport/jiraExecReport.php?testPlanKey=479&amp;projectKey=TQUALTCM&amp;Report=Report" TargetMode="External"/><Relationship Id="rId1" Type="http://schemas.openxmlformats.org/officeDocument/2006/relationships/hyperlink" Target="https://intranet.atlnz.lc/systest/Jira_Reports/testExecReport/jiraExecReport.php?testPlanKey=464&amp;projectKey=TQUALTCM&amp;Report=Report" TargetMode="External"/><Relationship Id="rId5" Type="http://schemas.openxmlformats.org/officeDocument/2006/relationships/printerSettings" Target="../printerSettings/printerSettings5.bin"/><Relationship Id="rId4" Type="http://schemas.openxmlformats.org/officeDocument/2006/relationships/hyperlink" Target="https://intranet.atlnz.lc/systest/Jira_Reports/testExecReport/jiraExecReport.php?testPlanKey=465&amp;projectKey=TQUALTCM&amp;Report=Report"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10.32.16.105/systest/Reports/TestLink/SuiteExecC.php?plan=478587&amp;rep=F&amp;platform=1201" TargetMode="External"/><Relationship Id="rId117" Type="http://schemas.microsoft.com/office/2017/10/relationships/threadedComment" Target="../threadedComments/threadedComment1.xml"/><Relationship Id="rId21" Type="http://schemas.openxmlformats.org/officeDocument/2006/relationships/hyperlink" Target="http://10.32.16.105/systest/Reports/TestLink/SuiteExecC.php?plan=486547&amp;rep=F&amp;platform=412" TargetMode="External"/><Relationship Id="rId42" Type="http://schemas.openxmlformats.org/officeDocument/2006/relationships/hyperlink" Target="http://10.32.16.105/systest/Reports/TestLink/SuiteExecC.php?plan=458131&amp;rep=F&amp;platform=696" TargetMode="External"/><Relationship Id="rId47" Type="http://schemas.openxmlformats.org/officeDocument/2006/relationships/hyperlink" Target="https://jira.atlnz.lc/secure/Tests.jspa" TargetMode="External"/><Relationship Id="rId63" Type="http://schemas.openxmlformats.org/officeDocument/2006/relationships/hyperlink" Target="http://10.32.16.105/systest/Reports/TestLink/SuiteExecC.php?plan=195514&amp;rep=F&amp;platform=412" TargetMode="External"/><Relationship Id="rId68" Type="http://schemas.openxmlformats.org/officeDocument/2006/relationships/hyperlink" Target="http://10.32.16.105/systest/Reports/TestLink/SuiteExecC.php?plan=480963&amp;rep=F&amp;platform=412" TargetMode="External"/><Relationship Id="rId84" Type="http://schemas.openxmlformats.org/officeDocument/2006/relationships/hyperlink" Target="http://10.32.16.105/systest/Reports/TestLink/SuiteExecC.php?plan=467378&amp;rep=F&amp;platform=413" TargetMode="External"/><Relationship Id="rId89" Type="http://schemas.openxmlformats.org/officeDocument/2006/relationships/hyperlink" Target="https://jira.atlnz.lc/secure/Tests.jspa" TargetMode="External"/><Relationship Id="rId112" Type="http://schemas.openxmlformats.org/officeDocument/2006/relationships/hyperlink" Target="https://wiki.atlnz.lc/awpwiki/index.php/Transceiver_Qualification_Status" TargetMode="External"/><Relationship Id="rId16" Type="http://schemas.openxmlformats.org/officeDocument/2006/relationships/hyperlink" Target="https://intranet.atlnz.lc/systest/Jira_Reports/testExecReport/jiraExecReport.php?testPlanKey=68&amp;projectKey=TQUALTCM&amp;Report=Report" TargetMode="External"/><Relationship Id="rId107" Type="http://schemas.openxmlformats.org/officeDocument/2006/relationships/hyperlink" Target="http://10.32.16.105/systest/Reports/TestLink/SuiteExecC.php?plan=480963&amp;rep=F&amp;platform=1146" TargetMode="External"/><Relationship Id="rId11" Type="http://schemas.openxmlformats.org/officeDocument/2006/relationships/hyperlink" Target="http://10.32.16.105/systest/Reports/TestLink/SuiteExecC.php?plan=308259&amp;rep=F&amp;platform=1110" TargetMode="External"/><Relationship Id="rId24" Type="http://schemas.openxmlformats.org/officeDocument/2006/relationships/hyperlink" Target="http://10.32.16.105/systest/Reports/TestLink/SuiteExecC.php?plan=486547&amp;rep=F&amp;platform=707" TargetMode="External"/><Relationship Id="rId32" Type="http://schemas.openxmlformats.org/officeDocument/2006/relationships/hyperlink" Target="https://intranet.atlnz.lc/systest/Jira_Reports/testExecReport/jiraExecReport.php?testPlanKey=60&amp;projectKey=TQUALTCM&amp;Report=Report" TargetMode="External"/><Relationship Id="rId37" Type="http://schemas.openxmlformats.org/officeDocument/2006/relationships/hyperlink" Target="http://10.32.16.105/systest/Reports/TestLink/SuiteExecC.php?plan=467378&amp;rep=F&amp;platform=413" TargetMode="External"/><Relationship Id="rId40" Type="http://schemas.openxmlformats.org/officeDocument/2006/relationships/hyperlink" Target="http://10.32.16.105/systest/Reports/TestLink/SuiteExecC.php?plan=195348&amp;rep=F&amp;platform=412" TargetMode="External"/><Relationship Id="rId45" Type="http://schemas.openxmlformats.org/officeDocument/2006/relationships/hyperlink" Target="http://10.32.16.105/systest/Reports/TestLink/SuiteExecC.php?plan=453983&amp;rep=F&amp;platform=697" TargetMode="External"/><Relationship Id="rId53" Type="http://schemas.openxmlformats.org/officeDocument/2006/relationships/hyperlink" Target="https://intranet.atlnz.lc/systest/Jira_Reports/testExecReport/jiraExecReport.php?testPlanKey=79&amp;projectKey=TQUALTCM&amp;Report=Report" TargetMode="External"/><Relationship Id="rId58" Type="http://schemas.openxmlformats.org/officeDocument/2006/relationships/hyperlink" Target="http://10.32.16.105/systest/Reports/TestLink/SuiteExecC.php?plan=478765&amp;rep=F&amp;platform=1146" TargetMode="External"/><Relationship Id="rId66" Type="http://schemas.openxmlformats.org/officeDocument/2006/relationships/hyperlink" Target="http://10.32.16.105/systest/Reports/TestLink/SuiteExecC.php?plan=308259&amp;rep=F&amp;platform=698" TargetMode="External"/><Relationship Id="rId74" Type="http://schemas.openxmlformats.org/officeDocument/2006/relationships/hyperlink" Target="http://10.32.16.105/systest/Reports/TestLink/SuiteExecC.php?plan=311531&amp;rep=F&amp;platform=707" TargetMode="External"/><Relationship Id="rId79" Type="http://schemas.openxmlformats.org/officeDocument/2006/relationships/hyperlink" Target="https://intranet.atlnz.lc/systest/Jira_Reports/testExecReport/jiraExecReport.php?testPlanKey=60&amp;projectKey=TQUALTCM&amp;Report=Report" TargetMode="External"/><Relationship Id="rId87" Type="http://schemas.openxmlformats.org/officeDocument/2006/relationships/hyperlink" Target="http://intranet.atlnz.lc/systest/Reports/TestLink/SuiteExecC.php?plan=486547&amp;rep=F&amp;platform=1201" TargetMode="External"/><Relationship Id="rId102" Type="http://schemas.openxmlformats.org/officeDocument/2006/relationships/hyperlink" Target="https://wiki.atlnz.lc/awpwiki/index.php/Transceiver_Qualification_Status" TargetMode="External"/><Relationship Id="rId110" Type="http://schemas.openxmlformats.org/officeDocument/2006/relationships/hyperlink" Target="http://10.32.16.105/systest/Reports/TestLink/SuiteExecC.php?plan=486547&amp;rep=F&amp;platform=1146" TargetMode="External"/><Relationship Id="rId115" Type="http://schemas.openxmlformats.org/officeDocument/2006/relationships/vmlDrawing" Target="../drawings/vmlDrawing4.vml"/><Relationship Id="rId5" Type="http://schemas.openxmlformats.org/officeDocument/2006/relationships/hyperlink" Target="http://10.32.16.105/systest/Reports/TestLink/SuiteExecC.php?plan=458131&amp;rep=F&amp;platform=1109" TargetMode="External"/><Relationship Id="rId61" Type="http://schemas.openxmlformats.org/officeDocument/2006/relationships/hyperlink" Target="https://wallace4.atlnz.lc/systest/Jira_Reports/testExecReport/jiraExecReport_wallace4.php?testPlanKey=224&amp;projectKey=TQUALTCM&amp;Report=Report" TargetMode="External"/><Relationship Id="rId82" Type="http://schemas.openxmlformats.org/officeDocument/2006/relationships/hyperlink" Target="http://10.32.16.105/systest/Reports/TestLink/SuiteExecC.php?plan=467378&amp;rep=F&amp;platform=1146" TargetMode="External"/><Relationship Id="rId90" Type="http://schemas.openxmlformats.org/officeDocument/2006/relationships/hyperlink" Target="http://10.32.16.105/systest/Reports/TestLink/SuiteExecC.php?plan=486547&amp;rep=F&amp;platform=1146" TargetMode="External"/><Relationship Id="rId95" Type="http://schemas.openxmlformats.org/officeDocument/2006/relationships/hyperlink" Target="https://wallace4.atlnz.lc/systest/Jira_Reports/testExecReport/jiraExecReport_wallace4.php?testPlanKey=196&amp;projectKey=TQUALTCM&amp;Report=Report" TargetMode="External"/><Relationship Id="rId19" Type="http://schemas.openxmlformats.org/officeDocument/2006/relationships/hyperlink" Target="https://intranet.atlnz.lc/systest/Jira_Reports/testExecReport/jiraExecReport.php?testPlanKey=59&amp;projectKey=TQUALTCM&amp;Report=Report" TargetMode="External"/><Relationship Id="rId14" Type="http://schemas.openxmlformats.org/officeDocument/2006/relationships/hyperlink" Target="http://10.32.16.105/systest/Reports/TestLink/SuiteExecC.php?plan=310199&amp;rep=F&amp;platform=412" TargetMode="External"/><Relationship Id="rId22" Type="http://schemas.openxmlformats.org/officeDocument/2006/relationships/hyperlink" Target="https://jira.atlnz.lc/secure/Tests.jspa" TargetMode="External"/><Relationship Id="rId27" Type="http://schemas.openxmlformats.org/officeDocument/2006/relationships/hyperlink" Target="http://10.32.16.105/systest/Reports/TestLink/SuiteExecC.php?plan=478587&amp;rep=F&amp;platform=412" TargetMode="External"/><Relationship Id="rId30" Type="http://schemas.openxmlformats.org/officeDocument/2006/relationships/hyperlink" Target="http://10.32.16.105/systest/Reports/TestLink/SuiteExecC.php?plan=478587&amp;rep=F&amp;platform=707" TargetMode="External"/><Relationship Id="rId35" Type="http://schemas.openxmlformats.org/officeDocument/2006/relationships/hyperlink" Target="http://10.32.16.105/systest/Reports/TestLink/SuiteExecC.php?plan=467378&amp;rep=F&amp;platform=1146" TargetMode="External"/><Relationship Id="rId43" Type="http://schemas.openxmlformats.org/officeDocument/2006/relationships/hyperlink" Target="http://10.32.16.105/systest/Reports/TestLink/SuiteExecC.php?plan=308259&amp;rep=F&amp;platform=696" TargetMode="External"/><Relationship Id="rId48" Type="http://schemas.openxmlformats.org/officeDocument/2006/relationships/hyperlink" Target="http://10.32.16.105/systest/Reports/TestLink/SuiteExecC.php?plan=458131&amp;rep=F&amp;platform=697" TargetMode="External"/><Relationship Id="rId56" Type="http://schemas.openxmlformats.org/officeDocument/2006/relationships/hyperlink" Target="http://10.32.16.105/systest/Reports/TestLink/SuiteExecC.php?plan=478765&amp;rep=F&amp;platform=1262" TargetMode="External"/><Relationship Id="rId64" Type="http://schemas.openxmlformats.org/officeDocument/2006/relationships/hyperlink" Target="http://10.32.16.105/systest/Reports/TestLink/SuiteExecC.php?plan=195523&amp;rep=F&amp;platform=412" TargetMode="External"/><Relationship Id="rId69" Type="http://schemas.openxmlformats.org/officeDocument/2006/relationships/hyperlink" Target="http://10.32.16.105/systest/Reports/TestLink/SuiteExecC.php?plan=480963&amp;rep=F&amp;platform=1146" TargetMode="External"/><Relationship Id="rId77" Type="http://schemas.openxmlformats.org/officeDocument/2006/relationships/hyperlink" Target="https://intranet.atlnz.lc/systest/Jira_Reports/testExecReport/jiraExecReport.php?testPlanKey=473&amp;projectKey=TQUALTCM&amp;Report=Report" TargetMode="External"/><Relationship Id="rId100" Type="http://schemas.openxmlformats.org/officeDocument/2006/relationships/hyperlink" Target="https://wiki.atlnz.lc/awpwiki/index.php/Transceiver_Qualification_Status" TargetMode="External"/><Relationship Id="rId105" Type="http://schemas.openxmlformats.org/officeDocument/2006/relationships/hyperlink" Target="http://10.32.16.105/systest/Reports/TestLink/SuiteExecC.php?plan=478587&amp;rep=F&amp;platform=1146" TargetMode="External"/><Relationship Id="rId113" Type="http://schemas.openxmlformats.org/officeDocument/2006/relationships/hyperlink" Target="https://wallace4.atlnz.lc/systest/Jira_Reports/testExecReport/jiraExecReport_wallace4.php?testPlanKey=573&amp;projectKey=TQUALTCM&amp;Report=Report" TargetMode="External"/><Relationship Id="rId8" Type="http://schemas.openxmlformats.org/officeDocument/2006/relationships/hyperlink" Target="http://10.32.16.105/systest/Reports/TestLink/SuiteExecC.php?plan=453983&amp;rep=F&amp;platform=1110" TargetMode="External"/><Relationship Id="rId51" Type="http://schemas.openxmlformats.org/officeDocument/2006/relationships/hyperlink" Target="https://intranet.atlnz.lc/systest/Jira_Reports/testExecReport/jiraExecReport.php?testPlanKey=103&amp;projectKey=TQUALTCM&amp;Report=Report" TargetMode="External"/><Relationship Id="rId72" Type="http://schemas.openxmlformats.org/officeDocument/2006/relationships/hyperlink" Target="http://10.32.16.105/systest/Reports/TestLink/SuiteExecC.php?plan=486616&amp;rep=F&amp;platform=1114" TargetMode="External"/><Relationship Id="rId80" Type="http://schemas.openxmlformats.org/officeDocument/2006/relationships/hyperlink" Target="http://10.32.16.105/systest/Reports/TestLink/SuiteExecC.php?plan=467378&amp;rep=F&amp;platform=412" TargetMode="External"/><Relationship Id="rId85" Type="http://schemas.openxmlformats.org/officeDocument/2006/relationships/hyperlink" Target="https://jira.atlnz.lc/secure/Tests.jspa" TargetMode="External"/><Relationship Id="rId93" Type="http://schemas.openxmlformats.org/officeDocument/2006/relationships/hyperlink" Target="https://wallace4.atlnz.lc/systest/Jira_Reports/testExecReport/jiraExecReport_wallace4.php?testPlanKey=190&amp;projectKey=TQUALTCM&amp;Report=Report" TargetMode="External"/><Relationship Id="rId98" Type="http://schemas.openxmlformats.org/officeDocument/2006/relationships/hyperlink" Target="https://wiki.atlnz.lc/awpwiki/index.php/Transceiver_Qualification_Status" TargetMode="External"/><Relationship Id="rId3" Type="http://schemas.openxmlformats.org/officeDocument/2006/relationships/hyperlink" Target="http://10.32.16.105/systest/Reports/TestLink/SuiteExecC.php?plan=195523&amp;rep=F&amp;platform=412" TargetMode="External"/><Relationship Id="rId12" Type="http://schemas.openxmlformats.org/officeDocument/2006/relationships/hyperlink" Target="https://intranet.atlnz.lc/systest/Jira_Reports/testExecReport/jiraExecReport.php?testPlanKey=67&amp;projectKey=TQUALTCM&amp;Report=Report" TargetMode="External"/><Relationship Id="rId17" Type="http://schemas.openxmlformats.org/officeDocument/2006/relationships/hyperlink" Target="http://10.32.16.105/systest/Reports/TestLink/SuiteExecC.php?plan=458114&amp;rep=F&amp;platform=1198" TargetMode="External"/><Relationship Id="rId25" Type="http://schemas.openxmlformats.org/officeDocument/2006/relationships/hyperlink" Target="https://intranet.atlnz.lc/systest/Jira_Reports/testExecReport/jiraExecReport.php?testPlanKey=64&amp;projectKey=TQUALTCM&amp;Report=Report" TargetMode="External"/><Relationship Id="rId33" Type="http://schemas.openxmlformats.org/officeDocument/2006/relationships/hyperlink" Target="http://10.32.16.105/systest/Reports/TestLink/SuiteExecC.php?plan=467378&amp;rep=F&amp;platform=412" TargetMode="External"/><Relationship Id="rId38" Type="http://schemas.openxmlformats.org/officeDocument/2006/relationships/hyperlink" Target="https://intranet.atlnz.lc/systest/Jira_Reports/testExecReport/jiraExecReport.php?testPlanKey=61&amp;projectKey=TQUALTCM&amp;Report=Report" TargetMode="External"/><Relationship Id="rId46" Type="http://schemas.openxmlformats.org/officeDocument/2006/relationships/hyperlink" Target="http://10.32.16.105/systest/Reports/TestLink/SuiteExecC.php?plan=305653&amp;rep=F&amp;platform=412" TargetMode="External"/><Relationship Id="rId59" Type="http://schemas.openxmlformats.org/officeDocument/2006/relationships/hyperlink" Target="http://10.32.16.105/systest/Reports/TestLink/SuiteExecC.php?plan=478765&amp;rep=F&amp;platform=707" TargetMode="External"/><Relationship Id="rId67" Type="http://schemas.openxmlformats.org/officeDocument/2006/relationships/hyperlink" Target="http://10.32.16.105/systest/Reports/TestLink/SuiteExecC.php?plan=480963&amp;rep=F&amp;platform=1201" TargetMode="External"/><Relationship Id="rId103" Type="http://schemas.openxmlformats.org/officeDocument/2006/relationships/hyperlink" Target="https://wiki.atlnz.lc/awpwiki/index.php/Transceiver_Qualification_Status" TargetMode="External"/><Relationship Id="rId108" Type="http://schemas.openxmlformats.org/officeDocument/2006/relationships/hyperlink" Target="http://10.32.16.105/systest/Reports/TestLink/SuiteExecC.php?plan=458131&amp;rep=F&amp;platform=1114" TargetMode="External"/><Relationship Id="rId116" Type="http://schemas.openxmlformats.org/officeDocument/2006/relationships/comments" Target="../comments4.xml"/><Relationship Id="rId20" Type="http://schemas.openxmlformats.org/officeDocument/2006/relationships/hyperlink" Target="http://intranet.atlnz.lc/systest/Reports/TestLink/SuiteExecC.php?plan=486547&amp;rep=F&amp;platform=1201" TargetMode="External"/><Relationship Id="rId41" Type="http://schemas.openxmlformats.org/officeDocument/2006/relationships/hyperlink" Target="https://jira.atlnz.lc/secure/Tests.jspa" TargetMode="External"/><Relationship Id="rId54" Type="http://schemas.openxmlformats.org/officeDocument/2006/relationships/hyperlink" Target="http://10.32.16.105/systest/Reports/TestLink/SuiteExecC.php?plan=478765&amp;rep=F&amp;platform=1201" TargetMode="External"/><Relationship Id="rId62" Type="http://schemas.openxmlformats.org/officeDocument/2006/relationships/hyperlink" Target="https://jira.atlnz.lc/secure/Tests.jspa" TargetMode="External"/><Relationship Id="rId70" Type="http://schemas.openxmlformats.org/officeDocument/2006/relationships/hyperlink" Target="http://10.32.16.105/systest/Reports/TestLink/SuiteExecC.php?plan=480963&amp;rep=F&amp;platform=707" TargetMode="External"/><Relationship Id="rId75" Type="http://schemas.openxmlformats.org/officeDocument/2006/relationships/hyperlink" Target="https://intranet.atlnz.lc/systest/Jira_Reports/testExecReport/jiraExecReport.php?testPlanKey=453&amp;projectKey=TQUALTCM&amp;Report=Report" TargetMode="External"/><Relationship Id="rId83" Type="http://schemas.openxmlformats.org/officeDocument/2006/relationships/hyperlink" Target="http://10.32.16.105/systest/Reports/TestLink/SuiteExecC.php?plan=467378&amp;rep=F&amp;platform=707" TargetMode="External"/><Relationship Id="rId88" Type="http://schemas.openxmlformats.org/officeDocument/2006/relationships/hyperlink" Target="http://10.32.16.105/systest/Reports/TestLink/SuiteExecC.php?plan=486547&amp;rep=F&amp;platform=412" TargetMode="External"/><Relationship Id="rId91" Type="http://schemas.openxmlformats.org/officeDocument/2006/relationships/hyperlink" Target="http://10.32.16.105/systest/Reports/TestLink/SuiteExecC.php?plan=486547&amp;rep=F&amp;platform=707" TargetMode="External"/><Relationship Id="rId96" Type="http://schemas.openxmlformats.org/officeDocument/2006/relationships/hyperlink" Target="https://wallace4.atlnz.lc/systest/Jira_Reports/testExecReport/jiraExecReport_wallace4.php?testPlanKey=197&amp;projectKey=TQUALTCM&amp;Report=Report" TargetMode="External"/><Relationship Id="rId111" Type="http://schemas.openxmlformats.org/officeDocument/2006/relationships/hyperlink" Target="https://wallace4.atlnz.lc/systest/Jira_Reports/testExecReport/jiraExecReport_wallace4.php?testPlanKey=532&amp;projectKey=TQUALTCM&amp;Report=Report" TargetMode="External"/><Relationship Id="rId1" Type="http://schemas.openxmlformats.org/officeDocument/2006/relationships/hyperlink" Target="https://intranet.atlnz.lc/systest/Jira_Reports/testExecReport/jiraExecReport.php?testPlanKey=65&amp;projectKey=TQUALTCM&amp;Report=Report" TargetMode="External"/><Relationship Id="rId6" Type="http://schemas.openxmlformats.org/officeDocument/2006/relationships/hyperlink" Target="http://10.32.16.105/systest/Reports/TestLink/SuiteExecC.php?plan=308259&amp;rep=F&amp;platform=1109" TargetMode="External"/><Relationship Id="rId15" Type="http://schemas.openxmlformats.org/officeDocument/2006/relationships/hyperlink" Target="https://jira.atlnz.lc/secure/Tests.jspa" TargetMode="External"/><Relationship Id="rId23" Type="http://schemas.openxmlformats.org/officeDocument/2006/relationships/hyperlink" Target="http://10.32.16.105/systest/Reports/TestLink/SuiteExecC.php?plan=486547&amp;rep=F&amp;platform=1146" TargetMode="External"/><Relationship Id="rId28" Type="http://schemas.openxmlformats.org/officeDocument/2006/relationships/hyperlink" Target="https://jira.atlnz.lc/secure/Tests.jspa" TargetMode="External"/><Relationship Id="rId36" Type="http://schemas.openxmlformats.org/officeDocument/2006/relationships/hyperlink" Target="http://10.32.16.105/systest/Reports/TestLink/SuiteExecC.php?plan=467378&amp;rep=F&amp;platform=707" TargetMode="External"/><Relationship Id="rId49" Type="http://schemas.openxmlformats.org/officeDocument/2006/relationships/hyperlink" Target="http://10.32.16.105/systest/Reports/TestLink/SuiteExecC.php?plan=308259&amp;rep=F&amp;platform=697" TargetMode="External"/><Relationship Id="rId57" Type="http://schemas.openxmlformats.org/officeDocument/2006/relationships/hyperlink" Target="http://10.32.16.105/systest/Reports/TestLink/SuiteExecC.php?plan=478765&amp;rep=F&amp;platform=1261" TargetMode="External"/><Relationship Id="rId106" Type="http://schemas.openxmlformats.org/officeDocument/2006/relationships/hyperlink" Target="http://10.32.16.105/systest/Reports/TestLink/SuiteExecC.php?plan=458131&amp;rep=F&amp;platform=698" TargetMode="External"/><Relationship Id="rId114" Type="http://schemas.openxmlformats.org/officeDocument/2006/relationships/printerSettings" Target="../printerSettings/printerSettings6.bin"/><Relationship Id="rId10" Type="http://schemas.openxmlformats.org/officeDocument/2006/relationships/hyperlink" Target="http://10.32.16.105/systest/Reports/TestLink/SuiteExecC.php?plan=458131&amp;rep=F&amp;platform=1110" TargetMode="External"/><Relationship Id="rId31" Type="http://schemas.openxmlformats.org/officeDocument/2006/relationships/hyperlink" Target="http://10.32.16.105/systest/Reports/TestLink/SuiteExecC.php?plan=478587&amp;rep=F&amp;platform=413" TargetMode="External"/><Relationship Id="rId44" Type="http://schemas.openxmlformats.org/officeDocument/2006/relationships/hyperlink" Target="https://intranet.atlnz.lc/systest/Jira_Reports/testExecReport/jiraExecReport.php?testPlanKey=62&amp;projectKey=TQUALTCM&amp;Report=Report" TargetMode="External"/><Relationship Id="rId52" Type="http://schemas.openxmlformats.org/officeDocument/2006/relationships/hyperlink" Target="https://intranet.atlnz.lc/systest/Jira_Reports/testExecReport/jiraExecReport.php?testPlanKey=263&amp;projectKey=TQUALTCM&amp;Report=Report" TargetMode="External"/><Relationship Id="rId60" Type="http://schemas.openxmlformats.org/officeDocument/2006/relationships/hyperlink" Target="https://intranet.atlnz.lc/systest/Jira_Reports/testExecReport/jiraExecReport.php?testPlanKey=224&amp;projectKey=TQUALTCM&amp;Report=Report" TargetMode="External"/><Relationship Id="rId65" Type="http://schemas.openxmlformats.org/officeDocument/2006/relationships/hyperlink" Target="http://10.32.16.105/systest/Reports/TestLink/SuiteExecC.php?plan=458131&amp;rep=F&amp;platform=698" TargetMode="External"/><Relationship Id="rId73" Type="http://schemas.openxmlformats.org/officeDocument/2006/relationships/hyperlink" Target="http://10.32.16.105/systest/Reports/TestLink/SuiteExecC.php?plan=458131&amp;rep=F&amp;platform=1114" TargetMode="External"/><Relationship Id="rId78" Type="http://schemas.openxmlformats.org/officeDocument/2006/relationships/hyperlink" Target="https://intranet.atlnz.lc/systest/Jira_Reports/testExecReport/jiraExecReport.php?testPlanKey=436&amp;projectKey=TQUALTCM&amp;Report=Report" TargetMode="External"/><Relationship Id="rId81" Type="http://schemas.openxmlformats.org/officeDocument/2006/relationships/hyperlink" Target="https://jira.atlnz.lc/secure/Tests.jspa" TargetMode="External"/><Relationship Id="rId86" Type="http://schemas.openxmlformats.org/officeDocument/2006/relationships/hyperlink" Target="https://intranet.atlnz.lc/systest/Jira_Reports/testExecReport/jiraExecReport.php?testPlanKey=59&amp;projectKey=TQUALTCM&amp;Report=Report" TargetMode="External"/><Relationship Id="rId94" Type="http://schemas.openxmlformats.org/officeDocument/2006/relationships/hyperlink" Target="https://wallace4.atlnz.lc/systest/Jira_Reports/testExecReport/jiraExecReport_wallace4.php?testPlanKey=194&amp;projectKey=TQUALTCM&amp;Report=Report" TargetMode="External"/><Relationship Id="rId99" Type="http://schemas.openxmlformats.org/officeDocument/2006/relationships/hyperlink" Target="https://wiki.atlnz.lc/awpwiki/index.php/Transceiver_Qualification_Status" TargetMode="External"/><Relationship Id="rId101" Type="http://schemas.openxmlformats.org/officeDocument/2006/relationships/hyperlink" Target="https://wiki.atlnz.lc/awpwiki/index.php/Transceiver_Qualification_Status" TargetMode="External"/><Relationship Id="rId4" Type="http://schemas.openxmlformats.org/officeDocument/2006/relationships/hyperlink" Target="https://jira.atlnz.lc/secure/Tests.jspa" TargetMode="External"/><Relationship Id="rId9" Type="http://schemas.openxmlformats.org/officeDocument/2006/relationships/hyperlink" Target="https://jira.atlnz.lc/secure/Tests.jspa" TargetMode="External"/><Relationship Id="rId13" Type="http://schemas.openxmlformats.org/officeDocument/2006/relationships/hyperlink" Target="http://10.32.16.105/systest/Reports/TestLink/SuiteExecC.php?plan=458114&amp;rep=F&amp;platform=700" TargetMode="External"/><Relationship Id="rId18" Type="http://schemas.openxmlformats.org/officeDocument/2006/relationships/hyperlink" Target="http://10.32.16.105/systest/Reports/TestLink/SuiteExecC.php?plan=310198&amp;rep=F&amp;platform=412" TargetMode="External"/><Relationship Id="rId39" Type="http://schemas.openxmlformats.org/officeDocument/2006/relationships/hyperlink" Target="http://10.32.16.105/systest/Reports/TestLink/SuiteExecC.php?plan=453983&amp;rep=F&amp;platform=696" TargetMode="External"/><Relationship Id="rId109" Type="http://schemas.openxmlformats.org/officeDocument/2006/relationships/hyperlink" Target="http://10.32.16.105/systest/Reports/TestLink/SuiteExecC.php?plan=467378&amp;rep=F&amp;platform=1146" TargetMode="External"/><Relationship Id="rId34" Type="http://schemas.openxmlformats.org/officeDocument/2006/relationships/hyperlink" Target="https://jira.atlnz.lc/secure/Tests.jspa" TargetMode="External"/><Relationship Id="rId50" Type="http://schemas.openxmlformats.org/officeDocument/2006/relationships/hyperlink" Target="http://10.32.16.105/systest/Reports/TestLink/SuiteExecC.php?plan=305653&amp;rep=F&amp;platform=413" TargetMode="External"/><Relationship Id="rId55" Type="http://schemas.openxmlformats.org/officeDocument/2006/relationships/hyperlink" Target="http://10.32.16.105/systest/Reports/TestLink/SuiteExecC.php?plan=478765&amp;rep=F&amp;platform=412" TargetMode="External"/><Relationship Id="rId76" Type="http://schemas.openxmlformats.org/officeDocument/2006/relationships/hyperlink" Target="https://jira.atlnz.lc/secure/Tests.jspa" TargetMode="External"/><Relationship Id="rId97" Type="http://schemas.openxmlformats.org/officeDocument/2006/relationships/hyperlink" Target="https://wallace4.atlnz.lc/systest/Jira_Reports/testExecReport/jiraExecReport_wallace4.php?testPlanKey=521&amp;projectKey=TQUALTCM&amp;Report=Report" TargetMode="External"/><Relationship Id="rId104" Type="http://schemas.openxmlformats.org/officeDocument/2006/relationships/hyperlink" Target="https://jira.atlnz.lc/secure/Tests.jspa" TargetMode="External"/><Relationship Id="rId7" Type="http://schemas.openxmlformats.org/officeDocument/2006/relationships/hyperlink" Target="https://intranet.atlnz.lc/systest/Jira_Reports/testExecReport/jiraExecReport.php?testPlanKey=66&amp;projectKey=TQUALTCM&amp;Report=Report" TargetMode="External"/><Relationship Id="rId71" Type="http://schemas.openxmlformats.org/officeDocument/2006/relationships/hyperlink" Target="http://10.32.16.105/systest/Reports/TestLink/SuiteExecC.php?plan=480963&amp;rep=F&amp;platform=413" TargetMode="External"/><Relationship Id="rId92" Type="http://schemas.openxmlformats.org/officeDocument/2006/relationships/hyperlink" Target="https://wallace4.atlnz.lc/systest/Jira_Reports/testExecReport/jiraExecReport_wallace4.php?testPlanKey=198&amp;projectKey=TQUALTCM&amp;Report=Report" TargetMode="External"/><Relationship Id="rId2" Type="http://schemas.openxmlformats.org/officeDocument/2006/relationships/hyperlink" Target="http://10.32.16.105/systest/Reports/TestLink/SuiteExecC.php?plan=453983&amp;rep=F&amp;platform=1109" TargetMode="External"/><Relationship Id="rId29" Type="http://schemas.openxmlformats.org/officeDocument/2006/relationships/hyperlink" Target="http://10.32.16.105/systest/Reports/TestLink/SuiteExecC.php?plan=478587&amp;rep=F&amp;platform=1146"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intranet.atlnz.lc/systest/Jira_Reports/testExecReport/jiraExecReport.php?testPlanKey=326&amp;projectKey=TQUALTCM&amp;Report=Report" TargetMode="External"/><Relationship Id="rId13" Type="http://schemas.openxmlformats.org/officeDocument/2006/relationships/hyperlink" Target="https://intranet.atlnz.lc/systest/Jira_Reports/testExecReport/jiraExecReport.php?testPlanKey=326&amp;projectKey=TQUALTCM&amp;Report=Report" TargetMode="External"/><Relationship Id="rId18" Type="http://schemas.openxmlformats.org/officeDocument/2006/relationships/hyperlink" Target="https://intranet.atlnz.lc/systest/Jira_Reports/testExecReport/jiraExecReport.php?testPlanKey=472&amp;projectKey=TQUALTCM&amp;Report=Report" TargetMode="External"/><Relationship Id="rId3" Type="http://schemas.openxmlformats.org/officeDocument/2006/relationships/hyperlink" Target="http://10.32.16.105/systest/Reports/TestLink/SuiteExecC.php?plan=478573&amp;rep=F&amp;platform=1185" TargetMode="External"/><Relationship Id="rId21" Type="http://schemas.openxmlformats.org/officeDocument/2006/relationships/hyperlink" Target="https://intranet.atlnz.lc/systest/Jira_Reports/testExecReport/jiraExecReport.php?testPlanKey=472&amp;projectKey=TQUALTCM&amp;Report=Report" TargetMode="External"/><Relationship Id="rId7" Type="http://schemas.openxmlformats.org/officeDocument/2006/relationships/hyperlink" Target="https://intranet.atlnz.lc/systest/Jira_Reports/testExecReport/jiraExecReport.php?testPlanKey=326&amp;projectKey=TQUALTCM&amp;Report=Report" TargetMode="External"/><Relationship Id="rId12" Type="http://schemas.openxmlformats.org/officeDocument/2006/relationships/hyperlink" Target="https://intranet.atlnz.lc/systest/Jira_Reports/testExecReport/jiraExecReport.php?testPlanKey=326&amp;projectKey=TQUALTCM&amp;Report=Report" TargetMode="External"/><Relationship Id="rId17" Type="http://schemas.openxmlformats.org/officeDocument/2006/relationships/hyperlink" Target="https://intranet.atlnz.lc/systest/Jira_Reports/testExecReport/jiraExecReport.php?testPlanKey=472&amp;projectKey=TQUALTCM&amp;Report=Report" TargetMode="External"/><Relationship Id="rId2" Type="http://schemas.openxmlformats.org/officeDocument/2006/relationships/hyperlink" Target="http://intranet.atlnz.lc/systest/Reports/TestLink/SuiteExecC.php?plan=486353&amp;rep=F&amp;platform=1259" TargetMode="External"/><Relationship Id="rId16" Type="http://schemas.openxmlformats.org/officeDocument/2006/relationships/hyperlink" Target="https://intranet.atlnz.lc/systest/Jira_Reports/testExecReport/jiraExecReport.php?testPlanKey=472&amp;projectKey=TQUALTCM&amp;Report=Report" TargetMode="External"/><Relationship Id="rId20" Type="http://schemas.openxmlformats.org/officeDocument/2006/relationships/hyperlink" Target="https://intranet.atlnz.lc/systest/Jira_Reports/testExecReport/jiraExecReport.php?testPlanKey=326&amp;projectKey=TQUALTCM&amp;Report=Report" TargetMode="External"/><Relationship Id="rId1" Type="http://schemas.openxmlformats.org/officeDocument/2006/relationships/hyperlink" Target="http://intranet.atlnz.lc/systest/Reports/TestLink/SuiteExecC.php?plan=480965&amp;rep=F&amp;platform=1259" TargetMode="External"/><Relationship Id="rId6" Type="http://schemas.openxmlformats.org/officeDocument/2006/relationships/hyperlink" Target="http://intranet.atlnz.lc/systest/Reports/TestLink/SuiteExecC.php?plan=493903&amp;rep=F&amp;platform=1186" TargetMode="External"/><Relationship Id="rId11" Type="http://schemas.openxmlformats.org/officeDocument/2006/relationships/hyperlink" Target="https://intranet.atlnz.lc/systest/Jira_Reports/testExecReport/jiraExecReport.php?testPlanKey=326&amp;projectKey=TQUALTCM&amp;Report=Report" TargetMode="External"/><Relationship Id="rId24" Type="http://schemas.openxmlformats.org/officeDocument/2006/relationships/comments" Target="../comments5.xml"/><Relationship Id="rId5" Type="http://schemas.openxmlformats.org/officeDocument/2006/relationships/hyperlink" Target="http://10.32.16.105/systest/Reports/TestLink/SuiteExecC.php?plan=478573&amp;rep=F&amp;platform=1186" TargetMode="External"/><Relationship Id="rId15" Type="http://schemas.openxmlformats.org/officeDocument/2006/relationships/hyperlink" Target="https://intranet.atlnz.lc/systest/Jira_Reports/testExecReport/jiraExecReport.php?testPlanKey=472&amp;projectKey=TQUALTCM&amp;Report=Report" TargetMode="External"/><Relationship Id="rId23" Type="http://schemas.openxmlformats.org/officeDocument/2006/relationships/vmlDrawing" Target="../drawings/vmlDrawing5.vml"/><Relationship Id="rId10" Type="http://schemas.openxmlformats.org/officeDocument/2006/relationships/hyperlink" Target="https://intranet.atlnz.lc/systest/Jira_Reports/testExecReport/jiraExecReport.php?testPlanKey=326&amp;projectKey=TQUALTCM&amp;Report=Report" TargetMode="External"/><Relationship Id="rId19" Type="http://schemas.openxmlformats.org/officeDocument/2006/relationships/hyperlink" Target="https://intranet.atlnz.lc/systest/Jira_Reports/testExecReport/jiraExecReport.php?testPlanKey=326&amp;projectKey=TQUALTCM&amp;Report=Report" TargetMode="External"/><Relationship Id="rId4" Type="http://schemas.openxmlformats.org/officeDocument/2006/relationships/hyperlink" Target="http://intranet.atlnz.lc/systest/Reports/TestLink/SuiteExecC.php?plan=493903&amp;rep=F&amp;platform=1185" TargetMode="External"/><Relationship Id="rId9" Type="http://schemas.openxmlformats.org/officeDocument/2006/relationships/hyperlink" Target="https://intranet.atlnz.lc/systest/Jira_Reports/testExecReport/jiraExecReport.php?testPlanKey=326&amp;projectKey=TQUALTCM&amp;Report=Report" TargetMode="External"/><Relationship Id="rId14" Type="http://schemas.openxmlformats.org/officeDocument/2006/relationships/hyperlink" Target="https://intranet.atlnz.lc/systest/Jira_Reports/testExecReport/jiraExecReport.php?testPlanKey=326&amp;projectKey=TQUALTCM&amp;Report=Report" TargetMode="External"/><Relationship Id="rId22"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10.32.16.105/systest/Reports/TestLink/SuiteExecC.php?plan=144377&amp;rep=F&amp;platform=391"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0.bin"/><Relationship Id="rId1" Type="http://schemas.openxmlformats.org/officeDocument/2006/relationships/hyperlink" Target="http://www.alliedtelesis.com/media/datasheets/sbx908_ds.pdf" TargetMode="Externa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hyperlink" Target="https://testlink.atlnz.lc/login.php" TargetMode="External"/><Relationship Id="rId7" Type="http://schemas.openxmlformats.org/officeDocument/2006/relationships/printerSettings" Target="../printerSettings/printerSettings11.bin"/><Relationship Id="rId2" Type="http://schemas.openxmlformats.org/officeDocument/2006/relationships/hyperlink" Target="https://wiki.atlnz.lc/awpwiki/index.php/Qualification_Transceiver_Inventory" TargetMode="External"/><Relationship Id="rId1" Type="http://schemas.openxmlformats.org/officeDocument/2006/relationships/hyperlink" Target="https://wiki.atlnz.lc/awpwiki/index.php/Qualification_Transceiver_Inventory" TargetMode="External"/><Relationship Id="rId6" Type="http://schemas.openxmlformats.org/officeDocument/2006/relationships/hyperlink" Target="https://wiki.atlnz.lc/awpwiki/index.php/Transceiver_Qualification_Rules" TargetMode="External"/><Relationship Id="rId5" Type="http://schemas.openxmlformats.org/officeDocument/2006/relationships/hyperlink" Target="https://wiki.atlnz.lc/awpwiki/index.php/Qualification_Transceiver_Inventory" TargetMode="External"/><Relationship Id="rId4" Type="http://schemas.openxmlformats.org/officeDocument/2006/relationships/hyperlink" Target="https://wiki.atlnz.lc/awpwiki/index.php/3009_pluggable_qualifications"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hyperlink" Target="http://intranet.alliedtelesyn.co.nz/systest/products/Accessories/pluggable_transceiver/results/XFP/AT-XPLR_RevD_Delta/x900_XEM-1XP-Multi/" TargetMode="External"/><Relationship Id="rId21" Type="http://schemas.openxmlformats.org/officeDocument/2006/relationships/hyperlink" Target="http://intranet.alliedtelesyn.co.nz/systest/products/Accessories/pluggable_transceiver/results/XFP/AT-XPLR_RevD_Delta/x900_XEM-1XP_XEM-2XP/" TargetMode="External"/><Relationship Id="rId34" Type="http://schemas.openxmlformats.org/officeDocument/2006/relationships/hyperlink" Target="http://10.32.16.105/systest/products/Accessories/pluggable_transceiver/History/DDM/RE%20SFPs%20with%20DDM%20chips.rtf" TargetMode="External"/><Relationship Id="rId42" Type="http://schemas.openxmlformats.org/officeDocument/2006/relationships/hyperlink" Target="http://10.32.16.105/systest/Reports/TestLink/SuiteExecC.php?plan=70310&amp;rep=F" TargetMode="External"/><Relationship Id="rId47" Type="http://schemas.openxmlformats.org/officeDocument/2006/relationships/hyperlink" Target="http://10.32.16.105/systest/products/Accessories/pluggable_transceiver/results_aw+/XFP/AT-XPLR_RevC_Delta_TSP-10G3B1QER-A-Rev0A/x900-12XT_S" TargetMode="External"/><Relationship Id="rId50" Type="http://schemas.openxmlformats.org/officeDocument/2006/relationships/hyperlink" Target="http://10.32.16.105/systest/products/Accessories/pluggable_transceiver/results/XFP/AT-XPLR_RevC_Delta_TSP-10G3B1QER-A-Rev0A/SB4541" TargetMode="External"/><Relationship Id="rId55" Type="http://schemas.openxmlformats.org/officeDocument/2006/relationships/hyperlink" Target="file:///\\CIFS\..\C:\C:\Documents%252525252525252525252525252525252520and%252525252525252525252525252525252520Settings\sherifa\Application%252525252525252525252525252525252520Data\Microsoft\Excel\results\XFP\Sumitomo_SXP3101L2\SVT_DVT_AT-XPER80.xls" TargetMode="External"/><Relationship Id="rId63" Type="http://schemas.openxmlformats.org/officeDocument/2006/relationships/hyperlink" Target="file:///\\CIFS\..\C:\C:\Documents%252525252525252525252525252525252520and%252525252525252525252525252525252520Settings\sherifa\Application%252525252525252525252525252525252520Data\Microsoft\Excel\results\XFP\Finisar_FTRX-1811-3\XFP_Finisar_FTRX-1811-3_Qualification_Tes" TargetMode="External"/><Relationship Id="rId68" Type="http://schemas.openxmlformats.org/officeDocument/2006/relationships/hyperlink" Target="file:///\\CIFS\..\C:\C:\Documents%252525252525252525252525252525252520and%252525252525252525252525252525252520Settings\sherifa\Application%252525252525252525252525252525252520Data\Microsoft\Excel\results_aw+\XFP\AT-XPER40_SumitomoElectric_SXP3101EX\DVT\x600-24Ts_XFP\x6" TargetMode="External"/><Relationship Id="rId76" Type="http://schemas.openxmlformats.org/officeDocument/2006/relationships/hyperlink" Target="http://10.32.16.105/systest/products/Accessories/pluggable_transceiver/results/XFP/AT-XPLR_Finisar_FTRX-1411-3/IMG_1451.jpg" TargetMode="External"/><Relationship Id="rId84" Type="http://schemas.openxmlformats.org/officeDocument/2006/relationships/hyperlink" Target="http://10.32.16.105/systest/products/Accessories/pluggable_transceiver/History/DDM/RE%20SFPs%20with%20DDM%20chips.rtf" TargetMode="External"/><Relationship Id="rId89" Type="http://schemas.openxmlformats.org/officeDocument/2006/relationships/hyperlink" Target="http://10.32.16.105/systest/products/Accessories/pluggable_transceiver/results_aw+/XFP/AT-XPSR_Delta_TSP-10G3A1EER/Switchblade-x908_XEM-1XP" TargetMode="External"/><Relationship Id="rId97" Type="http://schemas.openxmlformats.org/officeDocument/2006/relationships/hyperlink" Target="http://10.32.16.105/systest/Reports/TestLink/SuiteExecC.php?plan=70321&amp;rep=F" TargetMode="External"/><Relationship Id="rId7" Type="http://schemas.openxmlformats.org/officeDocument/2006/relationships/hyperlink" Target="http://www.alliedtelesis.com/media/datasheets/sb4000_family_ds.pdf" TargetMode="External"/><Relationship Id="rId71" Type="http://schemas.openxmlformats.org/officeDocument/2006/relationships/hyperlink" Target="http://10.32.16.105/systest/products/Accessories/pluggable_transceiver/results/XFP/Sumitomo_SXP3101LX" TargetMode="External"/><Relationship Id="rId92" Type="http://schemas.openxmlformats.org/officeDocument/2006/relationships/hyperlink" Target="http://10.32.16.105/systest/Reports/TestLink/SuiteExecC.php?plan=70511&amp;rep=F" TargetMode="External"/><Relationship Id="rId2" Type="http://schemas.openxmlformats.org/officeDocument/2006/relationships/hyperlink" Target="http://www.alliedtelesis.com/media/datasheets/sfp_ds.pdf" TargetMode="External"/><Relationship Id="rId16" Type="http://schemas.openxmlformats.org/officeDocument/2006/relationships/hyperlink" Target="http://10.32.16.105/systest/Reports/TestLink/SuiteExecC.php?plan=72101&amp;rep=F" TargetMode="External"/><Relationship Id="rId29" Type="http://schemas.openxmlformats.org/officeDocument/2006/relationships/hyperlink" Target="http://10.32.16.105/systest/products/Accessories/pluggable_transceiver/Datasheets/Supported/AT-XPER40/AT-XPER40%20(990-000506-00)-Sumitomo_02.pdf" TargetMode="External"/><Relationship Id="rId11" Type="http://schemas.openxmlformats.org/officeDocument/2006/relationships/hyperlink" Target="http://www.alliedtelesis.com/media/datasheets/xpsr_ds_a.pdf" TargetMode="External"/><Relationship Id="rId24" Type="http://schemas.openxmlformats.org/officeDocument/2006/relationships/hyperlink" Target="http://intranet.alliedtelesyn.co.nz/systest/products/Accessories/pluggable_transceiver/results/XFP/AT-XPLR_RevD_Delta/x600-24Ts_XP/" TargetMode="External"/><Relationship Id="rId32" Type="http://schemas.openxmlformats.org/officeDocument/2006/relationships/hyperlink" Target="http://intranet.alliedtelesyn.co.nz/systest/products/Accessories/pluggable_transceiver/results_aw+/XFP/AT-XPER40_SumitomoElectric_SXP3101EX-AM2" TargetMode="External"/><Relationship Id="rId37" Type="http://schemas.openxmlformats.org/officeDocument/2006/relationships/hyperlink" Target="http://10.32.16.105/systest/Reports/TestLink/SuiteExecC.php?plan=70178&amp;rep=F" TargetMode="External"/><Relationship Id="rId40" Type="http://schemas.openxmlformats.org/officeDocument/2006/relationships/hyperlink" Target="http://10.32.16.105/systest/Reports/TestLink/SuiteExecC.php?plan=70196&amp;rep=F" TargetMode="External"/><Relationship Id="rId45" Type="http://schemas.openxmlformats.org/officeDocument/2006/relationships/hyperlink" Target="http://www.alliedtelesis.com/media/datasheets/XPLR_DS.pdf" TargetMode="External"/><Relationship Id="rId53" Type="http://schemas.openxmlformats.org/officeDocument/2006/relationships/hyperlink" Target="http://www.alliedtelesis.com/media/datasheets/xper80_ds_a.pdf" TargetMode="External"/><Relationship Id="rId58" Type="http://schemas.openxmlformats.org/officeDocument/2006/relationships/hyperlink" Target="http://10.32.16.105/systest/products/Accessories/pluggable_transceiver/Datasheets/Supported/AT-XPSR/JDSU/Acrobat%20Document.pdf" TargetMode="External"/><Relationship Id="rId66" Type="http://schemas.openxmlformats.org/officeDocument/2006/relationships/hyperlink" Target="http://10.32.16.105/systest/products/Accessories/pluggable_transceiver/Datasheets/Supported/AT-XPER40/AT-XPER40%20(990-000506-00)-Sumitomo.pdf" TargetMode="External"/><Relationship Id="rId74" Type="http://schemas.openxmlformats.org/officeDocument/2006/relationships/hyperlink" Target="file:///\\CIFS\..\C:\C:\Documents%252525252525252525252525252525252520and%252525252525252525252525252525252520Settings\sherifa\Application%252525252525252525252525252525252520Data\Microsoft\Excel\results\DVT_Archive\SFP&amp;XFP\XFPqualifiedon10GE.xls" TargetMode="External"/><Relationship Id="rId79" Type="http://schemas.openxmlformats.org/officeDocument/2006/relationships/hyperlink" Target="file:///\\CIFS\..\C:\C:\Documents%252525252525252525252525252525252520and%252525252525252525252525252525252520Settings\sherifa\Application%252525252525252525252525252525252520Data\Microsoft\Excel\results_aw+\XFP\Finisar-FTRX1411\DVT\x600-24Ts_XFP\x600-24Ts_XFP-Finisar-" TargetMode="External"/><Relationship Id="rId87" Type="http://schemas.openxmlformats.org/officeDocument/2006/relationships/hyperlink" Target="http://10.32.16.105/systest/products/Accessories/pluggable_transceiver/results_aw+/XFP/AT-XPSR_Delta_TSP-10G3A1EER/x900-24XS" TargetMode="External"/><Relationship Id="rId5" Type="http://schemas.openxmlformats.org/officeDocument/2006/relationships/hyperlink" Target="http://www.alliedtelesis.com/media/datasheets/sbx908_ds.pdf" TargetMode="External"/><Relationship Id="rId61" Type="http://schemas.openxmlformats.org/officeDocument/2006/relationships/hyperlink" Target="http://10.32.16.105/systest/products/Accessories/pluggable_transceiver/History/AT-XPLR" TargetMode="External"/><Relationship Id="rId82" Type="http://schemas.openxmlformats.org/officeDocument/2006/relationships/hyperlink" Target="file:///\\CIFS\..\C:\C:\Documents%252525252525252525252525252525252520and%252525252525252525252525252525252520Settings\sherifa\Application%252525252525252525252525252525252520Data\Microsoft\Excel\results\DVT_Archive\SFP&amp;XFP\XFPqualifiedon10GE.xls" TargetMode="External"/><Relationship Id="rId90" Type="http://schemas.openxmlformats.org/officeDocument/2006/relationships/hyperlink" Target="http://10.32.16.105/systest/products/Accessories/pluggable_transceiver/results_aw+/XFP/AT-XPSR_Delta_TSP-10G3A1EER/x600-24Ts_XFP" TargetMode="External"/><Relationship Id="rId95" Type="http://schemas.openxmlformats.org/officeDocument/2006/relationships/hyperlink" Target="http://10.32.16.105/systest/Reports/TestLink/SuiteExecC.php?plan=70483&amp;rep=F" TargetMode="External"/><Relationship Id="rId19" Type="http://schemas.openxmlformats.org/officeDocument/2006/relationships/hyperlink" Target="http://10.32.16.105/systest/products/Accessories/pluggable_transceiver/History/DDM/RE%20SFPs%20with%20DDM%20chips.rtf" TargetMode="External"/><Relationship Id="rId14" Type="http://schemas.openxmlformats.org/officeDocument/2006/relationships/hyperlink" Target="http://10.32.16.105/systest/Reports/TestLink/SuiteExecC.php?plan=71183&amp;rep=F" TargetMode="External"/><Relationship Id="rId22" Type="http://schemas.openxmlformats.org/officeDocument/2006/relationships/hyperlink" Target="http://intranet.alliedtelesyn.co.nz/systest/products/Accessories/pluggable_transceiver/results/XFP/AT-XPLR_RevD_Delta/x908_XEM-1XP_XEM-2XP/" TargetMode="External"/><Relationship Id="rId27" Type="http://schemas.openxmlformats.org/officeDocument/2006/relationships/hyperlink" Target="http://intranet.alliedtelesyn.co.nz/systest/products/Accessories/pluggable_transceiver/results/XFP/AT-XPLR_RevD_Delta/SB4211/" TargetMode="External"/><Relationship Id="rId30" Type="http://schemas.openxmlformats.org/officeDocument/2006/relationships/hyperlink" Target="http://www.alliedtelesis.com/media/datasheets/xper40_ds_a.pdf" TargetMode="External"/><Relationship Id="rId35" Type="http://schemas.openxmlformats.org/officeDocument/2006/relationships/hyperlink" Target="http://10.32.16.105/systest/products/Accessories/pluggable_transceiver/Datasheets/Supported/AT-XPER80/AT-XPER80%20(990-001939-00)-Sumitomo.pdf" TargetMode="External"/><Relationship Id="rId43" Type="http://schemas.openxmlformats.org/officeDocument/2006/relationships/hyperlink" Target="http://10.32.16.105/systest/products/Accessories/pluggable_transceiver/History/DDM/RE%20SFPs%20with%20DDM%20chips.rtf" TargetMode="External"/><Relationship Id="rId48" Type="http://schemas.openxmlformats.org/officeDocument/2006/relationships/hyperlink" Target="http://10.32.16.105/systest/products/Accessories/pluggable_transceiver/results_aw+/XFP/AT-XPLR_RevC_Delta_TSP-10G3B1QER-A-Rev0A/x908" TargetMode="External"/><Relationship Id="rId56" Type="http://schemas.openxmlformats.org/officeDocument/2006/relationships/hyperlink" Target="file:///\\CIFS\..\C:\C:\Documents%252525252525252525252525252525252520and%252525252525252525252525252525252520Settings\sherifa\Application%252525252525252525252525252525252520Data\Microsoft\Excel\results\XFP\Sumitomo_SXP3101L2\SVT_DVT_AT-XPER80.xls" TargetMode="External"/><Relationship Id="rId64" Type="http://schemas.openxmlformats.org/officeDocument/2006/relationships/hyperlink" Target="file:///\\CIFS\..\C:\C:\Documents%252525252525252525252525252525252520and%252525252525252525252525252525252520Settings\sherifa\Application%252525252525252525252525252525252520Data\Microsoft\Excel\results\XFP\Finisar_FTRX-1811-3\XFP_Finisar_FTRX-1811-3_Qualification_Tes" TargetMode="External"/><Relationship Id="rId69" Type="http://schemas.openxmlformats.org/officeDocument/2006/relationships/hyperlink" Target="file:///\\CIFS\..\C:\C:\Documents%252525252525252525252525252525252520and%252525252525252525252525252525252520Settings\sherifa\Application%252525252525252525252525252525252520Data\Microsoft\Excel\results\XFP\Sumitomo_SXP3101EX\XFP_(SumitomoElectric_SXP3101EX-01)_Test_R" TargetMode="External"/><Relationship Id="rId77" Type="http://schemas.openxmlformats.org/officeDocument/2006/relationships/hyperlink" Target="http://10.32.16.105/systest/products/Accessories/pluggable_transceiver/Datasheets/Supported/AT-XPLR/AT-XPLR%20(990-001937-00)-Finisar_D.pdf" TargetMode="External"/><Relationship Id="rId100" Type="http://schemas.openxmlformats.org/officeDocument/2006/relationships/comments" Target="../comments8.xml"/><Relationship Id="rId8" Type="http://schemas.openxmlformats.org/officeDocument/2006/relationships/hyperlink" Target="http://10.32.16.105/systest/products/Accessories/pluggable_transceiver/results/XFP/AT-XPSR_RevA_Delta_TSP-10G3A1EER/IMG_1450.jpg" TargetMode="External"/><Relationship Id="rId51" Type="http://schemas.openxmlformats.org/officeDocument/2006/relationships/hyperlink" Target="http://10.32.16.105/systest/products/Accessories/pluggable_transceiver/History/DDM/RE%20SFPs%20with%20DDM%20chips.rtf" TargetMode="External"/><Relationship Id="rId72" Type="http://schemas.openxmlformats.org/officeDocument/2006/relationships/hyperlink" Target="file:///\\CIFS\..\C:\C:\Documents%252525252525252525252525252525252520and%252525252525252525252525252525252520Settings\sherifa\Application%252525252525252525252525252525252520Data\Microsoft\Excel\results\XFP\Sumitomo_SXP3101LX\XFP_(SumitomoElectric_SXP3101LX)_Test_Repo" TargetMode="External"/><Relationship Id="rId80" Type="http://schemas.openxmlformats.org/officeDocument/2006/relationships/hyperlink" Target="file:///\\CIFS\..\C:\C:\Documents%252525252525252525252525252525252520and%252525252525252525252525252525252520Settings\sherifa\Application%252525252525252525252525252525252520Data\Microsoft\Excel\results\DVT_Archive\SFP&amp;XFP\XFPqualifiedon10GE.xls" TargetMode="External"/><Relationship Id="rId85" Type="http://schemas.openxmlformats.org/officeDocument/2006/relationships/hyperlink" Target="http://10.32.16.105/systest/products/Accessories/pluggable_transceiver/Datasheets/Supported/AT-XPSR/Delta_TSP-10G3A1EER_S2.pdf" TargetMode="External"/><Relationship Id="rId93" Type="http://schemas.openxmlformats.org/officeDocument/2006/relationships/hyperlink" Target="http://10.32.16.105/systest/Reports/TestLink/SuiteExecC.php?plan=70515&amp;rep=F" TargetMode="External"/><Relationship Id="rId98" Type="http://schemas.openxmlformats.org/officeDocument/2006/relationships/printerSettings" Target="../printerSettings/printerSettings17.bin"/><Relationship Id="rId3" Type="http://schemas.openxmlformats.org/officeDocument/2006/relationships/hyperlink" Target="http://www.alliedtelesis.com/media/datasheets/x900-12x_24x_ds.pdf" TargetMode="External"/><Relationship Id="rId12" Type="http://schemas.openxmlformats.org/officeDocument/2006/relationships/hyperlink" Target="http://10.32.16.105/systest/Reports/TestLink/SuiteExecC.php?plan=72099&amp;rep=F" TargetMode="External"/><Relationship Id="rId17" Type="http://schemas.openxmlformats.org/officeDocument/2006/relationships/hyperlink" Target="http://10.32.16.105/systest/Reports/TestLink/SuiteExecC.php?plan=72102&amp;rep=F" TargetMode="External"/><Relationship Id="rId25" Type="http://schemas.openxmlformats.org/officeDocument/2006/relationships/hyperlink" Target="http://intranet.alliedtelesyn.co.nz/systest/products/Accessories/pluggable_transceiver/results/XFP/AT-XPLR_RevD_Delta/AT-9924Ts/" TargetMode="External"/><Relationship Id="rId33" Type="http://schemas.openxmlformats.org/officeDocument/2006/relationships/hyperlink" Target="http://intranet.alliedtelesyn.co.nz/systest/products/Accessories/pluggable_transceiver/results_aw+/XFP/AT-XPER40_SumitomoElectric_SXP3101EX-AM2" TargetMode="External"/><Relationship Id="rId38" Type="http://schemas.openxmlformats.org/officeDocument/2006/relationships/hyperlink" Target="http://10.32.16.105/systest/Reports/TestLink/SuiteExecC.php?plan=70187&amp;rep=F" TargetMode="External"/><Relationship Id="rId46" Type="http://schemas.openxmlformats.org/officeDocument/2006/relationships/hyperlink" Target="http://10.32.16.105/systest/products/Accessories/pluggable_transceiver/History/AT-XPLR" TargetMode="External"/><Relationship Id="rId59" Type="http://schemas.openxmlformats.org/officeDocument/2006/relationships/hyperlink" Target="file:///\\CIFS\..\C:\C:\Documents%252525252525252525252525252525252520and%252525252525252525252525252525252520Settings\sherifa\Application%252525252525252525252525252525252520Data\Microsoft\Excel\results_aw+\XFP\JDSU" TargetMode="External"/><Relationship Id="rId67" Type="http://schemas.openxmlformats.org/officeDocument/2006/relationships/hyperlink" Target="file:///\\CIFS\..\C:\C:\Documents%252525252525252525252525252525252520and%252525252525252525252525252525252520Settings\sherifa\Application%252525252525252525252525252525252520Data\Microsoft\Excel\results_aw+\XFP\AT-XPER40_SumitomoElectric_SXP3101EX" TargetMode="External"/><Relationship Id="rId20" Type="http://schemas.openxmlformats.org/officeDocument/2006/relationships/hyperlink" Target="http://www.alliedtelesis.com/media/datasheets/XPLR_DS.pdf" TargetMode="External"/><Relationship Id="rId41" Type="http://schemas.openxmlformats.org/officeDocument/2006/relationships/hyperlink" Target="http://10.32.16.105/systest/Reports/TestLink/SuiteExecC.php?plan=70197&amp;rep=F" TargetMode="External"/><Relationship Id="rId54" Type="http://schemas.openxmlformats.org/officeDocument/2006/relationships/hyperlink" Target="file:///\\CIFS\..\C:\C:\Documents%252525252525252525252525252525252520and%252525252525252525252525252525252520Settings\sherifa\Application%252525252525252525252525252525252520Data\Microsoft\Excel\results\XFP\Sumitomo_SXP3101L2\SVT_DVT_AT-XPER80.xls" TargetMode="External"/><Relationship Id="rId62" Type="http://schemas.openxmlformats.org/officeDocument/2006/relationships/hyperlink" Target="file:///\\CIFS\..\C:\C:\Documents%252525252525252525252525252525252520and%252525252525252525252525252525252520Settings\sherifa\Application%252525252525252525252525252525252520Data\Microsoft\Excel\results_aw+\XFP\AT-XPLR_Delta_TSP-10G3B1QER" TargetMode="External"/><Relationship Id="rId70" Type="http://schemas.openxmlformats.org/officeDocument/2006/relationships/hyperlink" Target="file:///\\CIFS\..\C:\C:\Documents%252525252525252525252525252525252520and%252525252525252525252525252525252520Settings\sherifa\Application%252525252525252525252525252525252520Data\Microsoft\Excel\results\XFP\Sumitomo_SXP3101EX\XFP_(SumitomoElectric_SXP3101EX-01)_Test_R" TargetMode="External"/><Relationship Id="rId75" Type="http://schemas.openxmlformats.org/officeDocument/2006/relationships/hyperlink" Target="file:///\\CIFS\..\C:\C:\Documents%252525252525252525252525252525252520and%252525252525252525252525252525252520Settings\sherifa\Application%252525252525252525252525252525252520Data\Microsoft\Excel\results\DVT_Archive\SFP&amp;XFP\XFPqualifiedon10GE.xls" TargetMode="External"/><Relationship Id="rId83" Type="http://schemas.openxmlformats.org/officeDocument/2006/relationships/hyperlink" Target="http://10.32.16.105/systest/products/Accessories/pluggable_transceiver/results/XFP/AT-XPSR_RevA_Delta_TSP-10G3A1EER/IMG_1450.jpg" TargetMode="External"/><Relationship Id="rId88" Type="http://schemas.openxmlformats.org/officeDocument/2006/relationships/hyperlink" Target="http://10.32.16.105/systest/products/Accessories/pluggable_transceiver/results_aw+/XFP/AT-XPSR_Delta_TSP-10G3A1EER/x900-12XT-s" TargetMode="External"/><Relationship Id="rId91" Type="http://schemas.openxmlformats.org/officeDocument/2006/relationships/hyperlink" Target="http://10.32.16.105/systest/products/Accessories/pluggable_transceiver/History/DDM/RE%20SFPs%20with%20DDM%20chips.rtf" TargetMode="External"/><Relationship Id="rId96" Type="http://schemas.openxmlformats.org/officeDocument/2006/relationships/hyperlink" Target="http://10.32.16.105/systest/Reports/TestLink/SuiteExecC.php?plan=70480&amp;rep=F" TargetMode="External"/><Relationship Id="rId1" Type="http://schemas.openxmlformats.org/officeDocument/2006/relationships/hyperlink" Target="http://10.32.16.105/systest/products/Accessories/pluggable_transceiver/History/DDM/DDM.txt" TargetMode="External"/><Relationship Id="rId6" Type="http://schemas.openxmlformats.org/officeDocument/2006/relationships/hyperlink" Target="http://www.alliedtelesis.com/media/datasheets/sbx908_ds.pdf" TargetMode="External"/><Relationship Id="rId15" Type="http://schemas.openxmlformats.org/officeDocument/2006/relationships/hyperlink" Target="http://10.32.16.105/systest/Reports/TestLink/SuiteExecC.php?plan=72100&amp;rep=F" TargetMode="External"/><Relationship Id="rId23" Type="http://schemas.openxmlformats.org/officeDocument/2006/relationships/hyperlink" Target="http://intranet.alliedtelesyn.co.nz/systest/products/Accessories/pluggable_transceiver/results/XFP/AT-XPLR_RevD_Delta/x908_XEM-1XP_XEM-2XP/" TargetMode="External"/><Relationship Id="rId28" Type="http://schemas.openxmlformats.org/officeDocument/2006/relationships/hyperlink" Target="http://10.32.16.105/systest/products/Accessories/pluggable_transceiver/History/DDM/RE%20SFPs%20with%20DDM%20chips.rtf" TargetMode="External"/><Relationship Id="rId36" Type="http://schemas.openxmlformats.org/officeDocument/2006/relationships/hyperlink" Target="http://www.alliedtelesis.com/media/datasheets/xper80_ds_a.pdf" TargetMode="External"/><Relationship Id="rId49" Type="http://schemas.openxmlformats.org/officeDocument/2006/relationships/hyperlink" Target="http://10.32.16.105/systest/products/Accessories/pluggable_transceiver/results_aw+/XFP/AT-XPLR_RevC_Delta_TSP-10G3B1QER-A-Rev0A/x600-24Ts_XP" TargetMode="External"/><Relationship Id="rId57" Type="http://schemas.openxmlformats.org/officeDocument/2006/relationships/hyperlink" Target="http://10.32.16.105/systest/products/Accessories/pluggable_transceiver/results/XFP/AT-XPSR_JDSU_64P0470/IMG_1447.jpg" TargetMode="External"/><Relationship Id="rId10" Type="http://schemas.openxmlformats.org/officeDocument/2006/relationships/hyperlink" Target="http://10.32.16.105/systest/products/Accessories/pluggable_transceiver/Datasheets/Supported/AT-XPSR/Delta_TSP-10G3A1EER_S2.pdf" TargetMode="External"/><Relationship Id="rId31" Type="http://schemas.openxmlformats.org/officeDocument/2006/relationships/hyperlink" Target="http://10.32.16.105/systest/products/Accessories/pluggable_transceiver/History/AT-XPER40" TargetMode="External"/><Relationship Id="rId44" Type="http://schemas.openxmlformats.org/officeDocument/2006/relationships/hyperlink" Target="http://10.32.16.105/systest/products/Accessories/pluggable_transceiver/Datasheets/Supported/AT-XPLR/AT-XPLR%20(990-001937-00)-Delta_0A.pdf" TargetMode="External"/><Relationship Id="rId52" Type="http://schemas.openxmlformats.org/officeDocument/2006/relationships/hyperlink" Target="http://10.32.16.105/systest/products/Accessories/pluggable_transceiver/Datasheets/Supported/AT-XPER80/AT-XPER80%20(990-001939-00)-Sumitomo.pdf" TargetMode="External"/><Relationship Id="rId60" Type="http://schemas.openxmlformats.org/officeDocument/2006/relationships/hyperlink" Target="file:///\\CIFS\..\C:\C:\Documents%252525252525252525252525252525252520and%252525252525252525252525252525252520Settings\sherifa\Application%252525252525252525252525252525252520Data\Microsoft\Excel\results_aw+\XFP\JDSU\DVT\x600-24Ts_XFP\x600-24Ts_XFP-JDSU-JXPRO1SW05504.x" TargetMode="External"/><Relationship Id="rId65" Type="http://schemas.openxmlformats.org/officeDocument/2006/relationships/hyperlink" Target="http://10.32.16.105/systest/products/Accessories/pluggable_transceiver/results/XFP/Sumitomo_SXP3101EX/IMG_1449.jpg" TargetMode="External"/><Relationship Id="rId73" Type="http://schemas.openxmlformats.org/officeDocument/2006/relationships/hyperlink" Target="file:///\\CIFS\..\C:\C:\Documents%252525252525252525252525252525252520and%252525252525252525252525252525252520Settings\sherifa\Application%252525252525252525252525252525252520Data\Microsoft\Excel\results\XFP\Sumitomo_SXP3101LX\XFP_(SumitomoElectric_SXP3101LX)_Test_Repo" TargetMode="External"/><Relationship Id="rId78" Type="http://schemas.openxmlformats.org/officeDocument/2006/relationships/hyperlink" Target="file:///\\CIFS\..\C:\C:\Documents%252525252525252525252525252525252520and%252525252525252525252525252525252520Settings\sherifa\Application%252525252525252525252525252525252520Data\Microsoft\Excel\results_aw+\XFP\Finisar-FTRX1411" TargetMode="External"/><Relationship Id="rId81" Type="http://schemas.openxmlformats.org/officeDocument/2006/relationships/hyperlink" Target="http://10.32.16.105/systest/products/Accessories/pluggable_transceiver/Datasheets/Supported/AT-XPSR/AT-XPSR%20(990-001936-00)-JDSU_002.pdf" TargetMode="External"/><Relationship Id="rId86" Type="http://schemas.openxmlformats.org/officeDocument/2006/relationships/hyperlink" Target="http://www.alliedtelesis.com/media/datasheets/xpsr_ds_a.pdf" TargetMode="External"/><Relationship Id="rId94" Type="http://schemas.openxmlformats.org/officeDocument/2006/relationships/hyperlink" Target="http://10.32.16.105/systest/Reports/TestLink/SuiteExecC.php?plan=70514&amp;rep=F" TargetMode="External"/><Relationship Id="rId99" Type="http://schemas.openxmlformats.org/officeDocument/2006/relationships/vmlDrawing" Target="../drawings/vmlDrawing8.vml"/><Relationship Id="rId4" Type="http://schemas.openxmlformats.org/officeDocument/2006/relationships/hyperlink" Target="http://www.alliedtelesis.com/media/datasheets/x900-12x_24x_ds.pdf" TargetMode="External"/><Relationship Id="rId9" Type="http://schemas.openxmlformats.org/officeDocument/2006/relationships/hyperlink" Target="http://10.32.16.105/systest/products/Accessories/pluggable_transceiver/History/DDM/RE%20SFPs%20with%20DDM%20chips.rtf" TargetMode="External"/><Relationship Id="rId13" Type="http://schemas.openxmlformats.org/officeDocument/2006/relationships/hyperlink" Target="http://10.32.16.105/systest/Reports/TestLink/SuiteExecC.php?plan=71182&amp;rep=F" TargetMode="External"/><Relationship Id="rId18" Type="http://schemas.openxmlformats.org/officeDocument/2006/relationships/hyperlink" Target="http://intranet.alliedtelesyn.co.nz/systest/products/Accessories/pluggable_transceiver/results/XFP/AT-XPLR_RevD_Delta/AT-XPLR_D.JPG" TargetMode="External"/><Relationship Id="rId39" Type="http://schemas.openxmlformats.org/officeDocument/2006/relationships/hyperlink" Target="http://10.32.16.105/systest/Reports/TestLink/SuiteExecC.php?plan=70194&amp;rep=F"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hyperlink" Target="file:///\\CIFS\..\C:\C:\Documents%252525252525252525252525252525252520and%252525252525252525252525252525252520Settings\sherifa\Application%252525252525252525252525252525252520Data\Microsoft\Excel\results\GBIC\Delta-1250B5QR\GBIC_(Delta-1250B5QR)_Test_Report_0.2.doc" TargetMode="External"/><Relationship Id="rId13" Type="http://schemas.openxmlformats.org/officeDocument/2006/relationships/hyperlink" Target="http://10.32.16.105/systest/Reports/TestLink/SuiteExecC.php?plan=72950&amp;rep=F" TargetMode="External"/><Relationship Id="rId18" Type="http://schemas.openxmlformats.org/officeDocument/2006/relationships/hyperlink" Target="file:///\\CIFS\..\C:\C:\Documents%252525252525252525252525252525252520and%252525252525252525252525252525252520Settings\sherifa\Application%252525252525252525252525252525252520Data\Microsoft\Excel\results\GBIC\Delta-1250A5FR\GBIC_(Delta-1250A5FR)_Test_Report_0.3.doc" TargetMode="External"/><Relationship Id="rId26" Type="http://schemas.openxmlformats.org/officeDocument/2006/relationships/hyperlink" Target="http://www.alliedtelesis.com/media/datasheets/g8t_ds.pdf" TargetMode="External"/><Relationship Id="rId3" Type="http://schemas.openxmlformats.org/officeDocument/2006/relationships/hyperlink" Target="http://www.alliedtelesis.com/media/datasheets/sb4000_family_ds.pdf" TargetMode="External"/><Relationship Id="rId21" Type="http://schemas.openxmlformats.org/officeDocument/2006/relationships/hyperlink" Target="file:///\\CIFS\..\C:\C:\Documents%252525252525252525252525252525252520and%252525252525252525252525252525252520Settings\sherifa\Application%252525252525252525252525252525252520Data\Microsoft\Excel\results\GBIC\Delta-1250A5FR\GBIC_(Delta-1250A5FR)_Test_Report_0.3.doc" TargetMode="External"/><Relationship Id="rId7" Type="http://schemas.openxmlformats.org/officeDocument/2006/relationships/hyperlink" Target="file:///\\CIFS\..\C:\C:\Documents%252525252525252525252525252525252520and%252525252525252525252525252525252520Settings\sherifa\Application%252525252525252525252525252525252520Data\Microsoft\Excel\results\GBIC\Delta-1250B5QR\GBIC_(Delta-1250B5QR)_Test_Report_0.2.doc" TargetMode="External"/><Relationship Id="rId12" Type="http://schemas.openxmlformats.org/officeDocument/2006/relationships/hyperlink" Target="http://10.32.16.105/systest/Reports/TestLink/SuiteExecC.php?plan=72682&amp;rep=F" TargetMode="External"/><Relationship Id="rId17" Type="http://schemas.openxmlformats.org/officeDocument/2006/relationships/hyperlink" Target="http://10.32.16.105/systest/products/Accessories/pluggable_transceiver/History/AT-G8SX-01" TargetMode="External"/><Relationship Id="rId25" Type="http://schemas.openxmlformats.org/officeDocument/2006/relationships/hyperlink" Target="http://10.32.16.105/systest/products/Accessories/pluggable_transceiver/Datasheets/at_gxc.pdf" TargetMode="External"/><Relationship Id="rId2" Type="http://schemas.openxmlformats.org/officeDocument/2006/relationships/hyperlink" Target="http://www.allied-telesis.co.jp/products/list/switch/module/catalog.html" TargetMode="External"/><Relationship Id="rId16" Type="http://schemas.openxmlformats.org/officeDocument/2006/relationships/hyperlink" Target="http://www.alliedtelesis.com/media/datasheets/g8sx-01_ds.pdf" TargetMode="External"/><Relationship Id="rId20" Type="http://schemas.openxmlformats.org/officeDocument/2006/relationships/hyperlink" Target="file:///\\CIFS\..\C:\C:\Documents%252525252525252525252525252525252520and%252525252525252525252525252525252520Settings\sherifa\Application%252525252525252525252525252525252520Data\Microsoft\Excel\results\GBIC\Delta-1250A5FR\GBIC_(Delta-1250A5FR)_Test_Report_0.3.doc" TargetMode="External"/><Relationship Id="rId29" Type="http://schemas.openxmlformats.org/officeDocument/2006/relationships/hyperlink" Target="http://www.alliedtelesis.com/media/datasheets/g8bd_ds.pdf" TargetMode="External"/><Relationship Id="rId1" Type="http://schemas.openxmlformats.org/officeDocument/2006/relationships/hyperlink" Target="http://www.alliedtelesis.com/products/line.aspx?pid=5" TargetMode="External"/><Relationship Id="rId6" Type="http://schemas.openxmlformats.org/officeDocument/2006/relationships/hyperlink" Target="file:///\\CIFS\..\C:\C:\Documents%252525252525252525252525252525252520and%252525252525252525252525252525252520Settings\sherifa\Application%252525252525252525252525252525252520Data\Microsoft\Excel\results\GBIC\Delta-1250B5QR\GBIC_(Delta-1250B5QR)_Test_Report_0.2.doc" TargetMode="External"/><Relationship Id="rId11" Type="http://schemas.openxmlformats.org/officeDocument/2006/relationships/hyperlink" Target="http://10.32.16.105/systest/products/Accessories/pluggable_transceiver/History/AT-G8SX-01" TargetMode="External"/><Relationship Id="rId24" Type="http://schemas.openxmlformats.org/officeDocument/2006/relationships/hyperlink" Target="http://10.32.16.105/systest/products/Accessories/pluggable_transceiver/Datasheets/at_gxc.pdf" TargetMode="External"/><Relationship Id="rId5" Type="http://schemas.openxmlformats.org/officeDocument/2006/relationships/hyperlink" Target="http://www.alliedtelesis.com/media/datasheets/g8lx10_ds.pdf" TargetMode="External"/><Relationship Id="rId15" Type="http://schemas.openxmlformats.org/officeDocument/2006/relationships/hyperlink" Target="http://10.32.16.105/systest/Reports/TestLink/SuiteExecC.php?plan=71912&amp;rep=F" TargetMode="External"/><Relationship Id="rId23" Type="http://schemas.openxmlformats.org/officeDocument/2006/relationships/hyperlink" Target="http://10.32.16.105/systest/products/Accessories/pluggable_transceiver/Datasheets/at_gxc.pdf" TargetMode="External"/><Relationship Id="rId28" Type="http://schemas.openxmlformats.org/officeDocument/2006/relationships/hyperlink" Target="http://www.alliedtelesis.com/media/datasheets/g8bd_ds.pdf" TargetMode="External"/><Relationship Id="rId10" Type="http://schemas.openxmlformats.org/officeDocument/2006/relationships/hyperlink" Target="file:///\\CIFS\..\C:\C:\Documents%252525252525252525252525252525252520and%252525252525252525252525252525252520Settings\sherifa\Application%252525252525252525252525252525252520Data\Microsoft\Excel\results\GBIC\Delta-1250B5QR\GBIC_(Delta-1250B5QR)_Test_Report_0.2.doc" TargetMode="External"/><Relationship Id="rId19" Type="http://schemas.openxmlformats.org/officeDocument/2006/relationships/hyperlink" Target="file:///\\CIFS\..\C:\C:\Documents%252525252525252525252525252525252520and%252525252525252525252525252525252520Settings\sherifa\Application%252525252525252525252525252525252520Data\Microsoft\Excel\results\GBIC\Delta-1250A5FR\GBIC_(Delta-1250A5FR)_Test_Report_0.3.doc" TargetMode="External"/><Relationship Id="rId4" Type="http://schemas.openxmlformats.org/officeDocument/2006/relationships/hyperlink" Target="http://www.alliedtelesis.com/media/datasheets/a4x_family_stackm_ds.pdf" TargetMode="External"/><Relationship Id="rId9" Type="http://schemas.openxmlformats.org/officeDocument/2006/relationships/hyperlink" Target="file:///\\CIFS\..\C:\C:\Documents%252525252525252525252525252525252520and%252525252525252525252525252525252520Settings\sherifa\Application%252525252525252525252525252525252520Data\Microsoft\Excel\results\GBIC\Delta-1250B5QR\GBIC_(Delta-1250B5QR)_Test_Report_0.2.doc" TargetMode="External"/><Relationship Id="rId14" Type="http://schemas.openxmlformats.org/officeDocument/2006/relationships/hyperlink" Target="http://10.32.16.105/systest/Reports/TestLink/SuiteExecC.php?plan=72110&amp;rep=F" TargetMode="External"/><Relationship Id="rId22" Type="http://schemas.openxmlformats.org/officeDocument/2006/relationships/hyperlink" Target="file:///\\CIFS\..\C:\C:\Documents%252525252525252525252525252525252520and%252525252525252525252525252525252520Settings\sherifa\Application%252525252525252525252525252525252520Data\Microsoft\Excel\results\GBIC\Delta-1250A5FR\GBIC_(Delta-1250A5FR)_Test_Report_0.3.doc" TargetMode="External"/><Relationship Id="rId27" Type="http://schemas.openxmlformats.org/officeDocument/2006/relationships/hyperlink" Target="http://10.32.16.105/systest/products/Accessories/pluggable_transceiver/Datasheets/at_gxc.pdf" TargetMode="External"/><Relationship Id="rId30"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tabColor rgb="FF808000"/>
    <pageSetUpPr fitToPage="1"/>
  </sheetPr>
  <dimension ref="A1:AX32"/>
  <sheetViews>
    <sheetView zoomScaleNormal="100" workbookViewId="0">
      <pane xSplit="4" ySplit="7" topLeftCell="E8" activePane="bottomRight" state="frozen"/>
      <selection pane="topRight" activeCell="E1" sqref="E1"/>
      <selection pane="bottomLeft" activeCell="A8" sqref="A8"/>
      <selection pane="bottomRight" activeCell="B8" sqref="B8"/>
    </sheetView>
  </sheetViews>
  <sheetFormatPr defaultColWidth="9.140625" defaultRowHeight="15" outlineLevelRow="1" outlineLevelCol="1"/>
  <cols>
    <col min="1" max="1" width="24" style="15" customWidth="1"/>
    <col min="2" max="3" width="8.5703125" style="15" customWidth="1"/>
    <col min="4" max="4" width="4.28515625" style="15" customWidth="1"/>
    <col min="5" max="9" width="12.5703125" style="15" customWidth="1" outlineLevel="1"/>
    <col min="10" max="10" width="13.85546875" style="15" customWidth="1" outlineLevel="1"/>
    <col min="11" max="11" width="19.7109375" style="15" customWidth="1" outlineLevel="1"/>
    <col min="12" max="12" width="26.85546875" style="15" customWidth="1" outlineLevel="1"/>
    <col min="13" max="13" width="17.140625" style="15" customWidth="1" outlineLevel="1"/>
    <col min="14" max="14" width="25.42578125" style="15" customWidth="1" outlineLevel="1"/>
    <col min="15" max="15" width="22.42578125" style="15" customWidth="1" outlineLevel="1"/>
    <col min="16" max="16" width="12.5703125" style="15" customWidth="1" outlineLevel="1"/>
    <col min="17" max="17" width="3.85546875" style="15" customWidth="1"/>
    <col min="18" max="18" width="18.28515625" style="15" hidden="1" customWidth="1" outlineLevel="1"/>
    <col min="19" max="19" width="13.5703125" style="15" hidden="1" customWidth="1" outlineLevel="1"/>
    <col min="20" max="20" width="12.28515625" style="15" hidden="1" customWidth="1" outlineLevel="1"/>
    <col min="21" max="22" width="20.7109375" style="15" hidden="1" customWidth="1" outlineLevel="1"/>
    <col min="23" max="23" width="12.5703125" style="15" hidden="1" customWidth="1" outlineLevel="1"/>
    <col min="24" max="24" width="23.85546875" style="15" hidden="1" customWidth="1" outlineLevel="1"/>
    <col min="25" max="25" width="12.5703125" style="15" hidden="1" customWidth="1" outlineLevel="1"/>
    <col min="26" max="26" width="13.5703125" style="15" hidden="1" customWidth="1" outlineLevel="1"/>
    <col min="27" max="27" width="13.85546875" style="15" hidden="1" customWidth="1" outlineLevel="1"/>
    <col min="28" max="28" width="12.5703125" hidden="1" customWidth="1" outlineLevel="1"/>
    <col min="29" max="29" width="15" style="15" hidden="1" customWidth="1" outlineLevel="1"/>
    <col min="30" max="30" width="25.5703125" style="15" hidden="1" customWidth="1" outlineLevel="1"/>
    <col min="31" max="31" width="14.5703125" style="15" hidden="1" customWidth="1" outlineLevel="1"/>
    <col min="32" max="32" width="15" style="15" hidden="1" customWidth="1" outlineLevel="1"/>
    <col min="33" max="33" width="12.5703125" style="15" hidden="1" customWidth="1" outlineLevel="1"/>
    <col min="34" max="34" width="13.5703125" style="15" hidden="1" customWidth="1" outlineLevel="1"/>
    <col min="35" max="35" width="6.85546875" style="15" customWidth="1" collapsed="1"/>
    <col min="36" max="36" width="13.28515625" style="15" hidden="1" customWidth="1" outlineLevel="1"/>
    <col min="37" max="37" width="13.28515625" hidden="1" customWidth="1" outlineLevel="1"/>
    <col min="38" max="38" width="13.28515625" style="15" hidden="1" customWidth="1" outlineLevel="1"/>
    <col min="39" max="41" width="13.28515625" hidden="1" customWidth="1" outlineLevel="1"/>
    <col min="42" max="42" width="4.42578125" style="15" customWidth="1" collapsed="1"/>
    <col min="43" max="44" width="9.140625" style="15" hidden="1" outlineLevel="1"/>
    <col min="45" max="45" width="9.140625" hidden="1" outlineLevel="1"/>
    <col min="46" max="47" width="12.5703125" hidden="1" customWidth="1" outlineLevel="1"/>
    <col min="48" max="48" width="4.42578125" customWidth="1" collapsed="1"/>
    <col min="49" max="49" width="9.140625" hidden="1" outlineLevel="1"/>
    <col min="50" max="50" width="9.140625" collapsed="1"/>
    <col min="51" max="68" width="8.85546875" customWidth="1"/>
  </cols>
  <sheetData>
    <row r="1" spans="1:49" ht="18">
      <c r="A1" s="16" t="s">
        <v>43</v>
      </c>
      <c r="B1" s="17"/>
      <c r="C1" s="17"/>
      <c r="Q1"/>
      <c r="X1"/>
      <c r="AC1"/>
      <c r="AF1"/>
      <c r="AI1"/>
      <c r="AP1"/>
    </row>
    <row r="2" spans="1:49" ht="9" customHeight="1">
      <c r="A2" s="18"/>
      <c r="B2" s="19"/>
      <c r="C2" s="19"/>
      <c r="D2" s="20"/>
      <c r="E2" s="20"/>
      <c r="F2" s="20"/>
      <c r="G2" s="20"/>
      <c r="H2" s="20"/>
      <c r="I2" s="20"/>
      <c r="J2" s="20"/>
      <c r="K2" s="20"/>
      <c r="L2" s="20"/>
      <c r="M2" s="20"/>
      <c r="N2" s="20"/>
      <c r="O2" s="20"/>
      <c r="P2" s="20"/>
      <c r="Q2" s="21"/>
      <c r="R2" s="21"/>
      <c r="S2" s="21"/>
      <c r="T2" s="21"/>
      <c r="U2" s="21"/>
      <c r="V2" s="21"/>
      <c r="W2" s="21"/>
      <c r="X2" s="21"/>
      <c r="Y2" s="21"/>
      <c r="Z2" s="21"/>
      <c r="AA2" s="21"/>
      <c r="AB2" s="21"/>
      <c r="AC2" s="21"/>
      <c r="AD2" s="21"/>
      <c r="AE2" s="21"/>
      <c r="AF2" s="21"/>
      <c r="AG2" s="21"/>
      <c r="AH2" s="21"/>
      <c r="AI2" s="22"/>
      <c r="AJ2" s="22"/>
      <c r="AK2" s="22"/>
      <c r="AL2" s="22"/>
      <c r="AM2" s="22"/>
      <c r="AN2" s="22"/>
      <c r="AO2" s="22"/>
      <c r="AP2" s="22"/>
      <c r="AQ2" s="22"/>
      <c r="AR2" s="22"/>
      <c r="AS2" s="22"/>
      <c r="AT2" s="22"/>
      <c r="AU2" s="22"/>
      <c r="AV2" s="22"/>
      <c r="AW2" s="22"/>
    </row>
    <row r="3" spans="1:49" s="30" customFormat="1" ht="33.75" customHeight="1">
      <c r="A3" s="1" t="s">
        <v>44</v>
      </c>
      <c r="B3" s="1"/>
      <c r="C3" s="1"/>
      <c r="D3" s="975" t="s">
        <v>2541</v>
      </c>
      <c r="E3" s="23" t="s">
        <v>45</v>
      </c>
      <c r="F3" s="23" t="s">
        <v>46</v>
      </c>
      <c r="G3" s="23" t="s">
        <v>2194</v>
      </c>
      <c r="H3" s="23" t="s">
        <v>2266</v>
      </c>
      <c r="I3" s="23" t="s">
        <v>47</v>
      </c>
      <c r="J3" s="976" t="s">
        <v>48</v>
      </c>
      <c r="K3" s="976"/>
      <c r="L3" s="976" t="s">
        <v>49</v>
      </c>
      <c r="M3" s="976"/>
      <c r="N3" s="23" t="s">
        <v>2506</v>
      </c>
      <c r="O3" s="23" t="s">
        <v>50</v>
      </c>
      <c r="P3" s="23" t="s">
        <v>51</v>
      </c>
      <c r="Q3" s="977" t="s">
        <v>52</v>
      </c>
      <c r="R3" s="24" t="s">
        <v>53</v>
      </c>
      <c r="S3" s="25" t="s">
        <v>54</v>
      </c>
      <c r="T3" s="24" t="s">
        <v>55</v>
      </c>
      <c r="U3" s="980" t="s">
        <v>56</v>
      </c>
      <c r="V3" s="980"/>
      <c r="W3" s="26" t="s">
        <v>57</v>
      </c>
      <c r="X3" s="26" t="s">
        <v>58</v>
      </c>
      <c r="Y3" s="26" t="s">
        <v>59</v>
      </c>
      <c r="Z3" s="980" t="s">
        <v>60</v>
      </c>
      <c r="AA3" s="980"/>
      <c r="AB3" s="26" t="s">
        <v>61</v>
      </c>
      <c r="AC3" s="980" t="s">
        <v>62</v>
      </c>
      <c r="AD3" s="980"/>
      <c r="AE3" s="980" t="s">
        <v>63</v>
      </c>
      <c r="AF3" s="980"/>
      <c r="AG3" s="980" t="s">
        <v>64</v>
      </c>
      <c r="AH3" s="980"/>
      <c r="AI3" s="978" t="s">
        <v>65</v>
      </c>
      <c r="AJ3" s="27"/>
      <c r="AK3" s="27"/>
      <c r="AL3" s="27"/>
      <c r="AM3" s="27"/>
      <c r="AN3" s="27"/>
      <c r="AO3" s="27"/>
      <c r="AP3" s="979" t="s">
        <v>66</v>
      </c>
      <c r="AQ3" s="28"/>
      <c r="AR3" s="29"/>
      <c r="AS3" s="27"/>
      <c r="AT3" s="27"/>
      <c r="AU3" s="27"/>
      <c r="AV3" s="979" t="s">
        <v>67</v>
      </c>
      <c r="AW3" s="29"/>
    </row>
    <row r="4" spans="1:49" s="30" customFormat="1" ht="15" hidden="1" customHeight="1" outlineLevel="1">
      <c r="A4" s="1"/>
      <c r="B4" s="1"/>
      <c r="C4" s="1"/>
      <c r="D4" s="975"/>
      <c r="E4" s="42" t="s">
        <v>68</v>
      </c>
      <c r="F4" s="42" t="s">
        <v>69</v>
      </c>
      <c r="G4" s="42" t="s">
        <v>2204</v>
      </c>
      <c r="H4" s="42" t="s">
        <v>2358</v>
      </c>
      <c r="I4" s="42" t="s">
        <v>70</v>
      </c>
      <c r="J4" s="42" t="s">
        <v>71</v>
      </c>
      <c r="K4" s="42" t="s">
        <v>72</v>
      </c>
      <c r="L4" s="42" t="s">
        <v>73</v>
      </c>
      <c r="M4" s="42" t="s">
        <v>74</v>
      </c>
      <c r="N4" s="42" t="str">
        <f>HYPERLINK("https://intranet.atlnz.lc/systest/Jira_Reports/testExecReport/jiraExecReport.php?testPlanKey=627&amp;projectKey=TQUALTCM&amp;Report=Report","TP627")</f>
        <v>TP627</v>
      </c>
      <c r="O4" s="42" t="s">
        <v>75</v>
      </c>
      <c r="P4" s="42" t="s">
        <v>76</v>
      </c>
      <c r="Q4" s="977"/>
      <c r="R4" s="32" t="s">
        <v>77</v>
      </c>
      <c r="S4" s="32" t="s">
        <v>78</v>
      </c>
      <c r="T4" s="32" t="s">
        <v>79</v>
      </c>
      <c r="U4" s="33" t="s">
        <v>80</v>
      </c>
      <c r="V4" s="33" t="s">
        <v>81</v>
      </c>
      <c r="W4" s="34" t="s">
        <v>82</v>
      </c>
      <c r="X4" s="33" t="s">
        <v>83</v>
      </c>
      <c r="Y4" s="33" t="s">
        <v>84</v>
      </c>
      <c r="Z4" s="33" t="s">
        <v>85</v>
      </c>
      <c r="AA4" s="33" t="s">
        <v>86</v>
      </c>
      <c r="AB4" s="33" t="s">
        <v>87</v>
      </c>
      <c r="AC4" s="33" t="s">
        <v>88</v>
      </c>
      <c r="AD4" s="33" t="s">
        <v>89</v>
      </c>
      <c r="AE4" s="33" t="s">
        <v>87</v>
      </c>
      <c r="AF4" s="33" t="s">
        <v>87</v>
      </c>
      <c r="AG4" s="33" t="s">
        <v>87</v>
      </c>
      <c r="AH4" s="33" t="s">
        <v>87</v>
      </c>
      <c r="AI4" s="978"/>
      <c r="AJ4" s="27" t="s">
        <v>90</v>
      </c>
      <c r="AK4" s="27" t="s">
        <v>91</v>
      </c>
      <c r="AL4" s="27" t="s">
        <v>92</v>
      </c>
      <c r="AM4" s="27" t="s">
        <v>93</v>
      </c>
      <c r="AN4" s="27" t="s">
        <v>94</v>
      </c>
      <c r="AO4" s="27" t="s">
        <v>95</v>
      </c>
      <c r="AP4" s="979"/>
      <c r="AQ4" s="28" t="s">
        <v>96</v>
      </c>
      <c r="AR4" s="29" t="s">
        <v>97</v>
      </c>
      <c r="AS4" s="27" t="s">
        <v>98</v>
      </c>
      <c r="AT4" s="27" t="s">
        <v>99</v>
      </c>
      <c r="AU4" s="27" t="s">
        <v>100</v>
      </c>
      <c r="AV4" s="979"/>
      <c r="AW4" s="29" t="s">
        <v>101</v>
      </c>
    </row>
    <row r="5" spans="1:49" s="30" customFormat="1" ht="36.75" hidden="1" customHeight="1" outlineLevel="1">
      <c r="A5" s="1"/>
      <c r="B5" s="1"/>
      <c r="C5" s="1"/>
      <c r="D5" s="975"/>
      <c r="E5" s="35" t="s">
        <v>102</v>
      </c>
      <c r="F5" s="36" t="s">
        <v>103</v>
      </c>
      <c r="G5" s="36" t="s">
        <v>103</v>
      </c>
      <c r="H5" s="36" t="s">
        <v>2351</v>
      </c>
      <c r="I5" s="36" t="s">
        <v>103</v>
      </c>
      <c r="J5" s="36" t="s">
        <v>103</v>
      </c>
      <c r="K5" s="36" t="s">
        <v>103</v>
      </c>
      <c r="L5" s="36" t="s">
        <v>103</v>
      </c>
      <c r="M5" s="36" t="s">
        <v>103</v>
      </c>
      <c r="N5" s="36" t="s">
        <v>103</v>
      </c>
      <c r="O5" s="36" t="s">
        <v>103</v>
      </c>
      <c r="P5" s="36" t="s">
        <v>104</v>
      </c>
      <c r="Q5" s="977"/>
      <c r="R5" s="32" t="s">
        <v>102</v>
      </c>
      <c r="S5" s="33" t="s">
        <v>102</v>
      </c>
      <c r="T5" s="33" t="s">
        <v>102</v>
      </c>
      <c r="U5" s="33" t="s">
        <v>102</v>
      </c>
      <c r="V5" s="33" t="s">
        <v>102</v>
      </c>
      <c r="W5" s="33" t="s">
        <v>102</v>
      </c>
      <c r="X5" s="33" t="s">
        <v>102</v>
      </c>
      <c r="Y5" s="33" t="s">
        <v>102</v>
      </c>
      <c r="Z5" s="33" t="s">
        <v>102</v>
      </c>
      <c r="AA5" s="33" t="s">
        <v>102</v>
      </c>
      <c r="AB5" s="33" t="s">
        <v>102</v>
      </c>
      <c r="AC5" s="33" t="s">
        <v>102</v>
      </c>
      <c r="AD5" s="33" t="s">
        <v>102</v>
      </c>
      <c r="AE5" s="33" t="s">
        <v>102</v>
      </c>
      <c r="AF5" s="33" t="s">
        <v>102</v>
      </c>
      <c r="AG5" s="33" t="s">
        <v>102</v>
      </c>
      <c r="AH5" s="33" t="s">
        <v>102</v>
      </c>
      <c r="AI5" s="978"/>
      <c r="AJ5" s="27"/>
      <c r="AK5" s="27"/>
      <c r="AL5" s="27"/>
      <c r="AM5" s="27"/>
      <c r="AN5" s="27"/>
      <c r="AO5" s="27"/>
      <c r="AP5" s="979"/>
      <c r="AQ5" s="28"/>
      <c r="AR5" s="29"/>
      <c r="AS5" s="27"/>
      <c r="AT5" s="27"/>
      <c r="AU5" s="27"/>
      <c r="AV5" s="979"/>
      <c r="AW5" s="29"/>
    </row>
    <row r="6" spans="1:49" s="30" customFormat="1" ht="45" hidden="1" outlineLevel="1">
      <c r="A6" s="1"/>
      <c r="B6" s="1"/>
      <c r="C6" s="1"/>
      <c r="D6" s="975"/>
      <c r="E6" s="31" t="s">
        <v>105</v>
      </c>
      <c r="F6" s="31" t="s">
        <v>46</v>
      </c>
      <c r="G6" s="31" t="s">
        <v>2194</v>
      </c>
      <c r="H6" s="31" t="s">
        <v>2266</v>
      </c>
      <c r="I6" s="31" t="s">
        <v>106</v>
      </c>
      <c r="J6" s="31" t="s">
        <v>107</v>
      </c>
      <c r="K6" s="31" t="s">
        <v>107</v>
      </c>
      <c r="L6" s="31" t="s">
        <v>108</v>
      </c>
      <c r="M6" s="31" t="s">
        <v>108</v>
      </c>
      <c r="N6" s="31" t="s">
        <v>2474</v>
      </c>
      <c r="O6" s="31" t="s">
        <v>109</v>
      </c>
      <c r="P6" s="31" t="s">
        <v>51</v>
      </c>
      <c r="Q6" s="977"/>
      <c r="R6" s="32" t="s">
        <v>53</v>
      </c>
      <c r="S6" s="33" t="s">
        <v>110</v>
      </c>
      <c r="T6" s="33" t="s">
        <v>111</v>
      </c>
      <c r="U6" s="33" t="s">
        <v>56</v>
      </c>
      <c r="V6" s="33" t="s">
        <v>56</v>
      </c>
      <c r="W6" s="33" t="s">
        <v>112</v>
      </c>
      <c r="X6" s="33"/>
      <c r="Y6" s="33"/>
      <c r="Z6" s="33"/>
      <c r="AA6" s="33"/>
      <c r="AB6" s="33"/>
      <c r="AC6" s="33"/>
      <c r="AD6" s="33"/>
      <c r="AE6" s="33"/>
      <c r="AF6" s="33"/>
      <c r="AG6" s="33"/>
      <c r="AH6" s="33"/>
      <c r="AI6" s="978"/>
      <c r="AJ6" s="27"/>
      <c r="AK6" s="27"/>
      <c r="AL6" s="27"/>
      <c r="AM6" s="27"/>
      <c r="AN6" s="27"/>
      <c r="AO6" s="27"/>
      <c r="AP6" s="979"/>
      <c r="AQ6" s="28"/>
      <c r="AR6" s="29"/>
      <c r="AS6" s="27"/>
      <c r="AT6" s="27"/>
      <c r="AU6" s="27"/>
      <c r="AV6" s="979"/>
      <c r="AW6" s="29"/>
    </row>
    <row r="7" spans="1:49" s="30" customFormat="1" ht="82.5" customHeight="1" collapsed="1">
      <c r="A7" s="1"/>
      <c r="B7" s="1"/>
      <c r="C7" s="1"/>
      <c r="D7" s="975"/>
      <c r="E7" s="31" t="s">
        <v>113</v>
      </c>
      <c r="F7" s="31" t="s">
        <v>114</v>
      </c>
      <c r="G7" s="31" t="s">
        <v>2349</v>
      </c>
      <c r="H7" s="31" t="s">
        <v>2348</v>
      </c>
      <c r="I7" s="31" t="s">
        <v>115</v>
      </c>
      <c r="J7" s="31" t="s">
        <v>116</v>
      </c>
      <c r="K7" s="31" t="s">
        <v>117</v>
      </c>
      <c r="L7" s="31" t="s">
        <v>118</v>
      </c>
      <c r="M7" s="31" t="s">
        <v>119</v>
      </c>
      <c r="N7" s="31" t="s">
        <v>2507</v>
      </c>
      <c r="O7" s="31" t="s">
        <v>2042</v>
      </c>
      <c r="P7" s="31" t="s">
        <v>120</v>
      </c>
      <c r="Q7" s="977"/>
      <c r="R7" s="32" t="s">
        <v>121</v>
      </c>
      <c r="S7" s="37" t="s">
        <v>122</v>
      </c>
      <c r="T7" s="32" t="s">
        <v>123</v>
      </c>
      <c r="U7" s="33" t="s">
        <v>124</v>
      </c>
      <c r="V7" s="33" t="s">
        <v>125</v>
      </c>
      <c r="W7" s="34" t="s">
        <v>126</v>
      </c>
      <c r="X7" s="33" t="s">
        <v>127</v>
      </c>
      <c r="Y7" s="33" t="s">
        <v>128</v>
      </c>
      <c r="Z7" s="33" t="s">
        <v>129</v>
      </c>
      <c r="AA7" s="33" t="s">
        <v>130</v>
      </c>
      <c r="AB7" s="38" t="s">
        <v>131</v>
      </c>
      <c r="AC7" s="33" t="s">
        <v>132</v>
      </c>
      <c r="AD7" s="33" t="s">
        <v>133</v>
      </c>
      <c r="AE7" s="33" t="s">
        <v>134</v>
      </c>
      <c r="AF7" s="33" t="s">
        <v>135</v>
      </c>
      <c r="AG7" s="33" t="s">
        <v>136</v>
      </c>
      <c r="AH7" s="33" t="s">
        <v>100</v>
      </c>
      <c r="AI7" s="978"/>
      <c r="AJ7" s="27" t="s">
        <v>90</v>
      </c>
      <c r="AK7" s="27" t="s">
        <v>91</v>
      </c>
      <c r="AL7" s="27" t="s">
        <v>92</v>
      </c>
      <c r="AM7" s="27" t="s">
        <v>93</v>
      </c>
      <c r="AN7" s="27" t="s">
        <v>94</v>
      </c>
      <c r="AO7" s="27" t="s">
        <v>95</v>
      </c>
      <c r="AP7" s="979"/>
      <c r="AQ7" s="28" t="s">
        <v>96</v>
      </c>
      <c r="AR7" s="29" t="s">
        <v>97</v>
      </c>
      <c r="AS7" s="27" t="s">
        <v>98</v>
      </c>
      <c r="AT7" s="27" t="s">
        <v>99</v>
      </c>
      <c r="AU7" s="27" t="s">
        <v>100</v>
      </c>
      <c r="AV7" s="979"/>
      <c r="AW7" s="29" t="s">
        <v>101</v>
      </c>
    </row>
    <row r="8" spans="1:49" ht="30">
      <c r="A8" s="39" t="str">
        <f>HYPERLINK("https://wiki.atlnz.lc/awpwiki/index.php/Qualification_Transceiver_Inventory#AT-SPFX_15","AT-SPFX/15")</f>
        <v>AT-SPFX/15</v>
      </c>
      <c r="B8" s="40" t="s">
        <v>163</v>
      </c>
      <c r="C8" s="41"/>
      <c r="D8" s="42">
        <v>73</v>
      </c>
      <c r="E8" s="43" t="s">
        <v>138</v>
      </c>
      <c r="F8" s="43" t="s">
        <v>139</v>
      </c>
      <c r="G8" s="888" t="s">
        <v>2329</v>
      </c>
      <c r="H8" s="940" t="s">
        <v>319</v>
      </c>
      <c r="I8" s="43" t="s">
        <v>140</v>
      </c>
      <c r="J8" s="44" t="s">
        <v>141</v>
      </c>
      <c r="K8" s="216" t="s">
        <v>141</v>
      </c>
      <c r="L8" s="216" t="s">
        <v>142</v>
      </c>
      <c r="M8" s="216" t="s">
        <v>143</v>
      </c>
      <c r="N8" s="242" t="s">
        <v>162</v>
      </c>
      <c r="O8" s="250" t="s">
        <v>2041</v>
      </c>
      <c r="P8" s="216" t="s">
        <v>144</v>
      </c>
      <c r="Q8" s="878"/>
      <c r="R8" s="46" t="s">
        <v>145</v>
      </c>
      <c r="S8" s="46" t="s">
        <v>146</v>
      </c>
      <c r="T8" s="46" t="s">
        <v>147</v>
      </c>
      <c r="U8" s="43" t="s">
        <v>145</v>
      </c>
      <c r="V8" s="43" t="s">
        <v>145</v>
      </c>
      <c r="W8" s="43" t="s">
        <v>148</v>
      </c>
      <c r="X8" s="43" t="s">
        <v>149</v>
      </c>
      <c r="Y8" s="43" t="s">
        <v>150</v>
      </c>
      <c r="Z8" s="43" t="s">
        <v>151</v>
      </c>
      <c r="AA8" s="43" t="s">
        <v>152</v>
      </c>
      <c r="AB8" s="47" t="s">
        <v>153</v>
      </c>
      <c r="AC8" s="43" t="s">
        <v>154</v>
      </c>
      <c r="AD8" s="43" t="s">
        <v>155</v>
      </c>
      <c r="AE8" s="48" t="s">
        <v>156</v>
      </c>
      <c r="AF8" s="48" t="s">
        <v>156</v>
      </c>
      <c r="AG8" s="49" t="s">
        <v>153</v>
      </c>
      <c r="AH8" s="50" t="s">
        <v>153</v>
      </c>
      <c r="AI8" s="51"/>
      <c r="AJ8" s="52"/>
      <c r="AK8" s="46" t="s">
        <v>157</v>
      </c>
      <c r="AL8" s="46" t="s">
        <v>158</v>
      </c>
      <c r="AM8" s="53" t="s">
        <v>159</v>
      </c>
      <c r="AN8" s="46" t="s">
        <v>160</v>
      </c>
      <c r="AO8" s="53" t="s">
        <v>159</v>
      </c>
      <c r="AP8" s="51"/>
      <c r="AQ8" s="54" t="s">
        <v>159</v>
      </c>
      <c r="AR8" s="55" t="s">
        <v>159</v>
      </c>
      <c r="AS8" s="55" t="s">
        <v>159</v>
      </c>
      <c r="AT8" s="56" t="s">
        <v>160</v>
      </c>
      <c r="AU8" s="56" t="s">
        <v>160</v>
      </c>
      <c r="AV8" s="57"/>
      <c r="AW8" s="55" t="s">
        <v>159</v>
      </c>
    </row>
    <row r="9" spans="1:49" ht="30">
      <c r="A9" s="58" t="str">
        <f>HYPERLINK("https://wiki.atlnz.lc/awpwiki/index.php/Qualification_Transceiver_Inventory#AT-SPFX-2-90","AT-SPFX/2-90")</f>
        <v>AT-SPFX/2-90</v>
      </c>
      <c r="B9" s="59" t="s">
        <v>163</v>
      </c>
      <c r="C9" s="59"/>
      <c r="D9" s="42">
        <v>240</v>
      </c>
      <c r="E9" s="73" t="s">
        <v>164</v>
      </c>
      <c r="F9" s="73" t="s">
        <v>164</v>
      </c>
      <c r="G9" s="888" t="s">
        <v>2329</v>
      </c>
      <c r="H9" s="888" t="s">
        <v>2374</v>
      </c>
      <c r="I9" s="73" t="s">
        <v>164</v>
      </c>
      <c r="J9" s="360" t="s">
        <v>164</v>
      </c>
      <c r="K9" s="250" t="s">
        <v>164</v>
      </c>
      <c r="L9" s="250" t="s">
        <v>164</v>
      </c>
      <c r="M9" s="250" t="s">
        <v>164</v>
      </c>
      <c r="N9" s="242" t="s">
        <v>162</v>
      </c>
      <c r="O9" s="250" t="s">
        <v>2041</v>
      </c>
      <c r="P9" s="250" t="s">
        <v>164</v>
      </c>
      <c r="Q9" s="212"/>
      <c r="R9" s="73" t="s">
        <v>164</v>
      </c>
      <c r="S9" s="73" t="s">
        <v>164</v>
      </c>
      <c r="T9" s="75" t="s">
        <v>165</v>
      </c>
      <c r="U9" s="73" t="s">
        <v>164</v>
      </c>
      <c r="V9" s="73" t="s">
        <v>164</v>
      </c>
      <c r="W9" s="75" t="s">
        <v>166</v>
      </c>
      <c r="X9" s="73" t="s">
        <v>164</v>
      </c>
      <c r="Y9" s="73" t="s">
        <v>164</v>
      </c>
      <c r="Z9" s="73" t="s">
        <v>164</v>
      </c>
      <c r="AA9" s="73" t="s">
        <v>164</v>
      </c>
      <c r="AB9" s="76"/>
      <c r="AC9" s="73" t="s">
        <v>164</v>
      </c>
      <c r="AD9" s="73" t="s">
        <v>164</v>
      </c>
      <c r="AE9" s="76"/>
      <c r="AF9" s="76"/>
      <c r="AG9" s="77"/>
      <c r="AH9" s="67"/>
      <c r="AI9" s="68"/>
      <c r="AJ9" s="52"/>
      <c r="AK9" s="46"/>
      <c r="AL9" s="46"/>
      <c r="AM9" s="53"/>
      <c r="AN9" s="46"/>
      <c r="AO9" s="53"/>
      <c r="AP9" s="68"/>
      <c r="AQ9" s="78"/>
      <c r="AR9" s="78"/>
      <c r="AS9" s="79"/>
      <c r="AT9" s="71"/>
      <c r="AU9" s="71"/>
      <c r="AV9" s="72"/>
      <c r="AW9" s="79"/>
    </row>
    <row r="10" spans="1:49" ht="30">
      <c r="A10" s="58" t="str">
        <f>HYPERLINK("https://wiki.atlnz.lc/awpwiki/index.php/Qualification_Transceiver_Inventory#AT-SPFX30-I-90","AT-SPFX30/I-90")</f>
        <v>AT-SPFX30/I-90</v>
      </c>
      <c r="B10" s="59" t="s">
        <v>163</v>
      </c>
      <c r="C10" s="59"/>
      <c r="D10" s="42">
        <v>258</v>
      </c>
      <c r="E10" s="73" t="s">
        <v>164</v>
      </c>
      <c r="F10" s="73" t="s">
        <v>164</v>
      </c>
      <c r="G10" s="888" t="s">
        <v>2329</v>
      </c>
      <c r="H10" s="888" t="s">
        <v>2374</v>
      </c>
      <c r="I10" s="73" t="s">
        <v>164</v>
      </c>
      <c r="J10" s="360" t="s">
        <v>164</v>
      </c>
      <c r="K10" s="250" t="s">
        <v>164</v>
      </c>
      <c r="L10" s="250" t="s">
        <v>164</v>
      </c>
      <c r="M10" s="250" t="s">
        <v>164</v>
      </c>
      <c r="N10" s="242" t="s">
        <v>162</v>
      </c>
      <c r="O10" s="250" t="s">
        <v>2041</v>
      </c>
      <c r="P10" s="250" t="s">
        <v>164</v>
      </c>
      <c r="Q10" s="212"/>
      <c r="R10" s="73" t="s">
        <v>164</v>
      </c>
      <c r="S10" s="73" t="s">
        <v>164</v>
      </c>
      <c r="T10" s="80" t="s">
        <v>165</v>
      </c>
      <c r="U10" s="73" t="s">
        <v>164</v>
      </c>
      <c r="V10" s="73" t="s">
        <v>164</v>
      </c>
      <c r="W10" s="80" t="s">
        <v>166</v>
      </c>
      <c r="X10" s="80" t="s">
        <v>165</v>
      </c>
      <c r="Y10" s="73" t="s">
        <v>164</v>
      </c>
      <c r="Z10" s="73" t="s">
        <v>164</v>
      </c>
      <c r="AA10" s="73" t="s">
        <v>164</v>
      </c>
      <c r="AB10" s="76"/>
      <c r="AC10" s="75" t="s">
        <v>165</v>
      </c>
      <c r="AD10" s="75" t="s">
        <v>165</v>
      </c>
      <c r="AE10" s="76"/>
      <c r="AF10" s="76"/>
      <c r="AG10" s="77"/>
      <c r="AH10" s="67"/>
      <c r="AI10" s="68"/>
      <c r="AJ10" s="52"/>
      <c r="AK10" s="46"/>
      <c r="AL10" s="46"/>
      <c r="AM10" s="53"/>
      <c r="AN10" s="46"/>
      <c r="AO10" s="53"/>
      <c r="AP10" s="68"/>
      <c r="AQ10" s="78"/>
      <c r="AR10" s="78"/>
      <c r="AS10" s="79"/>
      <c r="AT10" s="71"/>
      <c r="AU10" s="71"/>
      <c r="AV10" s="72"/>
      <c r="AW10" s="79"/>
    </row>
    <row r="11" spans="1:49" ht="30">
      <c r="A11" s="58" t="str">
        <f>HYPERLINK("https://wiki.atlnz.lc/awpwiki/index.php/Qualification_Transceiver_Inventory#AT-SPFXBD-LC-13","AT-SPFXBD-LC-13")</f>
        <v>AT-SPFXBD-LC-13</v>
      </c>
      <c r="B11" s="59" t="s">
        <v>161</v>
      </c>
      <c r="C11" s="59"/>
      <c r="D11" s="42">
        <v>75</v>
      </c>
      <c r="E11" s="43" t="s">
        <v>138</v>
      </c>
      <c r="F11" s="43" t="s">
        <v>139</v>
      </c>
      <c r="G11" s="888" t="s">
        <v>2329</v>
      </c>
      <c r="H11" s="888" t="s">
        <v>319</v>
      </c>
      <c r="I11" s="43" t="s">
        <v>140</v>
      </c>
      <c r="J11" s="44" t="s">
        <v>141</v>
      </c>
      <c r="K11" s="216" t="s">
        <v>141</v>
      </c>
      <c r="L11" s="216" t="s">
        <v>142</v>
      </c>
      <c r="M11" s="216" t="s">
        <v>143</v>
      </c>
      <c r="N11" s="242" t="s">
        <v>162</v>
      </c>
      <c r="O11" s="250" t="s">
        <v>2041</v>
      </c>
      <c r="P11" s="216" t="s">
        <v>144</v>
      </c>
      <c r="Q11" s="878"/>
      <c r="R11" s="43" t="s">
        <v>145</v>
      </c>
      <c r="S11" s="43" t="s">
        <v>146</v>
      </c>
      <c r="T11" s="43" t="s">
        <v>147</v>
      </c>
      <c r="U11" s="43" t="s">
        <v>145</v>
      </c>
      <c r="V11" s="43" t="s">
        <v>145</v>
      </c>
      <c r="W11" s="43" t="s">
        <v>148</v>
      </c>
      <c r="X11" s="43" t="s">
        <v>149</v>
      </c>
      <c r="Y11" s="43" t="s">
        <v>150</v>
      </c>
      <c r="Z11" s="43" t="s">
        <v>167</v>
      </c>
      <c r="AA11" s="43" t="s">
        <v>151</v>
      </c>
      <c r="AB11" s="76" t="s">
        <v>155</v>
      </c>
      <c r="AC11" s="46" t="s">
        <v>154</v>
      </c>
      <c r="AD11" s="46" t="s">
        <v>155</v>
      </c>
      <c r="AE11" s="65" t="s">
        <v>156</v>
      </c>
      <c r="AF11" s="65" t="s">
        <v>156</v>
      </c>
      <c r="AG11" s="82" t="s">
        <v>168</v>
      </c>
      <c r="AH11" s="67" t="s">
        <v>168</v>
      </c>
      <c r="AI11" s="51"/>
      <c r="AJ11" s="52"/>
      <c r="AK11" s="46" t="s">
        <v>155</v>
      </c>
      <c r="AL11" s="46" t="s">
        <v>155</v>
      </c>
      <c r="AM11" s="53" t="s">
        <v>169</v>
      </c>
      <c r="AN11" s="46" t="s">
        <v>155</v>
      </c>
      <c r="AO11" s="83" t="s">
        <v>169</v>
      </c>
      <c r="AP11" s="51"/>
      <c r="AQ11" s="78" t="s">
        <v>169</v>
      </c>
      <c r="AR11" s="78" t="s">
        <v>169</v>
      </c>
      <c r="AS11" s="79" t="s">
        <v>169</v>
      </c>
      <c r="AT11" s="84" t="s">
        <v>170</v>
      </c>
      <c r="AU11" s="84" t="s">
        <v>170</v>
      </c>
      <c r="AV11" s="85"/>
      <c r="AW11" s="79" t="s">
        <v>169</v>
      </c>
    </row>
    <row r="12" spans="1:49" ht="30">
      <c r="A12" s="86" t="str">
        <f>HYPERLINK("https://wiki.atlnz.lc/awpwiki/index.php/Qualification_Transceiver_Inventory#AT-SPFXBD-LC-15","AT-SPFXBD-LC-15")</f>
        <v>AT-SPFXBD-LC-15</v>
      </c>
      <c r="B12" s="87" t="s">
        <v>161</v>
      </c>
      <c r="C12" s="87"/>
      <c r="D12" s="88">
        <v>82</v>
      </c>
      <c r="E12" s="60" t="s">
        <v>138</v>
      </c>
      <c r="F12" s="60" t="s">
        <v>139</v>
      </c>
      <c r="G12" s="888" t="s">
        <v>2329</v>
      </c>
      <c r="H12" s="888" t="s">
        <v>319</v>
      </c>
      <c r="I12" s="60" t="s">
        <v>140</v>
      </c>
      <c r="J12" s="89" t="s">
        <v>141</v>
      </c>
      <c r="K12" s="216" t="s">
        <v>141</v>
      </c>
      <c r="L12" s="216" t="s">
        <v>142</v>
      </c>
      <c r="M12" s="216" t="s">
        <v>143</v>
      </c>
      <c r="N12" s="242" t="s">
        <v>162</v>
      </c>
      <c r="O12" s="250" t="s">
        <v>2041</v>
      </c>
      <c r="P12" s="216" t="s">
        <v>144</v>
      </c>
      <c r="Q12" s="879"/>
      <c r="R12" s="60" t="s">
        <v>145</v>
      </c>
      <c r="S12" s="60" t="s">
        <v>146</v>
      </c>
      <c r="T12" s="60" t="s">
        <v>147</v>
      </c>
      <c r="U12" s="60" t="s">
        <v>145</v>
      </c>
      <c r="V12" s="60" t="s">
        <v>145</v>
      </c>
      <c r="W12" s="60" t="s">
        <v>148</v>
      </c>
      <c r="X12" s="60" t="s">
        <v>149</v>
      </c>
      <c r="Y12" s="60" t="s">
        <v>150</v>
      </c>
      <c r="Z12" s="60" t="s">
        <v>167</v>
      </c>
      <c r="AA12" s="60" t="s">
        <v>151</v>
      </c>
      <c r="AB12" s="76" t="s">
        <v>155</v>
      </c>
      <c r="AC12" s="60" t="s">
        <v>154</v>
      </c>
      <c r="AD12" s="60" t="s">
        <v>155</v>
      </c>
      <c r="AE12" s="91" t="s">
        <v>156</v>
      </c>
      <c r="AF12" s="91" t="s">
        <v>156</v>
      </c>
      <c r="AG12" s="82" t="s">
        <v>168</v>
      </c>
      <c r="AH12" s="67" t="s">
        <v>168</v>
      </c>
      <c r="AI12" s="92"/>
      <c r="AJ12" s="93"/>
      <c r="AK12" s="60" t="s">
        <v>155</v>
      </c>
      <c r="AL12" s="60" t="s">
        <v>155</v>
      </c>
      <c r="AM12" s="94" t="s">
        <v>169</v>
      </c>
      <c r="AN12" s="60" t="s">
        <v>155</v>
      </c>
      <c r="AO12" s="95" t="s">
        <v>169</v>
      </c>
      <c r="AP12" s="92"/>
      <c r="AQ12" s="78" t="s">
        <v>169</v>
      </c>
      <c r="AR12" s="78" t="s">
        <v>169</v>
      </c>
      <c r="AS12" s="79" t="s">
        <v>169</v>
      </c>
      <c r="AT12" s="96" t="s">
        <v>170</v>
      </c>
      <c r="AU12" s="96" t="s">
        <v>170</v>
      </c>
      <c r="AV12" s="97"/>
      <c r="AW12" s="79" t="s">
        <v>169</v>
      </c>
    </row>
    <row r="13" spans="1:49">
      <c r="A13" s="98" t="s">
        <v>400</v>
      </c>
      <c r="B13" s="99"/>
      <c r="C13" s="99"/>
      <c r="D13" s="100"/>
      <c r="E13" s="101"/>
      <c r="F13" s="101"/>
      <c r="G13" s="101"/>
      <c r="H13" s="101"/>
      <c r="I13" s="101"/>
      <c r="J13" s="101"/>
      <c r="K13" s="101"/>
      <c r="L13" s="101"/>
      <c r="M13" s="101"/>
      <c r="N13" s="101"/>
      <c r="O13" s="101"/>
      <c r="P13" s="101"/>
      <c r="Q13" s="90"/>
      <c r="R13" s="101"/>
      <c r="S13" s="101"/>
      <c r="T13" s="101"/>
      <c r="U13" s="101"/>
      <c r="V13" s="101"/>
      <c r="W13" s="101"/>
      <c r="X13" s="101"/>
      <c r="Y13" s="101"/>
      <c r="Z13" s="101"/>
      <c r="AA13" s="101"/>
      <c r="AB13" s="101"/>
      <c r="AC13" s="101"/>
      <c r="AD13" s="101"/>
      <c r="AE13" s="101"/>
      <c r="AF13" s="101"/>
      <c r="AG13" s="101"/>
      <c r="AH13" s="101"/>
      <c r="AI13" s="92"/>
      <c r="AJ13" s="93"/>
      <c r="AK13" s="60" t="s">
        <v>155</v>
      </c>
      <c r="AL13" s="60" t="s">
        <v>155</v>
      </c>
      <c r="AM13" s="94" t="s">
        <v>169</v>
      </c>
      <c r="AN13" s="60" t="s">
        <v>171</v>
      </c>
      <c r="AO13" s="95" t="s">
        <v>169</v>
      </c>
      <c r="AP13" s="92"/>
      <c r="AQ13" s="78" t="s">
        <v>169</v>
      </c>
      <c r="AR13" s="78" t="s">
        <v>169</v>
      </c>
      <c r="AS13" s="79" t="s">
        <v>169</v>
      </c>
      <c r="AT13" s="96" t="s">
        <v>170</v>
      </c>
      <c r="AU13" s="96" t="s">
        <v>170</v>
      </c>
      <c r="AV13" s="97"/>
      <c r="AW13" s="102"/>
    </row>
    <row r="14" spans="1:49" ht="25.5" hidden="1" outlineLevel="1">
      <c r="A14" s="58" t="str">
        <f>HYPERLINK("https://wiki.atlnz.lc/awpwiki/index.php/Qualification_Transceiver_Inventory#AT-SPFX_2","AT-SPFX/2")</f>
        <v>AT-SPFX/2</v>
      </c>
      <c r="B14" s="59" t="s">
        <v>161</v>
      </c>
      <c r="C14" s="59"/>
      <c r="D14" s="42">
        <v>74</v>
      </c>
      <c r="E14" s="60" t="s">
        <v>138</v>
      </c>
      <c r="F14" s="60" t="s">
        <v>139</v>
      </c>
      <c r="G14" s="60"/>
      <c r="H14" s="60"/>
      <c r="I14" s="60" t="s">
        <v>140</v>
      </c>
      <c r="J14" s="60" t="s">
        <v>141</v>
      </c>
      <c r="K14" s="60" t="s">
        <v>141</v>
      </c>
      <c r="L14" s="60" t="s">
        <v>142</v>
      </c>
      <c r="M14" s="60" t="s">
        <v>143</v>
      </c>
      <c r="N14" s="160"/>
      <c r="O14" s="147" t="s">
        <v>2041</v>
      </c>
      <c r="P14" s="62" t="s">
        <v>144</v>
      </c>
      <c r="Q14" s="63"/>
      <c r="R14" s="60" t="s">
        <v>145</v>
      </c>
      <c r="S14" s="60" t="s">
        <v>146</v>
      </c>
      <c r="T14" s="60" t="s">
        <v>147</v>
      </c>
      <c r="U14" s="60" t="s">
        <v>145</v>
      </c>
      <c r="V14" s="60" t="s">
        <v>145</v>
      </c>
      <c r="W14" s="60" t="s">
        <v>148</v>
      </c>
      <c r="X14" s="60" t="s">
        <v>149</v>
      </c>
      <c r="Y14" s="60" t="s">
        <v>150</v>
      </c>
      <c r="Z14" s="60" t="s">
        <v>151</v>
      </c>
      <c r="AA14" s="60" t="s">
        <v>152</v>
      </c>
      <c r="AB14" s="64" t="s">
        <v>153</v>
      </c>
      <c r="AC14" s="46" t="s">
        <v>154</v>
      </c>
      <c r="AD14" s="46" t="s">
        <v>155</v>
      </c>
      <c r="AE14" s="65" t="s">
        <v>156</v>
      </c>
      <c r="AF14" s="65" t="s">
        <v>156</v>
      </c>
      <c r="AG14" s="66" t="s">
        <v>153</v>
      </c>
      <c r="AH14" s="67" t="s">
        <v>153</v>
      </c>
      <c r="AI14" s="68"/>
      <c r="AJ14" s="52"/>
      <c r="AK14" s="46" t="s">
        <v>157</v>
      </c>
      <c r="AL14" s="46" t="s">
        <v>158</v>
      </c>
      <c r="AM14" s="53" t="s">
        <v>159</v>
      </c>
      <c r="AN14" s="46" t="s">
        <v>158</v>
      </c>
      <c r="AO14" s="53" t="s">
        <v>159</v>
      </c>
      <c r="AP14" s="68"/>
      <c r="AQ14" s="69" t="s">
        <v>159</v>
      </c>
      <c r="AR14" s="70" t="s">
        <v>159</v>
      </c>
      <c r="AS14" s="70" t="s">
        <v>159</v>
      </c>
      <c r="AT14" s="71" t="s">
        <v>158</v>
      </c>
      <c r="AU14" s="71" t="s">
        <v>158</v>
      </c>
      <c r="AV14" s="72"/>
      <c r="AW14" s="70" t="s">
        <v>159</v>
      </c>
    </row>
    <row r="15" spans="1:49" ht="15" hidden="1" customHeight="1" outlineLevel="1">
      <c r="A15" s="103" t="s">
        <v>172</v>
      </c>
      <c r="B15" s="104"/>
      <c r="C15" s="104"/>
      <c r="D15" s="105"/>
      <c r="E15" s="106"/>
      <c r="F15" s="106"/>
      <c r="G15" s="106"/>
      <c r="H15" s="106"/>
      <c r="I15" s="106"/>
      <c r="J15" s="106"/>
      <c r="K15" s="106"/>
      <c r="L15" s="106"/>
      <c r="M15" s="106"/>
      <c r="N15" s="106"/>
      <c r="O15" s="106"/>
      <c r="P15" s="107"/>
      <c r="Q15" s="108"/>
      <c r="R15" s="106"/>
      <c r="S15" s="106"/>
      <c r="T15" s="106"/>
      <c r="U15" s="106"/>
      <c r="V15" s="106"/>
      <c r="W15" s="106"/>
      <c r="X15" s="106"/>
      <c r="Y15" s="106"/>
      <c r="Z15" s="106"/>
      <c r="AA15" s="106"/>
      <c r="AB15" s="109" t="s">
        <v>173</v>
      </c>
      <c r="AC15" s="107"/>
      <c r="AD15" s="107"/>
      <c r="AE15" s="106"/>
      <c r="AF15" s="110"/>
      <c r="AG15" s="106" t="s">
        <v>173</v>
      </c>
      <c r="AH15" s="107"/>
      <c r="AI15" s="111"/>
      <c r="AJ15" s="112" t="s">
        <v>153</v>
      </c>
      <c r="AK15" s="112"/>
      <c r="AL15" s="112" t="s">
        <v>153</v>
      </c>
      <c r="AM15" s="113"/>
      <c r="AN15" s="113"/>
      <c r="AO15" s="112" t="s">
        <v>159</v>
      </c>
      <c r="AP15" s="111"/>
      <c r="AQ15" s="109"/>
      <c r="AR15" s="106"/>
      <c r="AS15" s="114"/>
      <c r="AT15" s="106" t="s">
        <v>153</v>
      </c>
      <c r="AU15" s="106" t="s">
        <v>153</v>
      </c>
      <c r="AV15" s="115"/>
      <c r="AW15" s="116"/>
    </row>
    <row r="16" spans="1:49" ht="15" hidden="1" customHeight="1" outlineLevel="1">
      <c r="A16" s="10" t="s">
        <v>174</v>
      </c>
      <c r="B16" s="117"/>
      <c r="C16" s="117"/>
      <c r="D16" s="118"/>
      <c r="E16" s="119"/>
      <c r="F16" s="119"/>
      <c r="G16" s="119"/>
      <c r="H16" s="119"/>
      <c r="I16" s="119"/>
      <c r="J16" s="119"/>
      <c r="K16" s="119"/>
      <c r="L16" s="119"/>
      <c r="M16" s="119"/>
      <c r="N16" s="119"/>
      <c r="O16" s="119"/>
      <c r="P16" s="120"/>
      <c r="Q16" s="63"/>
      <c r="R16" s="119"/>
      <c r="S16" s="119"/>
      <c r="T16" s="119"/>
      <c r="U16" s="119"/>
      <c r="V16" s="119"/>
      <c r="W16" s="119"/>
      <c r="X16" s="119"/>
      <c r="Y16" s="119"/>
      <c r="Z16" s="119"/>
      <c r="AA16" s="119"/>
      <c r="AB16" s="121" t="s">
        <v>173</v>
      </c>
      <c r="AC16" s="120"/>
      <c r="AD16" s="120"/>
      <c r="AE16" s="119"/>
      <c r="AF16" s="122"/>
      <c r="AG16" s="119" t="s">
        <v>173</v>
      </c>
      <c r="AH16" s="120"/>
      <c r="AI16" s="123"/>
      <c r="AJ16" s="124" t="s">
        <v>153</v>
      </c>
      <c r="AK16" s="124"/>
      <c r="AL16" s="124" t="s">
        <v>153</v>
      </c>
      <c r="AM16" s="125"/>
      <c r="AN16" s="125"/>
      <c r="AO16" s="124" t="s">
        <v>159</v>
      </c>
      <c r="AP16" s="123"/>
      <c r="AQ16" s="121"/>
      <c r="AR16" s="119"/>
      <c r="AS16" s="126"/>
      <c r="AT16" s="119" t="s">
        <v>153</v>
      </c>
      <c r="AU16" s="119" t="s">
        <v>153</v>
      </c>
      <c r="AV16" s="127"/>
      <c r="AW16" s="116"/>
    </row>
    <row r="17" spans="1:49" ht="15" hidden="1" customHeight="1" outlineLevel="1">
      <c r="A17" s="10" t="s">
        <v>175</v>
      </c>
      <c r="B17" s="128"/>
      <c r="C17" s="128"/>
      <c r="D17" s="118"/>
      <c r="E17" s="116"/>
      <c r="F17" s="116"/>
      <c r="G17" s="116"/>
      <c r="H17" s="116"/>
      <c r="I17" s="116"/>
      <c r="J17" s="116"/>
      <c r="K17" s="116"/>
      <c r="L17" s="116"/>
      <c r="M17" s="116"/>
      <c r="N17" s="116"/>
      <c r="O17" s="116"/>
      <c r="P17" s="129"/>
      <c r="Q17" s="63"/>
      <c r="R17" s="116"/>
      <c r="S17" s="116"/>
      <c r="T17" s="116"/>
      <c r="U17" s="116"/>
      <c r="V17" s="116"/>
      <c r="W17" s="116"/>
      <c r="X17" s="116"/>
      <c r="Y17" s="116"/>
      <c r="Z17" s="116"/>
      <c r="AA17" s="116"/>
      <c r="AB17" s="130" t="s">
        <v>153</v>
      </c>
      <c r="AC17" s="129"/>
      <c r="AD17" s="129"/>
      <c r="AE17" s="116" t="s">
        <v>159</v>
      </c>
      <c r="AF17" s="131" t="s">
        <v>159</v>
      </c>
      <c r="AG17" s="116" t="s">
        <v>153</v>
      </c>
      <c r="AH17" s="129"/>
      <c r="AI17" s="132"/>
      <c r="AJ17" s="133" t="s">
        <v>176</v>
      </c>
      <c r="AK17" s="133" t="s">
        <v>159</v>
      </c>
      <c r="AL17" s="133" t="s">
        <v>160</v>
      </c>
      <c r="AM17" s="133" t="s">
        <v>159</v>
      </c>
      <c r="AN17" s="133" t="s">
        <v>160</v>
      </c>
      <c r="AO17" s="124" t="s">
        <v>159</v>
      </c>
      <c r="AP17" s="132"/>
      <c r="AQ17" s="130" t="s">
        <v>159</v>
      </c>
      <c r="AR17" s="116" t="s">
        <v>159</v>
      </c>
      <c r="AS17" s="116" t="s">
        <v>159</v>
      </c>
      <c r="AT17" s="116" t="s">
        <v>160</v>
      </c>
      <c r="AU17" s="116" t="s">
        <v>177</v>
      </c>
      <c r="AV17" s="134"/>
      <c r="AW17" s="116" t="s">
        <v>159</v>
      </c>
    </row>
    <row r="18" spans="1:49" ht="15" hidden="1" customHeight="1" outlineLevel="1">
      <c r="A18" s="10" t="s">
        <v>178</v>
      </c>
      <c r="B18" s="128"/>
      <c r="C18" s="128"/>
      <c r="D18" s="118"/>
      <c r="E18" s="116"/>
      <c r="F18" s="116"/>
      <c r="G18" s="116"/>
      <c r="H18" s="116"/>
      <c r="I18" s="116"/>
      <c r="J18" s="116"/>
      <c r="K18" s="116"/>
      <c r="L18" s="116"/>
      <c r="M18" s="116"/>
      <c r="N18" s="116"/>
      <c r="O18" s="116"/>
      <c r="P18" s="129"/>
      <c r="Q18" s="63"/>
      <c r="R18" s="116"/>
      <c r="S18" s="116"/>
      <c r="T18" s="116"/>
      <c r="U18" s="116"/>
      <c r="V18" s="116"/>
      <c r="W18" s="116"/>
      <c r="X18" s="116"/>
      <c r="Y18" s="116"/>
      <c r="Z18" s="116"/>
      <c r="AA18" s="116"/>
      <c r="AB18" s="130" t="s">
        <v>153</v>
      </c>
      <c r="AC18" s="129" t="s">
        <v>155</v>
      </c>
      <c r="AD18" s="129" t="s">
        <v>155</v>
      </c>
      <c r="AE18" s="116" t="s">
        <v>159</v>
      </c>
      <c r="AF18" s="131" t="s">
        <v>159</v>
      </c>
      <c r="AG18" s="116" t="s">
        <v>153</v>
      </c>
      <c r="AH18" s="129"/>
      <c r="AI18" s="132"/>
      <c r="AJ18" s="133" t="s">
        <v>176</v>
      </c>
      <c r="AK18" s="133" t="s">
        <v>159</v>
      </c>
      <c r="AL18" s="133" t="s">
        <v>179</v>
      </c>
      <c r="AM18" s="133" t="s">
        <v>159</v>
      </c>
      <c r="AN18" s="133" t="s">
        <v>180</v>
      </c>
      <c r="AO18" s="124" t="s">
        <v>159</v>
      </c>
      <c r="AP18" s="132"/>
      <c r="AQ18" s="130" t="s">
        <v>181</v>
      </c>
      <c r="AR18" s="116" t="s">
        <v>159</v>
      </c>
      <c r="AS18" s="116" t="s">
        <v>159</v>
      </c>
      <c r="AT18" s="116" t="s">
        <v>179</v>
      </c>
      <c r="AU18" s="116" t="s">
        <v>179</v>
      </c>
      <c r="AV18" s="134"/>
      <c r="AW18" s="116" t="s">
        <v>159</v>
      </c>
    </row>
    <row r="19" spans="1:49" ht="15" hidden="1" customHeight="1" outlineLevel="1">
      <c r="A19" s="10" t="s">
        <v>182</v>
      </c>
      <c r="B19" s="128"/>
      <c r="C19" s="128"/>
      <c r="D19" s="118"/>
      <c r="E19" s="116"/>
      <c r="F19" s="116"/>
      <c r="G19" s="116"/>
      <c r="H19" s="116"/>
      <c r="I19" s="116"/>
      <c r="J19" s="116"/>
      <c r="K19" s="116"/>
      <c r="L19" s="116"/>
      <c r="M19" s="116"/>
      <c r="N19" s="116"/>
      <c r="O19" s="116"/>
      <c r="P19" s="129"/>
      <c r="Q19" s="63"/>
      <c r="R19" s="116"/>
      <c r="S19" s="116"/>
      <c r="T19" s="116"/>
      <c r="U19" s="116"/>
      <c r="V19" s="116"/>
      <c r="W19" s="116"/>
      <c r="X19" s="116"/>
      <c r="Y19" s="116"/>
      <c r="Z19" s="116"/>
      <c r="AA19" s="116"/>
      <c r="AB19" s="130" t="s">
        <v>153</v>
      </c>
      <c r="AC19" s="129" t="s">
        <v>155</v>
      </c>
      <c r="AD19" s="129" t="s">
        <v>155</v>
      </c>
      <c r="AE19" s="116" t="s">
        <v>159</v>
      </c>
      <c r="AF19" s="131" t="s">
        <v>159</v>
      </c>
      <c r="AG19" s="116" t="s">
        <v>153</v>
      </c>
      <c r="AH19" s="129"/>
      <c r="AI19" s="132"/>
      <c r="AJ19" s="133" t="s">
        <v>176</v>
      </c>
      <c r="AK19" s="133" t="s">
        <v>159</v>
      </c>
      <c r="AL19" s="133" t="s">
        <v>179</v>
      </c>
      <c r="AM19" s="133" t="s">
        <v>159</v>
      </c>
      <c r="AN19" s="133" t="s">
        <v>180</v>
      </c>
      <c r="AO19" s="124" t="s">
        <v>159</v>
      </c>
      <c r="AP19" s="132"/>
      <c r="AQ19" s="130" t="s">
        <v>159</v>
      </c>
      <c r="AR19" s="116" t="s">
        <v>159</v>
      </c>
      <c r="AS19" s="116" t="s">
        <v>159</v>
      </c>
      <c r="AT19" s="116" t="s">
        <v>179</v>
      </c>
      <c r="AU19" s="116" t="s">
        <v>179</v>
      </c>
      <c r="AV19" s="134"/>
      <c r="AW19" s="116" t="s">
        <v>159</v>
      </c>
    </row>
    <row r="20" spans="1:49" collapsed="1"/>
    <row r="29" spans="1:49">
      <c r="Q29"/>
      <c r="AB29" s="15"/>
      <c r="AK29" s="15"/>
      <c r="AO29" s="15"/>
    </row>
    <row r="30" spans="1:49">
      <c r="Q30"/>
      <c r="AB30" s="15"/>
      <c r="AK30" s="15"/>
      <c r="AO30" s="15"/>
    </row>
    <row r="31" spans="1:49">
      <c r="Q31"/>
      <c r="AB31" s="15"/>
      <c r="AK31" s="15"/>
      <c r="AO31" s="15"/>
    </row>
    <row r="32" spans="1:49">
      <c r="Q32"/>
      <c r="AB32" s="15"/>
      <c r="AK32" s="15"/>
      <c r="AO32" s="15"/>
    </row>
  </sheetData>
  <mergeCells count="13">
    <mergeCell ref="AI3:AI7"/>
    <mergeCell ref="AP3:AP7"/>
    <mergeCell ref="AV3:AV7"/>
    <mergeCell ref="U3:V3"/>
    <mergeCell ref="Z3:AA3"/>
    <mergeCell ref="AC3:AD3"/>
    <mergeCell ref="AE3:AF3"/>
    <mergeCell ref="AG3:AH3"/>
    <mergeCell ref="A3:C7"/>
    <mergeCell ref="D3:D7"/>
    <mergeCell ref="J3:K3"/>
    <mergeCell ref="L3:M3"/>
    <mergeCell ref="Q3:Q7"/>
  </mergeCells>
  <conditionalFormatting sqref="U10:V10 U9 Y9:AB10 M10 E9:F10 R9:S10 J6:K6 S6:T6 W5:W6 I9:M9">
    <cfRule type="expression" dxfId="2398" priority="13">
      <formula>NOT(ISERROR(SEARCH("fail,",#REF!)))</formula>
    </cfRule>
  </conditionalFormatting>
  <conditionalFormatting sqref="P9 O14 O8:O12">
    <cfRule type="expression" dxfId="2397" priority="14">
      <formula>NOT(ISERROR(SEARCH("fail,",O8)))</formula>
    </cfRule>
  </conditionalFormatting>
  <conditionalFormatting sqref="AC9:AD9">
    <cfRule type="expression" dxfId="2396" priority="15">
      <formula>NOT(ISERROR(SEARCH("fail,",AC9)))</formula>
    </cfRule>
  </conditionalFormatting>
  <conditionalFormatting sqref="X9">
    <cfRule type="expression" dxfId="2395" priority="16">
      <formula>NOT(ISERROR(SEARCH("fail,",X9)))</formula>
    </cfRule>
  </conditionalFormatting>
  <conditionalFormatting sqref="V9">
    <cfRule type="expression" dxfId="2394" priority="17">
      <formula>NOT(ISERROR(SEARCH("fail,",V9)))</formula>
    </cfRule>
  </conditionalFormatting>
  <conditionalFormatting sqref="U7">
    <cfRule type="expression" dxfId="2393" priority="18">
      <formula>NOT(ISERROR(SEARCH("fail,",U7)))</formula>
    </cfRule>
  </conditionalFormatting>
  <conditionalFormatting sqref="V7">
    <cfRule type="expression" dxfId="2392" priority="19">
      <formula>NOT(ISERROR(SEARCH("fail,",V7)))</formula>
    </cfRule>
  </conditionalFormatting>
  <conditionalFormatting sqref="L10">
    <cfRule type="expression" dxfId="2391" priority="20">
      <formula>NOT(ISERROR(SEARCH("fail,",L10)))</formula>
    </cfRule>
  </conditionalFormatting>
  <conditionalFormatting sqref="Z10:AB10">
    <cfRule type="expression" dxfId="2390" priority="21">
      <formula>NOT(ISERROR(SEARCH("fail,",Z10)))</formula>
    </cfRule>
  </conditionalFormatting>
  <conditionalFormatting sqref="P10">
    <cfRule type="expression" dxfId="2389" priority="22">
      <formula>NOT(ISERROR(SEARCH("fail,",P10)))</formula>
    </cfRule>
  </conditionalFormatting>
  <conditionalFormatting sqref="I10">
    <cfRule type="expression" dxfId="2388" priority="23">
      <formula>NOT(ISERROR(SEARCH("fail,",I10)))</formula>
    </cfRule>
  </conditionalFormatting>
  <conditionalFormatting sqref="J10">
    <cfRule type="expression" dxfId="2387" priority="24">
      <formula>NOT(ISERROR(SEARCH("fail,",J10)))</formula>
    </cfRule>
  </conditionalFormatting>
  <conditionalFormatting sqref="K10">
    <cfRule type="expression" dxfId="2386" priority="25">
      <formula>NOT(ISERROR(SEARCH("fail,",K10)))</formula>
    </cfRule>
  </conditionalFormatting>
  <conditionalFormatting sqref="L6:M6">
    <cfRule type="expression" dxfId="2385" priority="26">
      <formula>NOT(ISERROR(SEARCH("fail,",L6)))</formula>
    </cfRule>
  </conditionalFormatting>
  <conditionalFormatting sqref="F6">
    <cfRule type="expression" dxfId="2384" priority="27">
      <formula>NOT(ISERROR(SEARCH("fail,",F6)))</formula>
    </cfRule>
  </conditionalFormatting>
  <conditionalFormatting sqref="I6">
    <cfRule type="expression" dxfId="2383" priority="28">
      <formula>NOT(ISERROR(SEARCH("fail,",I6)))</formula>
    </cfRule>
  </conditionalFormatting>
  <conditionalFormatting sqref="O6">
    <cfRule type="expression" dxfId="2382" priority="29">
      <formula>NOT(ISERROR(SEARCH("fail,",O6)))</formula>
    </cfRule>
  </conditionalFormatting>
  <conditionalFormatting sqref="G6:H7 G3:H3">
    <cfRule type="expression" dxfId="2381" priority="9">
      <formula>NOT(ISERROR(SEARCH("fail,",G3)))</formula>
    </cfRule>
  </conditionalFormatting>
  <conditionalFormatting sqref="G8:H12">
    <cfRule type="expression" dxfId="2380" priority="6">
      <formula>NOT(ISERROR(SEARCH("fail,",G8)))</formula>
    </cfRule>
  </conditionalFormatting>
  <conditionalFormatting sqref="G8:H12">
    <cfRule type="expression" dxfId="2379" priority="5">
      <formula>NOT(ISERROR(SEARCH("fail,",G8)))</formula>
    </cfRule>
  </conditionalFormatting>
  <conditionalFormatting sqref="N8:N12">
    <cfRule type="expression" dxfId="2378" priority="4">
      <formula>NOT(ISERROR(SEARCH("fail,",N8)))</formula>
    </cfRule>
  </conditionalFormatting>
  <conditionalFormatting sqref="E4:P4">
    <cfRule type="containsText" dxfId="2377" priority="1" operator="containsText" text="tp">
      <formula>NOT(ISERROR(SEARCH("tp",E4)))</formula>
    </cfRule>
  </conditionalFormatting>
  <hyperlinks>
    <hyperlink ref="AQ4" r:id="rId1" xr:uid="{00000000-0004-0000-0100-000000000000}"/>
    <hyperlink ref="AR4" r:id="rId2" xr:uid="{00000000-0004-0000-0100-000001000000}"/>
    <hyperlink ref="AW4" r:id="rId3" xr:uid="{00000000-0004-0000-0100-000002000000}"/>
    <hyperlink ref="AB7" r:id="rId4" xr:uid="{00000000-0004-0000-0100-000003000000}"/>
    <hyperlink ref="AQ7" r:id="rId5" xr:uid="{00000000-0004-0000-0100-000004000000}"/>
    <hyperlink ref="AR7" r:id="rId6" xr:uid="{00000000-0004-0000-0100-000005000000}"/>
    <hyperlink ref="AW7" r:id="rId7" xr:uid="{00000000-0004-0000-0100-000006000000}"/>
    <hyperlink ref="D8" r:id="rId8" display="https://intranet.atlnz.lc/systest/Jira_Reports/testExecReport/jiraExecReport.php?testPlanKey=73&amp;projectKey=TQUALTCM&amp;Report=Report" xr:uid="{00000000-0004-0000-0100-000007000000}"/>
    <hyperlink ref="E8" r:id="rId9" xr:uid="{00000000-0004-0000-0100-000008000000}"/>
    <hyperlink ref="F8" r:id="rId10" location="/reports/testresults/list/view?tql=testResult.projectKey%20IN%20('TQUALTCM')%20AND%20testRun.key%20IN%20('TQUALTCM-C813')%20AND%20testRun.onlyLastTestResult%20IS%20false&amp;jql=&amp;title=REPORTS.TEST_RESULTS_ADVANCED.TITLE" xr:uid="{00000000-0004-0000-0100-000009000000}"/>
    <hyperlink ref="I8" r:id="rId11" xr:uid="{00000000-0004-0000-0100-00000A000000}"/>
    <hyperlink ref="J8" r:id="rId12" xr:uid="{00000000-0004-0000-0100-00000B000000}"/>
    <hyperlink ref="K8" r:id="rId13" xr:uid="{00000000-0004-0000-0100-00000C000000}"/>
    <hyperlink ref="L8" r:id="rId14" xr:uid="{00000000-0004-0000-0100-00000D000000}"/>
    <hyperlink ref="M8" r:id="rId15" xr:uid="{00000000-0004-0000-0100-00000E000000}"/>
    <hyperlink ref="P8" r:id="rId16" xr:uid="{00000000-0004-0000-0100-00000F000000}"/>
    <hyperlink ref="R8" r:id="rId17" xr:uid="{00000000-0004-0000-0100-000010000000}"/>
    <hyperlink ref="S8" r:id="rId18" xr:uid="{00000000-0004-0000-0100-000011000000}"/>
    <hyperlink ref="U8" r:id="rId19" xr:uid="{00000000-0004-0000-0100-000012000000}"/>
    <hyperlink ref="V8" r:id="rId20" xr:uid="{00000000-0004-0000-0100-000013000000}"/>
    <hyperlink ref="W8" r:id="rId21" xr:uid="{00000000-0004-0000-0100-000014000000}"/>
    <hyperlink ref="X8" r:id="rId22" xr:uid="{00000000-0004-0000-0100-000015000000}"/>
    <hyperlink ref="Y8" r:id="rId23" xr:uid="{00000000-0004-0000-0100-000016000000}"/>
    <hyperlink ref="Z8" r:id="rId24" xr:uid="{00000000-0004-0000-0100-000017000000}"/>
    <hyperlink ref="AB8" r:id="rId25" xr:uid="{00000000-0004-0000-0100-000018000000}"/>
    <hyperlink ref="AC8" r:id="rId26" xr:uid="{00000000-0004-0000-0100-000019000000}"/>
    <hyperlink ref="AD8" r:id="rId27" xr:uid="{00000000-0004-0000-0100-00001A000000}"/>
    <hyperlink ref="AG8" r:id="rId28" xr:uid="{00000000-0004-0000-0100-00001B000000}"/>
    <hyperlink ref="AH8" r:id="rId29" xr:uid="{00000000-0004-0000-0100-00001C000000}"/>
    <hyperlink ref="AK8" r:id="rId30" xr:uid="{00000000-0004-0000-0100-00001D000000}"/>
    <hyperlink ref="AL8" r:id="rId31" xr:uid="{00000000-0004-0000-0100-00001E000000}"/>
    <hyperlink ref="AN8" r:id="rId32" xr:uid="{00000000-0004-0000-0100-00001F000000}"/>
    <hyperlink ref="AT8" r:id="rId33" xr:uid="{00000000-0004-0000-0100-000020000000}"/>
    <hyperlink ref="AU8" r:id="rId34" xr:uid="{00000000-0004-0000-0100-000021000000}"/>
    <hyperlink ref="D14" r:id="rId35" display="https://intranet.atlnz.lc/systest/Jira_Reports/testExecReport/jiraExecReport.php?testPlanKey=74&amp;projectKey=TQUALTCM&amp;Report=Report" xr:uid="{00000000-0004-0000-0100-000022000000}"/>
    <hyperlink ref="E14" r:id="rId36" xr:uid="{00000000-0004-0000-0100-000023000000}"/>
    <hyperlink ref="F14" r:id="rId37" location="/reports/testresults/list/view?tql=testResult.projectKey%20IN%20('TQUALTCM')%20AND%20testRun.key%20IN%20('TQUALTCM-C703')%20AND%20testRun.onlyLastTestResult%20IS%20false&amp;jql=&amp;title=REPORTS.TEST_RESULTS_ADVANCED.TITLE" xr:uid="{00000000-0004-0000-0100-000024000000}"/>
    <hyperlink ref="I14" r:id="rId38" xr:uid="{00000000-0004-0000-0100-000025000000}"/>
    <hyperlink ref="J14" r:id="rId39" xr:uid="{00000000-0004-0000-0100-000026000000}"/>
    <hyperlink ref="K14" r:id="rId40" xr:uid="{00000000-0004-0000-0100-000027000000}"/>
    <hyperlink ref="L14" r:id="rId41" xr:uid="{00000000-0004-0000-0100-000028000000}"/>
    <hyperlink ref="M14" r:id="rId42" xr:uid="{00000000-0004-0000-0100-000029000000}"/>
    <hyperlink ref="P14" r:id="rId43" xr:uid="{00000000-0004-0000-0100-00002A000000}"/>
    <hyperlink ref="R14" r:id="rId44" xr:uid="{00000000-0004-0000-0100-00002B000000}"/>
    <hyperlink ref="S14" r:id="rId45" xr:uid="{00000000-0004-0000-0100-00002C000000}"/>
    <hyperlink ref="U14" r:id="rId46" xr:uid="{00000000-0004-0000-0100-00002D000000}"/>
    <hyperlink ref="V14" r:id="rId47" xr:uid="{00000000-0004-0000-0100-00002E000000}"/>
    <hyperlink ref="W14" r:id="rId48" xr:uid="{00000000-0004-0000-0100-00002F000000}"/>
    <hyperlink ref="X14" r:id="rId49" xr:uid="{00000000-0004-0000-0100-000030000000}"/>
    <hyperlink ref="Y14" r:id="rId50" xr:uid="{00000000-0004-0000-0100-000031000000}"/>
    <hyperlink ref="Z14" r:id="rId51" xr:uid="{00000000-0004-0000-0100-000032000000}"/>
    <hyperlink ref="AB14" r:id="rId52" xr:uid="{00000000-0004-0000-0100-000033000000}"/>
    <hyperlink ref="AC14" r:id="rId53" xr:uid="{00000000-0004-0000-0100-000034000000}"/>
    <hyperlink ref="AD14" r:id="rId54" xr:uid="{00000000-0004-0000-0100-000035000000}"/>
    <hyperlink ref="AG14" r:id="rId55" xr:uid="{00000000-0004-0000-0100-000036000000}"/>
    <hyperlink ref="AH14" r:id="rId56" xr:uid="{00000000-0004-0000-0100-000037000000}"/>
    <hyperlink ref="AK14" r:id="rId57" xr:uid="{00000000-0004-0000-0100-000038000000}"/>
    <hyperlink ref="AL14" r:id="rId58" xr:uid="{00000000-0004-0000-0100-000039000000}"/>
    <hyperlink ref="AN14" r:id="rId59" xr:uid="{00000000-0004-0000-0100-00003A000000}"/>
    <hyperlink ref="AT14" r:id="rId60" xr:uid="{00000000-0004-0000-0100-00003B000000}"/>
    <hyperlink ref="AU14" r:id="rId61" xr:uid="{00000000-0004-0000-0100-00003C000000}"/>
    <hyperlink ref="D9" r:id="rId62" display="https://intranet.atlnz.lc/systest/Jira_Reports/testExecReport/jiraExecReport.php?testPlanKey=240&amp;projectKey=TQUALTCM&amp;Report=Report" xr:uid="{00000000-0004-0000-0100-00003D000000}"/>
    <hyperlink ref="E9" r:id="rId63" location="/reports/testresults/list/view?tql=testResult.projectKey%20IN%20('TQUALTCM')%20AND%20testRun.key%20IN%20('TQUALTCM-C2891')%20AND%20testRun.onlyLastTestResult%20IS%20false&amp;jql=&amp;title=REPORTS.TEST_RESULTS_ADVANCED.TITLE" xr:uid="{00000000-0004-0000-0100-00003E000000}"/>
    <hyperlink ref="F9" r:id="rId64" location="/reports/testresults/list/view?tql=testResult.projectKey%20IN%20('TQUALTCM')%20AND%20testRun.key%20IN%20('TQUALTCM-C2889')%20AND%20testRun.onlyLastTestResult%20IS%20false&amp;jql=&amp;title=REPORTS.TEST_RESULTS_ADVANCED.TITLE" xr:uid="{00000000-0004-0000-0100-00003F000000}"/>
    <hyperlink ref="I9" r:id="rId65" location="/reports/testresults/list/view?tql=testResult.projectKey%20IN%20('TQUALTCM')%20AND%20testRun.key%20IN%20('TQUALTCM-C2876')%20AND%20testRun.onlyLastTestResult%20IS%20false&amp;jql=&amp;title=REPORTS.TEST_RESULTS_ADVANCED.TITLE" xr:uid="{00000000-0004-0000-0100-000040000000}"/>
    <hyperlink ref="J9" r:id="rId66" location="/reports/testresults/list/view?tql=testResult.projectKey%20IN%20('TQUALTCM')%20AND%20testRun.key%20IN%20('TQUALTCM-C2884')%20AND%20testRun.onlyLastTestResult%20IS%20false&amp;jql=&amp;title=REPORTS.TEST_RESULTS_ADVANCED.TITLE" xr:uid="{00000000-0004-0000-0100-000041000000}"/>
    <hyperlink ref="R9" r:id="rId67" location="/reports/testresults/list/view?tql=testResult.projectKey%20IN%20('TQUALTCM')%20AND%20testRun.key%20IN%20('TQUALTCM-C2890')%20AND%20testRun.onlyLastTestResult%20IS%20false&amp;jql=&amp;title=REPORTS.TEST_RESULTS_ADVANCED.TITLE" xr:uid="{00000000-0004-0000-0100-000046000000}"/>
    <hyperlink ref="S9" r:id="rId68" location="/reports/testresults/list/view?tql=testResult.projectKey%20IN%20('TQUALTCM')%20AND%20testRun.key%20IN%20('TQUALTCM-C2880')%20AND%20testRun.onlyLastTestResult%20IS%20false&amp;jql=&amp;title=REPORTS.TEST_RESULTS_ADVANCED.TITLE" xr:uid="{00000000-0004-0000-0100-000047000000}"/>
    <hyperlink ref="U9" r:id="rId69" location="/reports/testresults/list/view?tql=testResult.projectKey%20IN%20('TQUALTCM')%20AND%20testRun.key%20IN%20('TQUALTCM-C2892')%20AND%20testRun.onlyLastTestResult%20IS%20false&amp;jql=&amp;title=REPORTS.TEST_RESULTS_ADVANCED.TITLE" xr:uid="{00000000-0004-0000-0100-000048000000}"/>
    <hyperlink ref="V9" r:id="rId70" location="/reports/testresults/list/view?tql=testResult.projectKey%20IN%20('TQUALTCM')%20AND%20testRun.key%20IN%20('TQUALTCM-C2893')%20AND%20testRun.onlyLastTestResult%20IS%20false&amp;jql=&amp;title=REPORTS.TEST_RESULTS_ADVANCED.TITLE" xr:uid="{00000000-0004-0000-0100-000049000000}"/>
    <hyperlink ref="X9" r:id="rId71" location="/reports/testresults/list/view?tql=testResult.projectKey%20IN%20('TQUALTCM')%20AND%20testRun.key%20IN%20('TQUALTCM-C2886')%20AND%20testRun.onlyLastTestResult%20IS%20false&amp;jql=&amp;title=REPORTS.TEST_RESULTS_ADVANCED.TITLE" xr:uid="{00000000-0004-0000-0100-00004A000000}"/>
    <hyperlink ref="Y9" r:id="rId72" location="/reports/testresults/list/view?tql=testResult.projectKey%20IN%20('TQUALTCM')%20AND%20testRun.key%20IN%20('TQUALTCM-C2879')%20AND%20testRun.onlyLastTestResult%20IS%20false&amp;jql=&amp;title=REPORTS.TEST_RESULTS_ADVANCED.TITLE" xr:uid="{00000000-0004-0000-0100-00004B000000}"/>
    <hyperlink ref="Z9" r:id="rId73" location="/reports/testresults/list/view?tql=testResult.projectKey%20IN%20('TQUALTCM')%20AND%20testRun.key%20IN%20('TQUALTCM-C2887')%20AND%20testRun.onlyLastTestResult%20IS%20false&amp;jql=&amp;title=REPORTS.TEST_RESULTS_ADVANCED.TITLE" xr:uid="{00000000-0004-0000-0100-00004C000000}"/>
    <hyperlink ref="AA9" r:id="rId74" location="/reports/testresults/list/view?tql=testResult.projectKey%20IN%20('TQUALTCM')%20AND%20testRun.key%20IN%20('TQUALTCM-C2888')%20AND%20testRun.onlyLastTestResult%20IS%20false&amp;jql=&amp;title=REPORTS.TEST_RESULTS_ADVANCED.TITLE" xr:uid="{00000000-0004-0000-0100-00004D000000}"/>
    <hyperlink ref="AC9" r:id="rId75" location="/reports/testresults/list/view?tql=testResult.projectKey%20IN%20('TQUALTCM')%20AND%20testRun.key%20IN%20('TQUALTCM-C2878')%20AND%20testRun.onlyLastTestResult%20IS%20false&amp;jql=&amp;title=REPORTS.TEST_RESULTS_ADVANCED.TITLE" xr:uid="{00000000-0004-0000-0100-00004E000000}"/>
    <hyperlink ref="AD9" r:id="rId76" location="/reports/testresults/list/view?tql=testResult.projectKey%20IN%20('TQUALTCM')%20AND%20testRun.key%20IN%20('TQUALTCM-C2896')%20AND%20testRun.onlyLastTestResult%20IS%20false&amp;jql=&amp;title=REPORTS.TEST_RESULTS_ADVANCED.TITLE" xr:uid="{00000000-0004-0000-0100-00004F000000}"/>
    <hyperlink ref="D10" r:id="rId77" display="https://intranet.atlnz.lc/systest/Jira_Reports/testExecReport/jiraExecReport.php?testPlanKey=258&amp;projectKey=TQUALTCM&amp;Report=Report" xr:uid="{00000000-0004-0000-0100-000050000000}"/>
    <hyperlink ref="E10" r:id="rId78" location="/reports/testresults/list/view?tql=testResult.projectKey%20IN%20('TQUALTCM')%20AND%20testRun.key%20IN%20('TQUALTCM-C2867')%20AND%20testRun.onlyLastTestResult%20IS%20false&amp;jql=&amp;title=REPORTS.TEST_RESULTS_ADVANCED.TITLE" xr:uid="{00000000-0004-0000-0100-000051000000}"/>
    <hyperlink ref="F10" r:id="rId79" location="/reports/testresults/list/view?tql=testResult.projectKey%20IN%20('TQUALTCM')%20AND%20testRun.key%20IN%20('TQUALTCM-C2869')%20AND%20testRun.onlyLastTestResult%20IS%20false&amp;jql=&amp;title=REPORTS.TEST_RESULTS_ADVANCED.TITLE" xr:uid="{00000000-0004-0000-0100-000052000000}"/>
    <hyperlink ref="I10" r:id="rId80" location="/reports/testresults/list/view?tql=testResult.projectKey%20IN%20('TQUALTCM')%20AND%20testRun.key%20IN%20('TQUALTCM-C2870')%20AND%20testRun.onlyLastTestResult%20IS%20false&amp;jql=&amp;title=REPORTS.TEST_RESULTS_ADVANCED.TITLE" xr:uid="{00000000-0004-0000-0100-000053000000}"/>
    <hyperlink ref="J10" r:id="rId81" location="/reports/testresults/list/view?tql=testResult.projectKey%20IN%20('TQUALTCM')%20AND%20testRun.key%20IN%20('TQUALTCM-C2872')%20AND%20testRun.onlyLastTestResult%20IS%20false&amp;jql=&amp;title=REPORTS.TEST_RESULTS_ADVANCED.TITLE" xr:uid="{00000000-0004-0000-0100-000054000000}"/>
    <hyperlink ref="R10" r:id="rId82" location="/reports/testresults/list/view?tql=testResult.projectKey%20IN%20('TQUALTCM')%20AND%20testRun.key%20IN%20('TQUALTCM-C2868')%20AND%20testRun.onlyLastTestResult%20IS%20false&amp;jql=&amp;title=REPORTS.TEST_RESULTS_ADVANCED.TITLE" xr:uid="{00000000-0004-0000-0100-000059000000}"/>
    <hyperlink ref="S10" r:id="rId83" location="/reports/testresults/list/view?tql=testResult.projectKey%20IN%20('TQUALTCM')%20AND%20testRun.key%20IN%20('TQUALTCM-C2875')%20AND%20testRun.onlyLastTestResult%20IS%20false&amp;jql=&amp;title=REPORTS.TEST_RESULTS_ADVANCED.TITLE" xr:uid="{00000000-0004-0000-0100-00005A000000}"/>
    <hyperlink ref="U10" r:id="rId84" location="/reports/testresults/list/view?tql=testResult.projectKey%20IN%20('TQUALTCM')%20AND%20testRun.key%20IN%20('TQUALTCM-C2865')%20AND%20testRun.onlyLastTestResult%20IS%20false&amp;jql=&amp;title=REPORTS.TEST_RESULTS_ADVANCED.TITLE" xr:uid="{00000000-0004-0000-0100-00005B000000}"/>
    <hyperlink ref="V10" r:id="rId85" location="/reports/testresults/list/view?tql=testResult.projectKey%20IN%20('TQUALTCM')%20AND%20testRun.key%20IN%20('TQUALTCM-C2866')%20AND%20testRun.onlyLastTestResult%20IS%20false&amp;jql=&amp;title=REPORTS.TEST_RESULTS_ADVANCED.TITLE" xr:uid="{00000000-0004-0000-0100-00005C000000}"/>
    <hyperlink ref="Y10" r:id="rId86" location="/reports/testresults/list/view?tql=testResult.projectKey%20IN%20('TQUALTCM')%20AND%20testRun.key%20IN%20('TQUALTCM-C2894')%20AND%20testRun.onlyLastTestResult%20IS%20false&amp;jql=&amp;title=REPORTS.TEST_RESULTS_ADVANCED.TITLE" xr:uid="{00000000-0004-0000-0100-00005D000000}"/>
    <hyperlink ref="Z10" r:id="rId87" location="/reports/testresults/list/view?tql=testResult.projectKey%20IN%20('TQUALTCM')%20AND%20testRun.key%20IN%20('TQUALTCM-C2863')%20AND%20testRun.onlyLastTestResult%20IS%20false&amp;jql=&amp;title=REPORTS.TEST_RESULTS_ADVANCED.TITLE" xr:uid="{00000000-0004-0000-0100-00005E000000}"/>
    <hyperlink ref="AA10" r:id="rId88" location="/reports/testresults/list/view?tql=testResult.projectKey%20IN%20('TQUALTCM')%20AND%20testRun.key%20IN%20('TQUALTCM-C2864')%20AND%20testRun.onlyLastTestResult%20IS%20false&amp;jql=&amp;title=REPORTS.TEST_RESULTS_ADVANCED.TITLE" xr:uid="{00000000-0004-0000-0100-00005F000000}"/>
    <hyperlink ref="D11" r:id="rId89" display="https://intranet.atlnz.lc/systest/Jira_Reports/testExecReport/jiraExecReport.php?testPlanKey=75&amp;projectKey=TQUALTCM&amp;Report=Report" xr:uid="{00000000-0004-0000-0100-000060000000}"/>
    <hyperlink ref="E11" r:id="rId90" xr:uid="{00000000-0004-0000-0100-000061000000}"/>
    <hyperlink ref="F11" r:id="rId91" location="/reports/testresults/list/view?tql=testResult.projectKey%20IN%20('TQUALTCM')%20AND%20testRun.key%20IN%20('TQUALTCM-C706')%20AND%20testRun.onlyLastTestResult%20IS%20false&amp;jql=&amp;title=REPORTS.TEST_RESULTS_ADVANCED.TITLE" xr:uid="{00000000-0004-0000-0100-000062000000}"/>
    <hyperlink ref="I11" r:id="rId92" xr:uid="{00000000-0004-0000-0100-000063000000}"/>
    <hyperlink ref="J11" r:id="rId93" xr:uid="{00000000-0004-0000-0100-000064000000}"/>
    <hyperlink ref="K11" r:id="rId94" xr:uid="{00000000-0004-0000-0100-000065000000}"/>
    <hyperlink ref="L11" r:id="rId95" xr:uid="{00000000-0004-0000-0100-000066000000}"/>
    <hyperlink ref="M11" r:id="rId96" xr:uid="{00000000-0004-0000-0100-000067000000}"/>
    <hyperlink ref="P11" r:id="rId97" xr:uid="{00000000-0004-0000-0100-000068000000}"/>
    <hyperlink ref="R11" r:id="rId98" xr:uid="{00000000-0004-0000-0100-000069000000}"/>
    <hyperlink ref="S11" r:id="rId99" xr:uid="{00000000-0004-0000-0100-00006A000000}"/>
    <hyperlink ref="T11" r:id="rId100" xr:uid="{00000000-0004-0000-0100-00006B000000}"/>
    <hyperlink ref="U11" r:id="rId101" xr:uid="{00000000-0004-0000-0100-00006C000000}"/>
    <hyperlink ref="V11" r:id="rId102" xr:uid="{00000000-0004-0000-0100-00006D000000}"/>
    <hyperlink ref="W11" r:id="rId103" xr:uid="{00000000-0004-0000-0100-00006E000000}"/>
    <hyperlink ref="X11" r:id="rId104" xr:uid="{00000000-0004-0000-0100-00006F000000}"/>
    <hyperlink ref="Y11" r:id="rId105" xr:uid="{00000000-0004-0000-0100-000070000000}"/>
    <hyperlink ref="AA11" r:id="rId106" xr:uid="{00000000-0004-0000-0100-000071000000}"/>
    <hyperlink ref="AB11" r:id="rId107" xr:uid="{00000000-0004-0000-0100-000072000000}"/>
    <hyperlink ref="AC11" r:id="rId108" xr:uid="{00000000-0004-0000-0100-000073000000}"/>
    <hyperlink ref="AD11" r:id="rId109" xr:uid="{00000000-0004-0000-0100-000074000000}"/>
    <hyperlink ref="AG11" r:id="rId110" xr:uid="{00000000-0004-0000-0100-000075000000}"/>
    <hyperlink ref="AH11" r:id="rId111" xr:uid="{00000000-0004-0000-0100-000076000000}"/>
    <hyperlink ref="AK11" r:id="rId112" xr:uid="{00000000-0004-0000-0100-000077000000}"/>
    <hyperlink ref="AL11" r:id="rId113" xr:uid="{00000000-0004-0000-0100-000078000000}"/>
    <hyperlink ref="AN11" r:id="rId114" xr:uid="{00000000-0004-0000-0100-000079000000}"/>
    <hyperlink ref="D12" r:id="rId115" display="https://intranet.atlnz.lc/systest/Jira_Reports/testExecReport/jiraExecReport.php?testPlanKey=82&amp;projectKey=TQUALTCM&amp;Report=Report" xr:uid="{00000000-0004-0000-0100-00007A000000}"/>
    <hyperlink ref="E12" r:id="rId116" xr:uid="{00000000-0004-0000-0100-00007B000000}"/>
    <hyperlink ref="F12" r:id="rId117" location="/reports/testresults/list/view?tql=testResult.projectKey%20IN%20('TQUALTCM')%20AND%20testRun.key%20IN%20('TQUALTCM-C705')%20AND%20testRun.onlyLastTestResult%20IS%20false&amp;jql=&amp;title=REPORTS.TEST_RESULTS_ADVANCED.TITLE" xr:uid="{00000000-0004-0000-0100-00007C000000}"/>
    <hyperlink ref="I12" r:id="rId118" xr:uid="{00000000-0004-0000-0100-00007D000000}"/>
    <hyperlink ref="J12" r:id="rId119" xr:uid="{00000000-0004-0000-0100-00007E000000}"/>
    <hyperlink ref="K12" r:id="rId120" xr:uid="{00000000-0004-0000-0100-00007F000000}"/>
    <hyperlink ref="L12" r:id="rId121" xr:uid="{00000000-0004-0000-0100-000080000000}"/>
    <hyperlink ref="M12" r:id="rId122" xr:uid="{00000000-0004-0000-0100-000081000000}"/>
    <hyperlink ref="P12" r:id="rId123" xr:uid="{00000000-0004-0000-0100-000082000000}"/>
    <hyperlink ref="R12" r:id="rId124" xr:uid="{00000000-0004-0000-0100-000083000000}"/>
    <hyperlink ref="S12" r:id="rId125" xr:uid="{00000000-0004-0000-0100-000084000000}"/>
    <hyperlink ref="T12" r:id="rId126" xr:uid="{00000000-0004-0000-0100-000085000000}"/>
    <hyperlink ref="U12" r:id="rId127" xr:uid="{00000000-0004-0000-0100-000086000000}"/>
    <hyperlink ref="V12" r:id="rId128" xr:uid="{00000000-0004-0000-0100-000087000000}"/>
    <hyperlink ref="W12" r:id="rId129" xr:uid="{00000000-0004-0000-0100-000088000000}"/>
    <hyperlink ref="X12" r:id="rId130" xr:uid="{00000000-0004-0000-0100-000089000000}"/>
    <hyperlink ref="Y12" r:id="rId131" xr:uid="{00000000-0004-0000-0100-00008A000000}"/>
    <hyperlink ref="AA12" r:id="rId132" xr:uid="{00000000-0004-0000-0100-00008B000000}"/>
    <hyperlink ref="AB12" r:id="rId133" xr:uid="{00000000-0004-0000-0100-00008C000000}"/>
    <hyperlink ref="AC12" r:id="rId134" xr:uid="{00000000-0004-0000-0100-00008D000000}"/>
    <hyperlink ref="AD12" r:id="rId135" xr:uid="{00000000-0004-0000-0100-00008E000000}"/>
    <hyperlink ref="AG12" r:id="rId136" xr:uid="{00000000-0004-0000-0100-00008F000000}"/>
    <hyperlink ref="AH12" r:id="rId137" xr:uid="{00000000-0004-0000-0100-000090000000}"/>
    <hyperlink ref="AK12" r:id="rId138" xr:uid="{00000000-0004-0000-0100-000091000000}"/>
    <hyperlink ref="AL12" r:id="rId139" xr:uid="{00000000-0004-0000-0100-000092000000}"/>
    <hyperlink ref="AN12" r:id="rId140" xr:uid="{00000000-0004-0000-0100-000093000000}"/>
    <hyperlink ref="AK13" r:id="rId141" xr:uid="{00000000-0004-0000-0100-000094000000}"/>
    <hyperlink ref="AL13" r:id="rId142" xr:uid="{00000000-0004-0000-0100-000095000000}"/>
    <hyperlink ref="AN13" r:id="rId143" xr:uid="{00000000-0004-0000-0100-000096000000}"/>
    <hyperlink ref="AB15" r:id="rId144" xr:uid="{00000000-0004-0000-0100-000097000000}"/>
    <hyperlink ref="AG15" r:id="rId145" xr:uid="{00000000-0004-0000-0100-000098000000}"/>
    <hyperlink ref="AJ15" r:id="rId146" xr:uid="{00000000-0004-0000-0100-000099000000}"/>
    <hyperlink ref="AL15" r:id="rId147" xr:uid="{00000000-0004-0000-0100-00009A000000}"/>
    <hyperlink ref="AT15" r:id="rId148" xr:uid="{00000000-0004-0000-0100-00009B000000}"/>
    <hyperlink ref="AU15" r:id="rId149" xr:uid="{00000000-0004-0000-0100-00009C000000}"/>
    <hyperlink ref="AB16" r:id="rId150" xr:uid="{00000000-0004-0000-0100-00009D000000}"/>
    <hyperlink ref="AG16" r:id="rId151" xr:uid="{00000000-0004-0000-0100-00009E000000}"/>
    <hyperlink ref="AJ16" r:id="rId152" xr:uid="{00000000-0004-0000-0100-00009F000000}"/>
    <hyperlink ref="AL16" r:id="rId153" xr:uid="{00000000-0004-0000-0100-0000A0000000}"/>
    <hyperlink ref="AT16" r:id="rId154" xr:uid="{00000000-0004-0000-0100-0000A1000000}"/>
    <hyperlink ref="AU16" r:id="rId155" xr:uid="{00000000-0004-0000-0100-0000A2000000}"/>
    <hyperlink ref="AB17" r:id="rId156" xr:uid="{00000000-0004-0000-0100-0000A3000000}"/>
    <hyperlink ref="AG17" r:id="rId157" xr:uid="{00000000-0004-0000-0100-0000A4000000}"/>
    <hyperlink ref="AJ17" r:id="rId158" xr:uid="{00000000-0004-0000-0100-0000A5000000}"/>
    <hyperlink ref="AL17" r:id="rId159" xr:uid="{00000000-0004-0000-0100-0000A6000000}"/>
    <hyperlink ref="AN17" r:id="rId160" xr:uid="{00000000-0004-0000-0100-0000A7000000}"/>
    <hyperlink ref="AT17" r:id="rId161" xr:uid="{00000000-0004-0000-0100-0000A8000000}"/>
    <hyperlink ref="AU17" r:id="rId162" xr:uid="{00000000-0004-0000-0100-0000A9000000}"/>
    <hyperlink ref="AB18" r:id="rId163" xr:uid="{00000000-0004-0000-0100-0000AA000000}"/>
    <hyperlink ref="AC18" r:id="rId164" xr:uid="{00000000-0004-0000-0100-0000AB000000}"/>
    <hyperlink ref="AD18" r:id="rId165" xr:uid="{00000000-0004-0000-0100-0000AC000000}"/>
    <hyperlink ref="AG18" r:id="rId166" xr:uid="{00000000-0004-0000-0100-0000AD000000}"/>
    <hyperlink ref="AJ18" r:id="rId167" xr:uid="{00000000-0004-0000-0100-0000AE000000}"/>
    <hyperlink ref="AL18" r:id="rId168" xr:uid="{00000000-0004-0000-0100-0000AF000000}"/>
    <hyperlink ref="AT18" r:id="rId169" xr:uid="{00000000-0004-0000-0100-0000B0000000}"/>
    <hyperlink ref="AU18" r:id="rId170" xr:uid="{00000000-0004-0000-0100-0000B1000000}"/>
    <hyperlink ref="AB19" r:id="rId171" xr:uid="{00000000-0004-0000-0100-0000B2000000}"/>
    <hyperlink ref="AC19" r:id="rId172" xr:uid="{00000000-0004-0000-0100-0000B3000000}"/>
    <hyperlink ref="AD19" r:id="rId173" xr:uid="{00000000-0004-0000-0100-0000B4000000}"/>
    <hyperlink ref="AG19" r:id="rId174" xr:uid="{00000000-0004-0000-0100-0000B5000000}"/>
    <hyperlink ref="AJ19" r:id="rId175" xr:uid="{00000000-0004-0000-0100-0000B6000000}"/>
    <hyperlink ref="AL19" r:id="rId176" xr:uid="{00000000-0004-0000-0100-0000B7000000}"/>
    <hyperlink ref="AT19" r:id="rId177" xr:uid="{00000000-0004-0000-0100-0000B8000000}"/>
    <hyperlink ref="AU19" r:id="rId178" xr:uid="{00000000-0004-0000-0100-0000B9000000}"/>
    <hyperlink ref="E4" r:id="rId179" xr:uid="{969CF574-3152-41C8-A2AE-C58F2A294B48}"/>
    <hyperlink ref="F4" r:id="rId180" xr:uid="{2E3EE975-A655-4B2B-8735-ECD576D7E8E1}"/>
    <hyperlink ref="G4" r:id="rId181" xr:uid="{CA6586B2-E683-4CDF-A59D-C75EE60CC29A}"/>
    <hyperlink ref="I4" r:id="rId182" xr:uid="{BA8C0009-C79F-4F0A-9426-CCB920178832}"/>
    <hyperlink ref="J4" r:id="rId183" xr:uid="{5C00994A-D4A9-4EF8-B21A-4C5EB5CA6E26}"/>
    <hyperlink ref="K4" r:id="rId184" xr:uid="{76D17904-2B5C-4CF8-BF9B-DB4C9C67963B}"/>
    <hyperlink ref="L4" r:id="rId185" xr:uid="{247444EE-B786-4B07-A7B2-7E38121A8DBF}"/>
    <hyperlink ref="M4" r:id="rId186" xr:uid="{3B2AD129-D83D-4D69-9C05-EF935A69CB77}"/>
    <hyperlink ref="O4" r:id="rId187" xr:uid="{ABC4025D-14F7-498C-901D-6AB558C13F78}"/>
    <hyperlink ref="P4" r:id="rId188" xr:uid="{B49BB12F-CADA-4009-A0DD-814BA1642020}"/>
    <hyperlink ref="H4" r:id="rId189" xr:uid="{C29DC121-79DC-49C7-92CC-59E2E79FCF76}"/>
  </hyperlinks>
  <pageMargins left="0.22013888888888899" right="0.179861111111111" top="0.74791666666666701" bottom="0.74791666666666701" header="0.51180555555555496" footer="0.51180555555555496"/>
  <pageSetup paperSize="8" scale="85" firstPageNumber="0" orientation="landscape" horizontalDpi="300" verticalDpi="300" r:id="rId190"/>
  <legacyDrawing r:id="rId19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808000"/>
    <outlinePr summaryBelow="0"/>
    <pageSetUpPr fitToPage="1"/>
  </sheetPr>
  <dimension ref="A1:CL109"/>
  <sheetViews>
    <sheetView zoomScale="90" zoomScaleNormal="90" workbookViewId="0">
      <pane xSplit="4" ySplit="8" topLeftCell="E9" activePane="bottomRight" state="frozen"/>
      <selection pane="topRight" activeCell="S1" sqref="S1"/>
      <selection pane="bottomLeft" activeCell="A30" sqref="A30"/>
      <selection pane="bottomRight" activeCell="A75" sqref="A75:XFD109"/>
    </sheetView>
  </sheetViews>
  <sheetFormatPr defaultColWidth="9.140625" defaultRowHeight="15" outlineLevelRow="1" outlineLevelCol="1"/>
  <cols>
    <col min="1" max="1" width="26" style="15" customWidth="1"/>
    <col min="2" max="3" width="7.5703125" style="15" customWidth="1"/>
    <col min="4" max="4" width="5.7109375" style="15" customWidth="1"/>
    <col min="5" max="5" width="14.42578125" style="15" customWidth="1" outlineLevel="1"/>
    <col min="6" max="13" width="12.5703125" style="15" customWidth="1" outlineLevel="1"/>
    <col min="14" max="14" width="16.28515625" style="15" customWidth="1" outlineLevel="1"/>
    <col min="15" max="15" width="14.85546875" style="15" customWidth="1" outlineLevel="1"/>
    <col min="16" max="16" width="19.28515625" style="15" customWidth="1" outlineLevel="1"/>
    <col min="17" max="18" width="12.5703125" style="15" customWidth="1" outlineLevel="1"/>
    <col min="19" max="19" width="28.5703125" style="15" customWidth="1" outlineLevel="1"/>
    <col min="20" max="21" width="18.140625" style="15" customWidth="1" outlineLevel="1"/>
    <col min="22" max="22" width="22" style="15" customWidth="1" outlineLevel="1"/>
    <col min="23" max="23" width="26" style="15" customWidth="1" outlineLevel="1"/>
    <col min="24" max="24" width="14.5703125" style="15" customWidth="1" outlineLevel="1"/>
    <col min="25" max="25" width="20.42578125" style="15" customWidth="1" outlineLevel="1"/>
    <col min="26" max="26" width="12.5703125" style="15" customWidth="1" outlineLevel="1"/>
    <col min="27" max="27" width="16.42578125" style="15" customWidth="1" outlineLevel="1"/>
    <col min="28" max="28" width="19" style="15" customWidth="1" outlineLevel="1"/>
    <col min="29" max="30" width="26" style="15" customWidth="1" outlineLevel="1"/>
    <col min="31" max="31" width="12.5703125" style="15" customWidth="1" outlineLevel="1"/>
    <col min="32" max="32" width="13.42578125" style="15" customWidth="1" outlineLevel="1"/>
    <col min="33" max="33" width="15.140625" style="15" customWidth="1" outlineLevel="1"/>
    <col min="34" max="34" width="20.5703125" style="15" customWidth="1" outlineLevel="1"/>
    <col min="35" max="35" width="13.7109375" style="15" customWidth="1" outlineLevel="1"/>
    <col min="36" max="36" width="12.7109375" style="15" customWidth="1" outlineLevel="1"/>
    <col min="37" max="37" width="13.7109375" style="15" customWidth="1" outlineLevel="1"/>
    <col min="38" max="38" width="13.140625" style="15" customWidth="1" outlineLevel="1"/>
    <col min="39" max="39" width="13.85546875" style="15" customWidth="1" outlineLevel="1"/>
    <col min="40" max="40" width="18.85546875" style="15" customWidth="1" outlineLevel="1"/>
    <col min="41" max="41" width="15.7109375" style="15" customWidth="1" outlineLevel="1"/>
    <col min="42" max="42" width="12.5703125" style="15" customWidth="1" outlineLevel="1"/>
    <col min="43" max="43" width="16.7109375" style="15" customWidth="1" outlineLevel="1"/>
    <col min="44" max="44" width="16.5703125" style="15" customWidth="1" outlineLevel="1"/>
    <col min="45" max="45" width="12" style="15" customWidth="1" outlineLevel="1"/>
    <col min="46" max="46" width="12.5703125" style="15" customWidth="1" outlineLevel="1"/>
    <col min="47" max="47" width="6.28515625" style="15" customWidth="1"/>
    <col min="48" max="49" width="16.85546875" style="15" hidden="1" customWidth="1" outlineLevel="1"/>
    <col min="50" max="50" width="12.5703125" style="15" hidden="1" customWidth="1" outlineLevel="1"/>
    <col min="51" max="51" width="14" style="15" hidden="1" customWidth="1" outlineLevel="1"/>
    <col min="52" max="52" width="21.28515625" style="15" hidden="1" customWidth="1" outlineLevel="1"/>
    <col min="53" max="53" width="12.5703125" style="15" hidden="1" customWidth="1" outlineLevel="1"/>
    <col min="54" max="54" width="17.28515625" style="15" hidden="1" customWidth="1" outlineLevel="1"/>
    <col min="55" max="55" width="12.5703125" style="15" hidden="1" customWidth="1" outlineLevel="1"/>
    <col min="56" max="56" width="15.140625" style="15" hidden="1" customWidth="1" outlineLevel="1"/>
    <col min="57" max="57" width="14.85546875" style="15" hidden="1" customWidth="1" outlineLevel="1"/>
    <col min="58" max="59" width="12.5703125" style="15" hidden="1" customWidth="1" outlineLevel="1"/>
    <col min="60" max="60" width="13.42578125" style="15" hidden="1" customWidth="1" outlineLevel="1"/>
    <col min="61" max="61" width="17" style="15" hidden="1" customWidth="1" outlineLevel="1"/>
    <col min="62" max="62" width="27.140625" style="15" hidden="1" customWidth="1" outlineLevel="1"/>
    <col min="63" max="63" width="15" style="15" hidden="1" customWidth="1" outlineLevel="1"/>
    <col min="64" max="64" width="13.5703125" style="15" hidden="1" customWidth="1" outlineLevel="1"/>
    <col min="65" max="65" width="12.5703125" hidden="1" customWidth="1" outlineLevel="1"/>
    <col min="66" max="66" width="14.5703125" style="15" hidden="1" customWidth="1" outlineLevel="1"/>
    <col min="67" max="67" width="15" style="15" hidden="1" customWidth="1" outlineLevel="1"/>
    <col min="68" max="69" width="12.5703125" style="15" hidden="1" customWidth="1" outlineLevel="1"/>
    <col min="70" max="70" width="7.5703125" style="15" customWidth="1" collapsed="1"/>
    <col min="71" max="71" width="12.85546875" style="15" hidden="1" customWidth="1" outlineLevel="1"/>
    <col min="72" max="72" width="11.7109375" hidden="1" customWidth="1" outlineLevel="1"/>
    <col min="73" max="73" width="11.7109375" style="15" hidden="1" customWidth="1" outlineLevel="1"/>
    <col min="74" max="76" width="11.7109375" hidden="1" customWidth="1" outlineLevel="1"/>
    <col min="77" max="77" width="7.28515625" style="15" customWidth="1" collapsed="1"/>
    <col min="78" max="79" width="16.7109375" style="15" hidden="1" customWidth="1" outlineLevel="1"/>
    <col min="80" max="82" width="16.7109375" hidden="1" customWidth="1" outlineLevel="1"/>
    <col min="83" max="83" width="8.140625" customWidth="1" collapsed="1"/>
    <col min="84" max="84" width="14.28515625" hidden="1" customWidth="1" outlineLevel="1"/>
    <col min="85" max="85" width="9.140625" collapsed="1"/>
    <col min="86" max="103" width="8.85546875" customWidth="1"/>
  </cols>
  <sheetData>
    <row r="1" spans="1:90" ht="18">
      <c r="A1" s="16" t="s">
        <v>183</v>
      </c>
      <c r="B1" s="17"/>
      <c r="C1" s="17"/>
      <c r="D1"/>
      <c r="AU1"/>
      <c r="BI1"/>
      <c r="BK1"/>
      <c r="BO1"/>
      <c r="BR1"/>
      <c r="BY1"/>
    </row>
    <row r="2" spans="1:90" ht="19.5" customHeight="1" thickBot="1">
      <c r="A2" s="18"/>
      <c r="B2" s="19"/>
      <c r="C2" s="19"/>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981" t="s">
        <v>184</v>
      </c>
      <c r="AV2" s="21"/>
      <c r="AW2" s="21"/>
      <c r="AX2" s="21"/>
      <c r="AY2" s="21"/>
      <c r="AZ2" s="21"/>
      <c r="BA2" s="21"/>
      <c r="BB2" s="21"/>
      <c r="BC2" s="21"/>
      <c r="BD2" s="21"/>
      <c r="BE2" s="21"/>
      <c r="BF2" s="21"/>
      <c r="BG2" s="21"/>
      <c r="BH2" s="21"/>
      <c r="BI2" s="21"/>
      <c r="BJ2" s="21"/>
      <c r="BK2" s="21"/>
      <c r="BL2" s="21"/>
      <c r="BM2" s="21"/>
      <c r="BN2" s="21"/>
      <c r="BO2" s="21"/>
      <c r="BP2" s="21"/>
      <c r="BQ2" s="21"/>
      <c r="BR2" s="982"/>
      <c r="BS2" s="982"/>
      <c r="BT2" s="982"/>
      <c r="BU2" s="982"/>
      <c r="BV2" s="982"/>
      <c r="BW2" s="982"/>
      <c r="BX2" s="982"/>
      <c r="BY2" s="982"/>
      <c r="BZ2" s="982"/>
      <c r="CA2" s="982"/>
      <c r="CB2" s="982"/>
      <c r="CC2" s="982"/>
      <c r="CD2" s="982"/>
      <c r="CE2" s="982"/>
      <c r="CF2" s="982"/>
    </row>
    <row r="3" spans="1:90" ht="32.25" customHeight="1" collapsed="1" thickBot="1">
      <c r="A3" s="1" t="s">
        <v>185</v>
      </c>
      <c r="B3" s="1"/>
      <c r="C3" s="1"/>
      <c r="D3" s="975" t="s">
        <v>2541</v>
      </c>
      <c r="E3" s="983" t="s">
        <v>186</v>
      </c>
      <c r="F3" s="983"/>
      <c r="G3" s="983"/>
      <c r="H3" s="889" t="s">
        <v>1541</v>
      </c>
      <c r="I3" s="23" t="s">
        <v>46</v>
      </c>
      <c r="J3" s="23" t="s">
        <v>2194</v>
      </c>
      <c r="K3" s="23" t="s">
        <v>2194</v>
      </c>
      <c r="L3" s="23" t="s">
        <v>2266</v>
      </c>
      <c r="M3" s="23" t="s">
        <v>2266</v>
      </c>
      <c r="N3" s="23" t="s">
        <v>187</v>
      </c>
      <c r="O3" s="983" t="s">
        <v>48</v>
      </c>
      <c r="P3" s="983"/>
      <c r="Q3" s="983" t="s">
        <v>45</v>
      </c>
      <c r="R3" s="983"/>
      <c r="S3" s="983" t="s">
        <v>49</v>
      </c>
      <c r="T3" s="983"/>
      <c r="U3" s="23" t="s">
        <v>2506</v>
      </c>
      <c r="V3" s="23" t="s">
        <v>2069</v>
      </c>
      <c r="W3" s="23" t="s">
        <v>2160</v>
      </c>
      <c r="X3" s="23" t="s">
        <v>188</v>
      </c>
      <c r="Y3" s="23" t="s">
        <v>189</v>
      </c>
      <c r="Z3" s="976" t="s">
        <v>190</v>
      </c>
      <c r="AA3" s="976"/>
      <c r="AB3" s="976"/>
      <c r="AC3" s="23" t="s">
        <v>2182</v>
      </c>
      <c r="AD3" s="953" t="s">
        <v>2265</v>
      </c>
      <c r="AE3" s="984" t="s">
        <v>191</v>
      </c>
      <c r="AF3" s="985"/>
      <c r="AG3" s="986"/>
      <c r="AH3" s="983" t="s">
        <v>51</v>
      </c>
      <c r="AI3" s="983"/>
      <c r="AJ3" s="983" t="s">
        <v>192</v>
      </c>
      <c r="AK3" s="983"/>
      <c r="AL3" s="983"/>
      <c r="AM3" s="983" t="s">
        <v>193</v>
      </c>
      <c r="AN3" s="983"/>
      <c r="AO3" s="23" t="s">
        <v>2324</v>
      </c>
      <c r="AP3" s="983" t="s">
        <v>47</v>
      </c>
      <c r="AQ3" s="983"/>
      <c r="AR3" s="983"/>
      <c r="AS3" s="983"/>
      <c r="AT3" s="983"/>
      <c r="AU3" s="981"/>
      <c r="AV3" s="980" t="s">
        <v>56</v>
      </c>
      <c r="AW3" s="980"/>
      <c r="AX3" s="26" t="s">
        <v>53</v>
      </c>
      <c r="AY3" s="26" t="s">
        <v>54</v>
      </c>
      <c r="AZ3" s="987" t="s">
        <v>59</v>
      </c>
      <c r="BA3" s="987"/>
      <c r="BB3" s="26" t="s">
        <v>55</v>
      </c>
      <c r="BC3" s="26" t="s">
        <v>195</v>
      </c>
      <c r="BD3" s="980" t="s">
        <v>60</v>
      </c>
      <c r="BE3" s="980"/>
      <c r="BF3" s="987" t="s">
        <v>57</v>
      </c>
      <c r="BG3" s="987"/>
      <c r="BH3" s="987" t="s">
        <v>58</v>
      </c>
      <c r="BI3" s="987"/>
      <c r="BJ3" s="980" t="s">
        <v>62</v>
      </c>
      <c r="BK3" s="980"/>
      <c r="BL3" s="988" t="s">
        <v>61</v>
      </c>
      <c r="BM3" s="988"/>
      <c r="BN3" s="987" t="s">
        <v>63</v>
      </c>
      <c r="BO3" s="987"/>
      <c r="BP3" s="987" t="s">
        <v>64</v>
      </c>
      <c r="BQ3" s="987"/>
      <c r="BR3" s="989" t="s">
        <v>65</v>
      </c>
      <c r="BS3" s="135"/>
      <c r="BT3" s="135"/>
      <c r="BU3" s="135"/>
      <c r="BV3" s="135"/>
      <c r="BW3" s="136"/>
      <c r="BX3" s="135"/>
      <c r="BY3" s="990" t="s">
        <v>67</v>
      </c>
      <c r="BZ3" s="137"/>
      <c r="CA3" s="137"/>
      <c r="CB3" s="137"/>
      <c r="CC3" s="137"/>
      <c r="CD3" s="137"/>
      <c r="CE3" s="991" t="s">
        <v>67</v>
      </c>
      <c r="CF3" s="138"/>
    </row>
    <row r="4" spans="1:90" ht="32.25" hidden="1" customHeight="1" outlineLevel="1" thickBot="1">
      <c r="A4" s="1"/>
      <c r="B4" s="1"/>
      <c r="C4" s="1"/>
      <c r="D4" s="975"/>
      <c r="E4" s="31" t="s">
        <v>2435</v>
      </c>
      <c r="F4" s="31"/>
      <c r="G4" s="31"/>
      <c r="H4" s="31" t="s">
        <v>2436</v>
      </c>
      <c r="I4" s="31" t="s">
        <v>2437</v>
      </c>
      <c r="J4" s="31" t="s">
        <v>2438</v>
      </c>
      <c r="K4" s="31" t="s">
        <v>2438</v>
      </c>
      <c r="L4" s="31"/>
      <c r="M4" s="31"/>
      <c r="N4" s="31" t="s">
        <v>2439</v>
      </c>
      <c r="O4" s="31" t="s">
        <v>2440</v>
      </c>
      <c r="P4" s="31" t="s">
        <v>2440</v>
      </c>
      <c r="Q4" s="31" t="s">
        <v>2441</v>
      </c>
      <c r="R4" s="31" t="s">
        <v>197</v>
      </c>
      <c r="S4" s="31" t="s">
        <v>2442</v>
      </c>
      <c r="T4" s="31" t="s">
        <v>2443</v>
      </c>
      <c r="U4" s="31" t="s">
        <v>2539</v>
      </c>
      <c r="V4" s="31" t="s">
        <v>2450</v>
      </c>
      <c r="W4" s="31" t="s">
        <v>2444</v>
      </c>
      <c r="X4" s="31" t="s">
        <v>2415</v>
      </c>
      <c r="Y4" s="31" t="s">
        <v>2416</v>
      </c>
      <c r="Z4" s="31" t="s">
        <v>2417</v>
      </c>
      <c r="AA4" s="31" t="s">
        <v>2418</v>
      </c>
      <c r="AB4" s="31" t="s">
        <v>2417</v>
      </c>
      <c r="AC4" s="31" t="s">
        <v>2419</v>
      </c>
      <c r="AD4" s="31"/>
      <c r="AE4" s="31" t="s">
        <v>2420</v>
      </c>
      <c r="AF4" s="31" t="s">
        <v>2421</v>
      </c>
      <c r="AG4" s="31" t="s">
        <v>2422</v>
      </c>
      <c r="AH4" s="31" t="s">
        <v>2423</v>
      </c>
      <c r="AI4" s="31" t="s">
        <v>2423</v>
      </c>
      <c r="AJ4" s="31" t="s">
        <v>2424</v>
      </c>
      <c r="AK4" s="31" t="s">
        <v>2425</v>
      </c>
      <c r="AL4" s="31" t="s">
        <v>2426</v>
      </c>
      <c r="AM4" s="31" t="s">
        <v>2427</v>
      </c>
      <c r="AN4" s="31" t="s">
        <v>2428</v>
      </c>
      <c r="AO4" s="31" t="s">
        <v>2429</v>
      </c>
      <c r="AP4" s="31" t="s">
        <v>2430</v>
      </c>
      <c r="AQ4" s="31" t="s">
        <v>2431</v>
      </c>
      <c r="AR4" s="31" t="s">
        <v>2432</v>
      </c>
      <c r="AS4" s="31" t="s">
        <v>2433</v>
      </c>
      <c r="AT4" s="31" t="s">
        <v>2434</v>
      </c>
      <c r="AU4" s="981"/>
      <c r="AV4" s="26"/>
      <c r="AW4" s="26"/>
      <c r="AX4" s="26"/>
      <c r="AY4" s="26"/>
      <c r="AZ4" s="945"/>
      <c r="BA4" s="945"/>
      <c r="BB4" s="26"/>
      <c r="BC4" s="26"/>
      <c r="BD4" s="26"/>
      <c r="BE4" s="26"/>
      <c r="BF4" s="945"/>
      <c r="BG4" s="945"/>
      <c r="BH4" s="945"/>
      <c r="BI4" s="945"/>
      <c r="BJ4" s="26"/>
      <c r="BK4" s="26"/>
      <c r="BL4" s="952"/>
      <c r="BM4" s="946"/>
      <c r="BN4" s="945"/>
      <c r="BO4" s="945"/>
      <c r="BP4" s="945"/>
      <c r="BQ4" s="945"/>
      <c r="BR4" s="989"/>
      <c r="BS4" s="951"/>
      <c r="BT4" s="951"/>
      <c r="BU4" s="951"/>
      <c r="BV4" s="951"/>
      <c r="BW4" s="951"/>
      <c r="BX4" s="951"/>
      <c r="BY4" s="990"/>
      <c r="BZ4" s="137"/>
      <c r="CA4" s="137"/>
      <c r="CB4" s="137"/>
      <c r="CC4" s="137"/>
      <c r="CD4" s="137"/>
      <c r="CE4" s="991"/>
      <c r="CF4" s="138"/>
    </row>
    <row r="5" spans="1:90" s="30" customFormat="1" ht="18.75" hidden="1" customHeight="1" outlineLevel="1" thickBot="1">
      <c r="A5" s="1"/>
      <c r="B5" s="1"/>
      <c r="C5" s="1"/>
      <c r="D5" s="975"/>
      <c r="E5" s="42" t="s">
        <v>196</v>
      </c>
      <c r="F5" s="42" t="s">
        <v>197</v>
      </c>
      <c r="G5" s="42" t="s">
        <v>197</v>
      </c>
      <c r="H5" s="42" t="s">
        <v>2213</v>
      </c>
      <c r="I5" s="42" t="s">
        <v>69</v>
      </c>
      <c r="J5" s="42" t="s">
        <v>2204</v>
      </c>
      <c r="K5" s="42" t="s">
        <v>2287</v>
      </c>
      <c r="L5" s="42" t="s">
        <v>2358</v>
      </c>
      <c r="M5" s="42" t="s">
        <v>2357</v>
      </c>
      <c r="N5" s="42" t="s">
        <v>198</v>
      </c>
      <c r="O5" s="42" t="s">
        <v>71</v>
      </c>
      <c r="P5" s="42" t="s">
        <v>72</v>
      </c>
      <c r="Q5" s="42" t="s">
        <v>68</v>
      </c>
      <c r="R5" s="42"/>
      <c r="S5" s="42" t="s">
        <v>73</v>
      </c>
      <c r="T5" s="42" t="s">
        <v>74</v>
      </c>
      <c r="U5" s="42" t="str">
        <f>HYPERLINK("https://intranet.atlnz.lc/systest/Jira_Reports/testExecReport/jiraExecReport.php?testPlanKey=626&amp;projectKey=TQUALTCM&amp;Report=Report","TP626")</f>
        <v>TP626</v>
      </c>
      <c r="V5" s="42" t="s">
        <v>2070</v>
      </c>
      <c r="W5" s="42" t="s">
        <v>2163</v>
      </c>
      <c r="X5" s="42" t="s">
        <v>199</v>
      </c>
      <c r="Y5" s="42" t="s">
        <v>200</v>
      </c>
      <c r="Z5" s="42" t="s">
        <v>75</v>
      </c>
      <c r="AA5" s="42" t="s">
        <v>201</v>
      </c>
      <c r="AB5" s="42" t="s">
        <v>202</v>
      </c>
      <c r="AC5" s="42" t="s">
        <v>2189</v>
      </c>
      <c r="AD5" s="42" t="s">
        <v>2398</v>
      </c>
      <c r="AE5" s="42" t="s">
        <v>203</v>
      </c>
      <c r="AF5" s="42" t="s">
        <v>204</v>
      </c>
      <c r="AG5" s="42" t="s">
        <v>205</v>
      </c>
      <c r="AH5" s="42" t="s">
        <v>206</v>
      </c>
      <c r="AI5" s="42" t="s">
        <v>76</v>
      </c>
      <c r="AJ5" s="42" t="s">
        <v>207</v>
      </c>
      <c r="AK5" s="42" t="s">
        <v>208</v>
      </c>
      <c r="AL5" s="42" t="s">
        <v>209</v>
      </c>
      <c r="AM5" s="42" t="s">
        <v>210</v>
      </c>
      <c r="AN5" s="42" t="s">
        <v>211</v>
      </c>
      <c r="AO5" s="42" t="s">
        <v>2322</v>
      </c>
      <c r="AP5" s="42" t="s">
        <v>212</v>
      </c>
      <c r="AQ5" s="42" t="s">
        <v>213</v>
      </c>
      <c r="AR5" s="42" t="s">
        <v>214</v>
      </c>
      <c r="AS5" s="42" t="s">
        <v>215</v>
      </c>
      <c r="AT5" s="42" t="s">
        <v>70</v>
      </c>
      <c r="AU5" s="981"/>
      <c r="AV5" s="33" t="s">
        <v>80</v>
      </c>
      <c r="AW5" s="33" t="s">
        <v>81</v>
      </c>
      <c r="AX5" s="33" t="s">
        <v>77</v>
      </c>
      <c r="AY5" s="33" t="s">
        <v>78</v>
      </c>
      <c r="AZ5" s="33" t="s">
        <v>216</v>
      </c>
      <c r="BA5" s="33" t="s">
        <v>84</v>
      </c>
      <c r="BB5" s="33" t="s">
        <v>79</v>
      </c>
      <c r="BC5" s="33" t="s">
        <v>217</v>
      </c>
      <c r="BD5" s="33" t="s">
        <v>85</v>
      </c>
      <c r="BE5" s="33" t="s">
        <v>86</v>
      </c>
      <c r="BF5" s="34" t="s">
        <v>82</v>
      </c>
      <c r="BG5" s="34" t="s">
        <v>218</v>
      </c>
      <c r="BH5" s="33" t="s">
        <v>83</v>
      </c>
      <c r="BI5" s="33" t="s">
        <v>219</v>
      </c>
      <c r="BJ5" s="33" t="s">
        <v>89</v>
      </c>
      <c r="BK5" s="33" t="s">
        <v>88</v>
      </c>
      <c r="BL5" s="139" t="s">
        <v>220</v>
      </c>
      <c r="BM5" s="38" t="s">
        <v>221</v>
      </c>
      <c r="BN5" s="33" t="s">
        <v>134</v>
      </c>
      <c r="BO5" s="33" t="s">
        <v>135</v>
      </c>
      <c r="BP5" s="33" t="s">
        <v>136</v>
      </c>
      <c r="BQ5" s="33" t="s">
        <v>100</v>
      </c>
      <c r="BR5" s="989"/>
      <c r="BS5" s="140" t="s">
        <v>90</v>
      </c>
      <c r="BT5" s="137" t="s">
        <v>91</v>
      </c>
      <c r="BU5" s="137" t="s">
        <v>92</v>
      </c>
      <c r="BV5" s="137" t="s">
        <v>93</v>
      </c>
      <c r="BW5" s="137" t="s">
        <v>94</v>
      </c>
      <c r="BX5" s="137" t="s">
        <v>95</v>
      </c>
      <c r="BY5" s="990"/>
      <c r="BZ5" s="141" t="s">
        <v>96</v>
      </c>
      <c r="CA5" s="141" t="s">
        <v>97</v>
      </c>
      <c r="CB5" s="137" t="s">
        <v>98</v>
      </c>
      <c r="CC5" s="137" t="s">
        <v>99</v>
      </c>
      <c r="CD5" s="137" t="s">
        <v>100</v>
      </c>
      <c r="CE5" s="991"/>
      <c r="CF5" s="142" t="s">
        <v>101</v>
      </c>
    </row>
    <row r="6" spans="1:90" s="30" customFormat="1" ht="34.5" hidden="1" outlineLevel="1" thickBot="1">
      <c r="A6" s="1"/>
      <c r="B6" s="1"/>
      <c r="C6" s="1"/>
      <c r="D6" s="975"/>
      <c r="E6" s="36" t="s">
        <v>103</v>
      </c>
      <c r="F6" s="36" t="s">
        <v>103</v>
      </c>
      <c r="G6" s="36" t="s">
        <v>103</v>
      </c>
      <c r="H6" s="36"/>
      <c r="I6" s="36" t="s">
        <v>103</v>
      </c>
      <c r="J6" s="36" t="s">
        <v>2355</v>
      </c>
      <c r="K6" s="36" t="s">
        <v>103</v>
      </c>
      <c r="L6" s="36" t="s">
        <v>2356</v>
      </c>
      <c r="M6" s="36" t="s">
        <v>2356</v>
      </c>
      <c r="N6" s="36" t="s">
        <v>103</v>
      </c>
      <c r="O6" s="36" t="s">
        <v>103</v>
      </c>
      <c r="P6" s="36" t="s">
        <v>103</v>
      </c>
      <c r="Q6" s="36"/>
      <c r="R6" s="36"/>
      <c r="S6" s="36" t="s">
        <v>103</v>
      </c>
      <c r="T6" s="36" t="s">
        <v>103</v>
      </c>
      <c r="U6" s="36" t="s">
        <v>103</v>
      </c>
      <c r="V6" s="36" t="s">
        <v>103</v>
      </c>
      <c r="W6" s="36" t="s">
        <v>2165</v>
      </c>
      <c r="X6" s="36" t="s">
        <v>103</v>
      </c>
      <c r="Y6" s="36" t="s">
        <v>222</v>
      </c>
      <c r="Z6" s="143" t="s">
        <v>223</v>
      </c>
      <c r="AA6" s="143" t="s">
        <v>223</v>
      </c>
      <c r="AB6" s="143" t="s">
        <v>223</v>
      </c>
      <c r="AC6" s="36" t="s">
        <v>2165</v>
      </c>
      <c r="AD6" s="36" t="s">
        <v>2190</v>
      </c>
      <c r="AE6" s="36" t="s">
        <v>222</v>
      </c>
      <c r="AF6" s="36" t="s">
        <v>222</v>
      </c>
      <c r="AG6" s="36" t="s">
        <v>222</v>
      </c>
      <c r="AH6" s="36" t="s">
        <v>222</v>
      </c>
      <c r="AI6" s="36" t="s">
        <v>224</v>
      </c>
      <c r="AJ6" s="36" t="s">
        <v>222</v>
      </c>
      <c r="AK6" s="36" t="s">
        <v>222</v>
      </c>
      <c r="AL6" s="36" t="s">
        <v>222</v>
      </c>
      <c r="AM6" s="36" t="s">
        <v>222</v>
      </c>
      <c r="AN6" s="36" t="s">
        <v>222</v>
      </c>
      <c r="AO6" s="36" t="s">
        <v>2320</v>
      </c>
      <c r="AP6" s="36" t="s">
        <v>222</v>
      </c>
      <c r="AQ6" s="36" t="s">
        <v>103</v>
      </c>
      <c r="AR6" s="36" t="s">
        <v>225</v>
      </c>
      <c r="AS6" s="36" t="s">
        <v>103</v>
      </c>
      <c r="AT6" s="36" t="s">
        <v>103</v>
      </c>
      <c r="AU6" s="981"/>
      <c r="AV6" s="33"/>
      <c r="AW6" s="33"/>
      <c r="AX6" s="33"/>
      <c r="AY6" s="33"/>
      <c r="AZ6" s="33"/>
      <c r="BA6" s="33"/>
      <c r="BB6" s="33"/>
      <c r="BC6" s="33"/>
      <c r="BD6" s="33"/>
      <c r="BE6" s="33"/>
      <c r="BF6" s="34"/>
      <c r="BG6" s="34"/>
      <c r="BH6" s="33"/>
      <c r="BI6" s="33"/>
      <c r="BJ6" s="33"/>
      <c r="BK6" s="33"/>
      <c r="BL6" s="139"/>
      <c r="BM6" s="144"/>
      <c r="BN6" s="33"/>
      <c r="BO6" s="33"/>
      <c r="BP6" s="33"/>
      <c r="BQ6" s="33"/>
      <c r="BR6" s="989"/>
      <c r="BS6" s="140"/>
      <c r="BT6" s="137"/>
      <c r="BU6" s="137"/>
      <c r="BV6" s="137"/>
      <c r="BW6" s="137"/>
      <c r="BX6" s="137"/>
      <c r="BY6" s="990"/>
      <c r="BZ6" s="141"/>
      <c r="CA6" s="141"/>
      <c r="CB6" s="137"/>
      <c r="CC6" s="137"/>
      <c r="CD6" s="137"/>
      <c r="CE6" s="991"/>
      <c r="CF6" s="142"/>
    </row>
    <row r="7" spans="1:90" s="30" customFormat="1" ht="34.5" hidden="1" outlineLevel="1" thickBot="1">
      <c r="A7" s="1"/>
      <c r="B7" s="1"/>
      <c r="C7" s="1"/>
      <c r="D7" s="975"/>
      <c r="E7" s="31" t="s">
        <v>226</v>
      </c>
      <c r="F7" s="31" t="s">
        <v>226</v>
      </c>
      <c r="G7" s="31" t="s">
        <v>226</v>
      </c>
      <c r="H7" s="31"/>
      <c r="I7" s="31" t="s">
        <v>46</v>
      </c>
      <c r="J7" s="31" t="s">
        <v>2194</v>
      </c>
      <c r="K7" s="31" t="s">
        <v>2194</v>
      </c>
      <c r="L7" s="31" t="s">
        <v>2266</v>
      </c>
      <c r="M7" s="31" t="s">
        <v>2266</v>
      </c>
      <c r="N7" s="36" t="s">
        <v>227</v>
      </c>
      <c r="O7" s="31" t="s">
        <v>107</v>
      </c>
      <c r="P7" s="31" t="s">
        <v>107</v>
      </c>
      <c r="Q7" s="31" t="s">
        <v>194</v>
      </c>
      <c r="R7" s="31" t="s">
        <v>194</v>
      </c>
      <c r="S7" s="31" t="s">
        <v>2345</v>
      </c>
      <c r="T7" s="31" t="s">
        <v>2345</v>
      </c>
      <c r="U7" s="31" t="s">
        <v>2474</v>
      </c>
      <c r="V7" s="31" t="s">
        <v>2071</v>
      </c>
      <c r="W7" s="31" t="s">
        <v>2162</v>
      </c>
      <c r="X7" s="31" t="s">
        <v>228</v>
      </c>
      <c r="Y7" s="31" t="s">
        <v>229</v>
      </c>
      <c r="Z7" s="31" t="s">
        <v>109</v>
      </c>
      <c r="AA7" s="31" t="s">
        <v>230</v>
      </c>
      <c r="AB7" s="31" t="s">
        <v>230</v>
      </c>
      <c r="AC7" s="31" t="s">
        <v>2184</v>
      </c>
      <c r="AD7" s="31" t="s">
        <v>2265</v>
      </c>
      <c r="AE7" s="31" t="s">
        <v>191</v>
      </c>
      <c r="AF7" s="31" t="s">
        <v>191</v>
      </c>
      <c r="AG7" s="31" t="s">
        <v>191</v>
      </c>
      <c r="AH7" s="31" t="s">
        <v>51</v>
      </c>
      <c r="AI7" s="31" t="s">
        <v>51</v>
      </c>
      <c r="AJ7" s="31" t="s">
        <v>231</v>
      </c>
      <c r="AK7" s="31" t="s">
        <v>231</v>
      </c>
      <c r="AL7" s="31" t="s">
        <v>231</v>
      </c>
      <c r="AM7" s="31" t="s">
        <v>231</v>
      </c>
      <c r="AN7" s="31" t="s">
        <v>231</v>
      </c>
      <c r="AO7" s="31" t="s">
        <v>2317</v>
      </c>
      <c r="AP7" s="31" t="s">
        <v>106</v>
      </c>
      <c r="AQ7" s="31" t="s">
        <v>106</v>
      </c>
      <c r="AR7" s="31" t="s">
        <v>106</v>
      </c>
      <c r="AS7" s="31" t="s">
        <v>106</v>
      </c>
      <c r="AT7" s="31" t="s">
        <v>106</v>
      </c>
      <c r="AU7" s="981"/>
      <c r="AV7" s="33" t="s">
        <v>56</v>
      </c>
      <c r="AW7" s="33" t="s">
        <v>56</v>
      </c>
      <c r="AX7" s="33" t="s">
        <v>53</v>
      </c>
      <c r="AY7" s="33" t="s">
        <v>110</v>
      </c>
      <c r="AZ7" s="33" t="s">
        <v>112</v>
      </c>
      <c r="BA7" s="33" t="s">
        <v>232</v>
      </c>
      <c r="BB7" s="33" t="s">
        <v>55</v>
      </c>
      <c r="BC7" s="33" t="s">
        <v>233</v>
      </c>
      <c r="BD7" s="33" t="s">
        <v>234</v>
      </c>
      <c r="BE7" s="33" t="s">
        <v>234</v>
      </c>
      <c r="BF7" s="33" t="s">
        <v>112</v>
      </c>
      <c r="BG7" s="33" t="s">
        <v>112</v>
      </c>
      <c r="BH7" s="33" t="s">
        <v>235</v>
      </c>
      <c r="BI7" s="33" t="s">
        <v>236</v>
      </c>
      <c r="BJ7" s="33" t="s">
        <v>62</v>
      </c>
      <c r="BK7" s="33" t="s">
        <v>62</v>
      </c>
      <c r="BL7" s="139" t="s">
        <v>61</v>
      </c>
      <c r="BM7" s="139" t="s">
        <v>237</v>
      </c>
      <c r="BN7" s="33" t="s">
        <v>63</v>
      </c>
      <c r="BO7" s="33" t="s">
        <v>238</v>
      </c>
      <c r="BP7" s="33" t="s">
        <v>64</v>
      </c>
      <c r="BQ7" s="33" t="s">
        <v>239</v>
      </c>
      <c r="BR7" s="989"/>
      <c r="BS7" s="140"/>
      <c r="BT7" s="137"/>
      <c r="BU7" s="137"/>
      <c r="BV7" s="137"/>
      <c r="BW7" s="137"/>
      <c r="BX7" s="137"/>
      <c r="BY7" s="990"/>
      <c r="BZ7" s="141"/>
      <c r="CA7" s="141"/>
      <c r="CB7" s="137"/>
      <c r="CC7" s="137"/>
      <c r="CD7" s="137"/>
      <c r="CE7" s="991"/>
      <c r="CF7" s="142"/>
    </row>
    <row r="8" spans="1:90" s="30" customFormat="1" ht="102" thickBot="1">
      <c r="A8" s="1"/>
      <c r="B8" s="1"/>
      <c r="C8" s="1"/>
      <c r="D8" s="975"/>
      <c r="E8" s="31" t="s">
        <v>240</v>
      </c>
      <c r="F8" s="31" t="s">
        <v>241</v>
      </c>
      <c r="G8" s="31" t="s">
        <v>242</v>
      </c>
      <c r="H8" s="31" t="s">
        <v>2215</v>
      </c>
      <c r="I8" s="31" t="s">
        <v>243</v>
      </c>
      <c r="J8" s="31" t="s">
        <v>2349</v>
      </c>
      <c r="K8" s="31" t="s">
        <v>2354</v>
      </c>
      <c r="L8" s="31" t="s">
        <v>2353</v>
      </c>
      <c r="M8" s="31" t="s">
        <v>2352</v>
      </c>
      <c r="N8" s="36" t="s">
        <v>244</v>
      </c>
      <c r="O8" s="31" t="s">
        <v>116</v>
      </c>
      <c r="P8" s="31" t="s">
        <v>2468</v>
      </c>
      <c r="Q8" s="31" t="s">
        <v>113</v>
      </c>
      <c r="R8" s="31" t="s">
        <v>260</v>
      </c>
      <c r="S8" s="31" t="s">
        <v>2467</v>
      </c>
      <c r="T8" s="31" t="s">
        <v>245</v>
      </c>
      <c r="U8" s="31" t="s">
        <v>2507</v>
      </c>
      <c r="V8" s="31" t="s">
        <v>2072</v>
      </c>
      <c r="W8" s="31" t="s">
        <v>2186</v>
      </c>
      <c r="X8" s="31" t="s">
        <v>246</v>
      </c>
      <c r="Y8" s="31" t="s">
        <v>247</v>
      </c>
      <c r="Z8" s="31" t="s">
        <v>2042</v>
      </c>
      <c r="AA8" s="31" t="s">
        <v>248</v>
      </c>
      <c r="AB8" s="36" t="s">
        <v>249</v>
      </c>
      <c r="AC8" s="31" t="s">
        <v>2187</v>
      </c>
      <c r="AD8" s="404" t="s">
        <v>2396</v>
      </c>
      <c r="AE8" s="31" t="s">
        <v>250</v>
      </c>
      <c r="AF8" s="31" t="s">
        <v>251</v>
      </c>
      <c r="AG8" s="31" t="s">
        <v>252</v>
      </c>
      <c r="AH8" s="31" t="s">
        <v>253</v>
      </c>
      <c r="AI8" s="31" t="s">
        <v>120</v>
      </c>
      <c r="AJ8" s="31" t="s">
        <v>469</v>
      </c>
      <c r="AK8" s="31" t="s">
        <v>254</v>
      </c>
      <c r="AL8" s="36" t="s">
        <v>255</v>
      </c>
      <c r="AM8" s="31" t="s">
        <v>254</v>
      </c>
      <c r="AN8" s="36" t="s">
        <v>255</v>
      </c>
      <c r="AO8" s="36" t="s">
        <v>2325</v>
      </c>
      <c r="AP8" s="31" t="s">
        <v>256</v>
      </c>
      <c r="AQ8" s="31" t="s">
        <v>257</v>
      </c>
      <c r="AR8" s="31" t="s">
        <v>258</v>
      </c>
      <c r="AS8" s="31" t="s">
        <v>259</v>
      </c>
      <c r="AT8" s="31" t="s">
        <v>115</v>
      </c>
      <c r="AU8" s="981"/>
      <c r="AV8" s="33" t="s">
        <v>124</v>
      </c>
      <c r="AW8" s="33" t="s">
        <v>125</v>
      </c>
      <c r="AX8" s="33" t="s">
        <v>121</v>
      </c>
      <c r="AY8" s="33" t="s">
        <v>122</v>
      </c>
      <c r="AZ8" s="33" t="s">
        <v>261</v>
      </c>
      <c r="BA8" s="33" t="s">
        <v>262</v>
      </c>
      <c r="BB8" s="33" t="s">
        <v>123</v>
      </c>
      <c r="BC8" s="33" t="s">
        <v>263</v>
      </c>
      <c r="BD8" s="33" t="s">
        <v>129</v>
      </c>
      <c r="BE8" s="33" t="s">
        <v>264</v>
      </c>
      <c r="BF8" s="34" t="s">
        <v>265</v>
      </c>
      <c r="BG8" s="34" t="s">
        <v>266</v>
      </c>
      <c r="BH8" s="33" t="s">
        <v>267</v>
      </c>
      <c r="BI8" s="33" t="s">
        <v>127</v>
      </c>
      <c r="BJ8" s="33" t="s">
        <v>133</v>
      </c>
      <c r="BK8" s="33" t="s">
        <v>132</v>
      </c>
      <c r="BL8" s="139" t="s">
        <v>268</v>
      </c>
      <c r="BM8" s="38" t="s">
        <v>221</v>
      </c>
      <c r="BN8" s="33" t="s">
        <v>134</v>
      </c>
      <c r="BO8" s="33" t="s">
        <v>135</v>
      </c>
      <c r="BP8" s="33" t="s">
        <v>136</v>
      </c>
      <c r="BQ8" s="33" t="s">
        <v>100</v>
      </c>
      <c r="BR8" s="989"/>
      <c r="BS8" s="140" t="s">
        <v>90</v>
      </c>
      <c r="BT8" s="137" t="s">
        <v>91</v>
      </c>
      <c r="BU8" s="137" t="s">
        <v>92</v>
      </c>
      <c r="BV8" s="137" t="s">
        <v>93</v>
      </c>
      <c r="BW8" s="137" t="s">
        <v>94</v>
      </c>
      <c r="BX8" s="137" t="s">
        <v>95</v>
      </c>
      <c r="BY8" s="990"/>
      <c r="BZ8" s="141" t="s">
        <v>96</v>
      </c>
      <c r="CA8" s="141" t="s">
        <v>97</v>
      </c>
      <c r="CB8" s="137" t="s">
        <v>98</v>
      </c>
      <c r="CC8" s="137" t="s">
        <v>99</v>
      </c>
      <c r="CD8" s="137" t="s">
        <v>100</v>
      </c>
      <c r="CE8" s="991"/>
      <c r="CF8" s="142" t="s">
        <v>101</v>
      </c>
    </row>
    <row r="9" spans="1:90" ht="30">
      <c r="A9" s="39" t="str">
        <f>HYPERLINK("https://wiki.atlnz.lc/awpwiki/index.php/Qualification_Transceiver_Inventory#AT-SPBD10-13","AT-SPBD10-13")</f>
        <v>AT-SPBD10-13</v>
      </c>
      <c r="B9" s="41" t="s">
        <v>161</v>
      </c>
      <c r="C9" s="41"/>
      <c r="D9" s="42">
        <v>15</v>
      </c>
      <c r="E9" s="145" t="str">
        <f>F9</f>
        <v>Pass, May 15</v>
      </c>
      <c r="F9" s="43" t="s">
        <v>269</v>
      </c>
      <c r="G9" s="44" t="s">
        <v>269</v>
      </c>
      <c r="H9" s="888" t="s">
        <v>2214</v>
      </c>
      <c r="I9" s="888" t="s">
        <v>576</v>
      </c>
      <c r="J9" s="888" t="s">
        <v>2329</v>
      </c>
      <c r="K9" s="888" t="s">
        <v>2329</v>
      </c>
      <c r="L9" s="74" t="s">
        <v>162</v>
      </c>
      <c r="M9" s="74" t="s">
        <v>162</v>
      </c>
      <c r="N9" s="843" t="s">
        <v>2037</v>
      </c>
      <c r="O9" s="43" t="s">
        <v>141</v>
      </c>
      <c r="P9" s="43" t="s">
        <v>141</v>
      </c>
      <c r="Q9" s="43" t="s">
        <v>138</v>
      </c>
      <c r="R9" s="888" t="s">
        <v>152</v>
      </c>
      <c r="S9" s="43" t="s">
        <v>142</v>
      </c>
      <c r="T9" s="43" t="s">
        <v>143</v>
      </c>
      <c r="U9" s="974" t="s">
        <v>2545</v>
      </c>
      <c r="V9" s="147" t="s">
        <v>2185</v>
      </c>
      <c r="W9" s="873" t="s">
        <v>2209</v>
      </c>
      <c r="X9" s="43" t="s">
        <v>270</v>
      </c>
      <c r="Y9" s="147" t="s">
        <v>271</v>
      </c>
      <c r="Z9" s="147" t="s">
        <v>2041</v>
      </c>
      <c r="AA9" s="148" t="s">
        <v>272</v>
      </c>
      <c r="AB9" s="148" t="str">
        <f>HYPERLINK("https://intranet.atlnz.lc/systest/Reports/TestLink/SuiteExecC.php?plan=483426&amp;rep=F&amp;platform=188","Pass,28-6-18")</f>
        <v>Pass,28-6-18</v>
      </c>
      <c r="AC9" s="873" t="s">
        <v>2208</v>
      </c>
      <c r="AD9" s="845" t="s">
        <v>2395</v>
      </c>
      <c r="AE9" s="843" t="s">
        <v>2037</v>
      </c>
      <c r="AF9" s="843" t="s">
        <v>2037</v>
      </c>
      <c r="AG9" s="843" t="s">
        <v>2037</v>
      </c>
      <c r="AH9" s="43" t="s">
        <v>273</v>
      </c>
      <c r="AI9" s="43" t="s">
        <v>144</v>
      </c>
      <c r="AJ9" s="148" t="str">
        <f>HYPERLINK("https://intranet.atlnz.lc/systest/Reports/TestLink/SuiteExecC.php?plan=486616&amp;rep=F&amp;platform=188","Pass, Oct'17")</f>
        <v>Pass, Oct'17</v>
      </c>
      <c r="AK9" s="148" t="str">
        <f>HYPERLINK("https://intranet.atlnz.lc/systest/Reports/TestLink/SuiteExecC.php?plan=490516&amp;rep=F&amp;platform=188","Pass, Jan'19")</f>
        <v>Pass, Jan'19</v>
      </c>
      <c r="AL9" s="43" t="s">
        <v>274</v>
      </c>
      <c r="AM9" s="43" t="s">
        <v>275</v>
      </c>
      <c r="AN9" s="43" t="s">
        <v>139</v>
      </c>
      <c r="AO9" s="888" t="s">
        <v>2360</v>
      </c>
      <c r="AP9" s="43" t="s">
        <v>276</v>
      </c>
      <c r="AQ9" s="43" t="s">
        <v>277</v>
      </c>
      <c r="AR9" s="149" t="s">
        <v>278</v>
      </c>
      <c r="AS9" s="43" t="s">
        <v>279</v>
      </c>
      <c r="AT9" s="44" t="s">
        <v>280</v>
      </c>
      <c r="AU9" s="45"/>
      <c r="AV9" s="43" t="s">
        <v>276</v>
      </c>
      <c r="AW9" s="150" t="s">
        <v>152</v>
      </c>
      <c r="AX9" s="43" t="s">
        <v>276</v>
      </c>
      <c r="AY9" s="43" t="s">
        <v>146</v>
      </c>
      <c r="AZ9" s="43" t="s">
        <v>281</v>
      </c>
      <c r="BA9" s="43" t="s">
        <v>150</v>
      </c>
      <c r="BB9" s="43" t="s">
        <v>147</v>
      </c>
      <c r="BC9" s="146" t="s">
        <v>165</v>
      </c>
      <c r="BD9" s="43" t="s">
        <v>282</v>
      </c>
      <c r="BE9" s="43" t="s">
        <v>152</v>
      </c>
      <c r="BF9" s="43" t="s">
        <v>283</v>
      </c>
      <c r="BG9" s="146" t="s">
        <v>165</v>
      </c>
      <c r="BH9" s="43" t="s">
        <v>284</v>
      </c>
      <c r="BI9" s="43" t="s">
        <v>149</v>
      </c>
      <c r="BJ9" s="43" t="s">
        <v>155</v>
      </c>
      <c r="BK9" s="43" t="s">
        <v>154</v>
      </c>
      <c r="BL9" s="151" t="s">
        <v>285</v>
      </c>
      <c r="BM9" s="47" t="s">
        <v>149</v>
      </c>
      <c r="BN9" s="152" t="s">
        <v>286</v>
      </c>
      <c r="BO9" s="152" t="s">
        <v>286</v>
      </c>
      <c r="BP9" s="153" t="s">
        <v>286</v>
      </c>
      <c r="BQ9" s="50" t="s">
        <v>287</v>
      </c>
      <c r="BR9" s="51"/>
      <c r="BS9" s="76" t="s">
        <v>286</v>
      </c>
      <c r="BT9" s="154"/>
      <c r="BU9" s="155" t="s">
        <v>286</v>
      </c>
      <c r="BV9" s="155" t="s">
        <v>286</v>
      </c>
      <c r="BW9" s="155" t="s">
        <v>286</v>
      </c>
      <c r="BX9" s="67" t="s">
        <v>286</v>
      </c>
      <c r="BY9" s="51"/>
      <c r="BZ9" s="156" t="s">
        <v>286</v>
      </c>
      <c r="CA9" s="157" t="s">
        <v>180</v>
      </c>
      <c r="CB9" s="96" t="s">
        <v>286</v>
      </c>
      <c r="CC9" s="96" t="s">
        <v>170</v>
      </c>
      <c r="CD9" s="96" t="s">
        <v>170</v>
      </c>
      <c r="CE9" s="158"/>
      <c r="CF9" s="159" t="s">
        <v>286</v>
      </c>
      <c r="CL9" s="160"/>
    </row>
    <row r="10" spans="1:90" ht="30">
      <c r="A10" s="58" t="str">
        <f>HYPERLINK("https://wiki.atlnz.lc/awpwiki/index.php/Qualification_Transceiver_Inventory#AT-SPBD10-14","AT-SPBD10-14")</f>
        <v>AT-SPBD10-14</v>
      </c>
      <c r="B10" s="59" t="s">
        <v>161</v>
      </c>
      <c r="C10" s="59"/>
      <c r="D10" s="42">
        <v>36</v>
      </c>
      <c r="E10" s="161" t="str">
        <f>F10</f>
        <v>Pass, May 15</v>
      </c>
      <c r="F10" s="46" t="s">
        <v>269</v>
      </c>
      <c r="G10" s="62" t="s">
        <v>269</v>
      </c>
      <c r="H10" s="888" t="s">
        <v>2214</v>
      </c>
      <c r="I10" s="888" t="s">
        <v>576</v>
      </c>
      <c r="J10" s="888" t="s">
        <v>2329</v>
      </c>
      <c r="K10" s="888" t="s">
        <v>2329</v>
      </c>
      <c r="L10" s="74" t="s">
        <v>162</v>
      </c>
      <c r="M10" s="74" t="s">
        <v>162</v>
      </c>
      <c r="N10" s="843" t="s">
        <v>2037</v>
      </c>
      <c r="O10" s="46" t="s">
        <v>141</v>
      </c>
      <c r="P10" s="46" t="s">
        <v>141</v>
      </c>
      <c r="Q10" s="46" t="s">
        <v>138</v>
      </c>
      <c r="R10" s="888" t="s">
        <v>152</v>
      </c>
      <c r="S10" s="46" t="s">
        <v>142</v>
      </c>
      <c r="T10" s="46" t="s">
        <v>143</v>
      </c>
      <c r="U10" s="974" t="s">
        <v>2545</v>
      </c>
      <c r="V10" s="888" t="s">
        <v>2185</v>
      </c>
      <c r="W10" s="874" t="s">
        <v>2209</v>
      </c>
      <c r="X10" s="43" t="s">
        <v>270</v>
      </c>
      <c r="Y10" s="163" t="s">
        <v>271</v>
      </c>
      <c r="Z10" s="147" t="s">
        <v>2041</v>
      </c>
      <c r="AA10" s="148" t="s">
        <v>272</v>
      </c>
      <c r="AB10" s="148" t="str">
        <f>HYPERLINK("https://intranet.atlnz.lc/systest/Reports/TestLink/SuiteExecC.php?plan=483426&amp;rep=F&amp;platform=188","Pass,28-6-18")</f>
        <v>Pass,28-6-18</v>
      </c>
      <c r="AC10" s="873" t="s">
        <v>2208</v>
      </c>
      <c r="AD10" s="845" t="s">
        <v>2395</v>
      </c>
      <c r="AE10" s="843" t="s">
        <v>2037</v>
      </c>
      <c r="AF10" s="843" t="s">
        <v>2037</v>
      </c>
      <c r="AG10" s="843" t="s">
        <v>2037</v>
      </c>
      <c r="AH10" s="46" t="s">
        <v>273</v>
      </c>
      <c r="AI10" s="46" t="s">
        <v>144</v>
      </c>
      <c r="AJ10" s="148" t="str">
        <f>HYPERLINK("https://intranet.atlnz.lc/systest/Reports/TestLink/SuiteExecC.php?plan=486616&amp;rep=F&amp;platform=188","Pass, Oct'17")</f>
        <v>Pass, Oct'17</v>
      </c>
      <c r="AK10" s="164" t="str">
        <f>HYPERLINK("https://intranet.atlnz.lc/systest/Reports/TestLink/SuiteExecC.php?plan=490516&amp;rep=F&amp;platform=188","Pass, Jan'19")</f>
        <v>Pass, Jan'19</v>
      </c>
      <c r="AL10" s="46" t="s">
        <v>274</v>
      </c>
      <c r="AM10" s="46" t="s">
        <v>275</v>
      </c>
      <c r="AN10" s="46" t="s">
        <v>139</v>
      </c>
      <c r="AO10" s="888" t="s">
        <v>2360</v>
      </c>
      <c r="AP10" s="46" t="s">
        <v>276</v>
      </c>
      <c r="AQ10" s="46" t="s">
        <v>277</v>
      </c>
      <c r="AR10" s="165" t="s">
        <v>278</v>
      </c>
      <c r="AS10" s="43" t="s">
        <v>279</v>
      </c>
      <c r="AT10" s="62" t="s">
        <v>280</v>
      </c>
      <c r="AU10" s="45"/>
      <c r="AV10" s="46" t="s">
        <v>276</v>
      </c>
      <c r="AW10" s="166" t="s">
        <v>152</v>
      </c>
      <c r="AX10" s="46" t="s">
        <v>276</v>
      </c>
      <c r="AY10" s="46" t="s">
        <v>146</v>
      </c>
      <c r="AZ10" s="46" t="s">
        <v>281</v>
      </c>
      <c r="BA10" s="46" t="s">
        <v>150</v>
      </c>
      <c r="BB10" s="46" t="s">
        <v>147</v>
      </c>
      <c r="BC10" s="162" t="s">
        <v>165</v>
      </c>
      <c r="BD10" s="46" t="s">
        <v>282</v>
      </c>
      <c r="BE10" s="46" t="s">
        <v>152</v>
      </c>
      <c r="BF10" s="46" t="s">
        <v>283</v>
      </c>
      <c r="BG10" s="162" t="s">
        <v>165</v>
      </c>
      <c r="BH10" s="46" t="s">
        <v>284</v>
      </c>
      <c r="BI10" s="46" t="s">
        <v>149</v>
      </c>
      <c r="BJ10" s="46" t="s">
        <v>155</v>
      </c>
      <c r="BK10" s="46" t="s">
        <v>154</v>
      </c>
      <c r="BL10" s="167" t="s">
        <v>285</v>
      </c>
      <c r="BM10" s="76" t="s">
        <v>149</v>
      </c>
      <c r="BN10" s="168" t="s">
        <v>286</v>
      </c>
      <c r="BO10" s="168" t="s">
        <v>286</v>
      </c>
      <c r="BP10" s="77" t="s">
        <v>286</v>
      </c>
      <c r="BQ10" s="67" t="s">
        <v>287</v>
      </c>
      <c r="BR10" s="51"/>
      <c r="BS10" s="76" t="s">
        <v>286</v>
      </c>
      <c r="BT10" s="154"/>
      <c r="BU10" s="155" t="s">
        <v>286</v>
      </c>
      <c r="BV10" s="155" t="s">
        <v>286</v>
      </c>
      <c r="BW10" s="155" t="s">
        <v>286</v>
      </c>
      <c r="BX10" s="67" t="s">
        <v>286</v>
      </c>
      <c r="BY10" s="51"/>
      <c r="BZ10" s="156" t="s">
        <v>286</v>
      </c>
      <c r="CA10" s="157" t="s">
        <v>180</v>
      </c>
      <c r="CB10" s="96" t="s">
        <v>286</v>
      </c>
      <c r="CC10" s="96" t="s">
        <v>170</v>
      </c>
      <c r="CD10" s="96" t="s">
        <v>170</v>
      </c>
      <c r="CE10" s="97"/>
      <c r="CF10" s="96" t="s">
        <v>286</v>
      </c>
      <c r="CL10" s="160"/>
    </row>
    <row r="11" spans="1:90" ht="30">
      <c r="A11" s="39" t="str">
        <f>HYPERLINK("https://wiki.atlnz.lc/awpwiki/index.php/Qualification_Transceiver_Inventory#AT-SPBD10-13-I","AT-SPBD10-13-I")</f>
        <v>AT-SPBD10-13-I</v>
      </c>
      <c r="B11" s="41" t="s">
        <v>163</v>
      </c>
      <c r="C11" s="41"/>
      <c r="D11" s="42">
        <v>540</v>
      </c>
      <c r="E11" s="888" t="s">
        <v>2359</v>
      </c>
      <c r="F11" s="888" t="s">
        <v>2359</v>
      </c>
      <c r="G11" s="888" t="s">
        <v>2359</v>
      </c>
      <c r="H11" s="888" t="s">
        <v>2326</v>
      </c>
      <c r="I11" s="888" t="s">
        <v>2326</v>
      </c>
      <c r="J11" s="888" t="s">
        <v>2326</v>
      </c>
      <c r="K11" s="888" t="s">
        <v>2326</v>
      </c>
      <c r="L11" s="888" t="s">
        <v>2471</v>
      </c>
      <c r="M11" s="888" t="s">
        <v>2471</v>
      </c>
      <c r="N11" s="888" t="s">
        <v>2166</v>
      </c>
      <c r="O11" s="888" t="s">
        <v>2326</v>
      </c>
      <c r="P11" s="888" t="s">
        <v>2326</v>
      </c>
      <c r="Q11" s="888" t="s">
        <v>2466</v>
      </c>
      <c r="R11" s="888" t="s">
        <v>152</v>
      </c>
      <c r="S11" s="888" t="s">
        <v>2326</v>
      </c>
      <c r="T11" s="888" t="s">
        <v>2326</v>
      </c>
      <c r="U11" s="974" t="s">
        <v>2545</v>
      </c>
      <c r="V11" s="888" t="s">
        <v>2362</v>
      </c>
      <c r="W11" s="881" t="s">
        <v>2361</v>
      </c>
      <c r="X11" s="888" t="s">
        <v>2326</v>
      </c>
      <c r="Y11" s="888" t="s">
        <v>2326</v>
      </c>
      <c r="Z11" s="888" t="s">
        <v>2326</v>
      </c>
      <c r="AA11" s="888" t="s">
        <v>2326</v>
      </c>
      <c r="AB11" s="888" t="s">
        <v>2326</v>
      </c>
      <c r="AC11" s="888" t="s">
        <v>2361</v>
      </c>
      <c r="AD11" s="845" t="s">
        <v>2395</v>
      </c>
      <c r="AE11" s="888" t="s">
        <v>2326</v>
      </c>
      <c r="AF11" s="888" t="s">
        <v>2326</v>
      </c>
      <c r="AG11" s="888" t="s">
        <v>2326</v>
      </c>
      <c r="AH11" s="888" t="s">
        <v>2326</v>
      </c>
      <c r="AI11" s="888" t="s">
        <v>2326</v>
      </c>
      <c r="AJ11" s="888" t="s">
        <v>2326</v>
      </c>
      <c r="AK11" s="888" t="s">
        <v>2326</v>
      </c>
      <c r="AL11" s="888" t="s">
        <v>2326</v>
      </c>
      <c r="AM11" s="881" t="s">
        <v>2166</v>
      </c>
      <c r="AN11" s="881" t="s">
        <v>2166</v>
      </c>
      <c r="AO11" s="888" t="s">
        <v>2465</v>
      </c>
      <c r="AP11" s="881" t="s">
        <v>2166</v>
      </c>
      <c r="AQ11" s="881" t="s">
        <v>2166</v>
      </c>
      <c r="AR11" s="881" t="s">
        <v>2166</v>
      </c>
      <c r="AS11" s="881" t="s">
        <v>2166</v>
      </c>
      <c r="AT11" s="881" t="s">
        <v>2166</v>
      </c>
      <c r="AU11" s="45"/>
      <c r="AV11" s="43" t="s">
        <v>276</v>
      </c>
      <c r="AW11" s="150" t="s">
        <v>152</v>
      </c>
      <c r="AX11" s="43" t="s">
        <v>276</v>
      </c>
      <c r="AY11" s="43" t="s">
        <v>146</v>
      </c>
      <c r="AZ11" s="43" t="s">
        <v>281</v>
      </c>
      <c r="BA11" s="43" t="s">
        <v>150</v>
      </c>
      <c r="BB11" s="43" t="s">
        <v>147</v>
      </c>
      <c r="BC11" s="146" t="s">
        <v>165</v>
      </c>
      <c r="BD11" s="43" t="s">
        <v>282</v>
      </c>
      <c r="BE11" s="43" t="s">
        <v>152</v>
      </c>
      <c r="BF11" s="43" t="s">
        <v>283</v>
      </c>
      <c r="BG11" s="146" t="s">
        <v>165</v>
      </c>
      <c r="BH11" s="43" t="s">
        <v>284</v>
      </c>
      <c r="BI11" s="43" t="s">
        <v>149</v>
      </c>
      <c r="BJ11" s="43" t="s">
        <v>155</v>
      </c>
      <c r="BK11" s="43" t="s">
        <v>154</v>
      </c>
      <c r="BL11" s="151" t="s">
        <v>285</v>
      </c>
      <c r="BM11" s="47" t="s">
        <v>149</v>
      </c>
      <c r="BN11" s="152" t="s">
        <v>286</v>
      </c>
      <c r="BO11" s="152" t="s">
        <v>286</v>
      </c>
      <c r="BP11" s="153" t="s">
        <v>286</v>
      </c>
      <c r="BQ11" s="50" t="s">
        <v>287</v>
      </c>
      <c r="BR11" s="51"/>
      <c r="BS11" s="76" t="s">
        <v>286</v>
      </c>
      <c r="BT11" s="154"/>
      <c r="BU11" s="155" t="s">
        <v>286</v>
      </c>
      <c r="BV11" s="155" t="s">
        <v>286</v>
      </c>
      <c r="BW11" s="155" t="s">
        <v>286</v>
      </c>
      <c r="BX11" s="67" t="s">
        <v>286</v>
      </c>
      <c r="BY11" s="51"/>
      <c r="BZ11" s="156" t="s">
        <v>286</v>
      </c>
      <c r="CA11" s="157" t="s">
        <v>180</v>
      </c>
      <c r="CB11" s="96" t="s">
        <v>286</v>
      </c>
      <c r="CC11" s="96" t="s">
        <v>170</v>
      </c>
      <c r="CD11" s="96" t="s">
        <v>170</v>
      </c>
      <c r="CE11" s="158"/>
      <c r="CF11" s="159" t="s">
        <v>286</v>
      </c>
      <c r="CL11" s="160"/>
    </row>
    <row r="12" spans="1:90" ht="30">
      <c r="A12" s="58" t="str">
        <f>HYPERLINK("https://wiki.atlnz.lc/awpwiki/index.php/Qualification_Transceiver_Inventory#AT-SPBD10-14-I","AT-SPBD10-14-I")</f>
        <v>AT-SPBD10-14-I</v>
      </c>
      <c r="B12" s="59" t="s">
        <v>163</v>
      </c>
      <c r="C12" s="59"/>
      <c r="D12" s="42">
        <v>541</v>
      </c>
      <c r="E12" s="888" t="s">
        <v>2469</v>
      </c>
      <c r="F12" s="888" t="s">
        <v>2469</v>
      </c>
      <c r="G12" s="888" t="s">
        <v>2469</v>
      </c>
      <c r="H12" s="888" t="s">
        <v>2326</v>
      </c>
      <c r="I12" s="888" t="s">
        <v>2326</v>
      </c>
      <c r="J12" s="888" t="s">
        <v>2326</v>
      </c>
      <c r="K12" s="888" t="s">
        <v>2326</v>
      </c>
      <c r="L12" s="888" t="s">
        <v>2471</v>
      </c>
      <c r="M12" s="888" t="s">
        <v>2471</v>
      </c>
      <c r="N12" s="888" t="s">
        <v>2470</v>
      </c>
      <c r="O12" s="888" t="s">
        <v>2326</v>
      </c>
      <c r="P12" s="888" t="s">
        <v>2326</v>
      </c>
      <c r="Q12" s="888" t="s">
        <v>2466</v>
      </c>
      <c r="R12" s="888" t="s">
        <v>152</v>
      </c>
      <c r="S12" s="888" t="s">
        <v>2326</v>
      </c>
      <c r="T12" s="888" t="s">
        <v>2326</v>
      </c>
      <c r="U12" s="974" t="s">
        <v>2545</v>
      </c>
      <c r="V12" s="888" t="s">
        <v>2362</v>
      </c>
      <c r="W12" s="881" t="s">
        <v>2361</v>
      </c>
      <c r="X12" s="888" t="s">
        <v>2326</v>
      </c>
      <c r="Y12" s="888" t="s">
        <v>2326</v>
      </c>
      <c r="Z12" s="888" t="s">
        <v>2326</v>
      </c>
      <c r="AA12" s="888" t="s">
        <v>2326</v>
      </c>
      <c r="AB12" s="888" t="s">
        <v>2326</v>
      </c>
      <c r="AC12" s="888" t="s">
        <v>2361</v>
      </c>
      <c r="AD12" s="845" t="s">
        <v>2395</v>
      </c>
      <c r="AE12" s="888" t="s">
        <v>2326</v>
      </c>
      <c r="AF12" s="888" t="s">
        <v>2326</v>
      </c>
      <c r="AG12" s="888" t="s">
        <v>2326</v>
      </c>
      <c r="AH12" s="888" t="s">
        <v>2326</v>
      </c>
      <c r="AI12" s="888" t="s">
        <v>2326</v>
      </c>
      <c r="AJ12" s="888" t="s">
        <v>2326</v>
      </c>
      <c r="AK12" s="888" t="s">
        <v>2326</v>
      </c>
      <c r="AL12" s="888" t="s">
        <v>2326</v>
      </c>
      <c r="AM12" s="881" t="s">
        <v>2166</v>
      </c>
      <c r="AN12" s="881" t="s">
        <v>2166</v>
      </c>
      <c r="AO12" s="888" t="s">
        <v>2465</v>
      </c>
      <c r="AP12" s="881" t="s">
        <v>2166</v>
      </c>
      <c r="AQ12" s="881" t="s">
        <v>2166</v>
      </c>
      <c r="AR12" s="881" t="s">
        <v>2166</v>
      </c>
      <c r="AS12" s="881" t="s">
        <v>2166</v>
      </c>
      <c r="AT12" s="881" t="s">
        <v>2166</v>
      </c>
      <c r="AU12" s="45"/>
      <c r="AV12" s="46" t="s">
        <v>276</v>
      </c>
      <c r="AW12" s="166" t="s">
        <v>152</v>
      </c>
      <c r="AX12" s="46" t="s">
        <v>276</v>
      </c>
      <c r="AY12" s="46" t="s">
        <v>146</v>
      </c>
      <c r="AZ12" s="46" t="s">
        <v>281</v>
      </c>
      <c r="BA12" s="46" t="s">
        <v>150</v>
      </c>
      <c r="BB12" s="46" t="s">
        <v>147</v>
      </c>
      <c r="BC12" s="162" t="s">
        <v>165</v>
      </c>
      <c r="BD12" s="46" t="s">
        <v>282</v>
      </c>
      <c r="BE12" s="46" t="s">
        <v>152</v>
      </c>
      <c r="BF12" s="46" t="s">
        <v>283</v>
      </c>
      <c r="BG12" s="162" t="s">
        <v>165</v>
      </c>
      <c r="BH12" s="46" t="s">
        <v>284</v>
      </c>
      <c r="BI12" s="46" t="s">
        <v>149</v>
      </c>
      <c r="BJ12" s="46" t="s">
        <v>155</v>
      </c>
      <c r="BK12" s="46" t="s">
        <v>154</v>
      </c>
      <c r="BL12" s="167" t="s">
        <v>285</v>
      </c>
      <c r="BM12" s="76" t="s">
        <v>149</v>
      </c>
      <c r="BN12" s="168" t="s">
        <v>286</v>
      </c>
      <c r="BO12" s="168" t="s">
        <v>286</v>
      </c>
      <c r="BP12" s="77" t="s">
        <v>286</v>
      </c>
      <c r="BQ12" s="67" t="s">
        <v>287</v>
      </c>
      <c r="BR12" s="51"/>
      <c r="BS12" s="76" t="s">
        <v>286</v>
      </c>
      <c r="BT12" s="154"/>
      <c r="BU12" s="155" t="s">
        <v>286</v>
      </c>
      <c r="BV12" s="155" t="s">
        <v>286</v>
      </c>
      <c r="BW12" s="155" t="s">
        <v>286</v>
      </c>
      <c r="BX12" s="67" t="s">
        <v>286</v>
      </c>
      <c r="BY12" s="51"/>
      <c r="BZ12" s="156" t="s">
        <v>286</v>
      </c>
      <c r="CA12" s="157" t="s">
        <v>180</v>
      </c>
      <c r="CB12" s="96" t="s">
        <v>286</v>
      </c>
      <c r="CC12" s="96" t="s">
        <v>170</v>
      </c>
      <c r="CD12" s="96" t="s">
        <v>170</v>
      </c>
      <c r="CE12" s="97"/>
      <c r="CF12" s="96" t="s">
        <v>286</v>
      </c>
      <c r="CL12" s="160"/>
    </row>
    <row r="13" spans="1:90" ht="30">
      <c r="A13" s="58" t="str">
        <f>HYPERLINK("https://wiki.atlnz.lc/awpwiki/index.php/Qualification_Transceiver_Inventory#AT-SPBD20-13_I","AT-SPBD20-13/I")</f>
        <v>AT-SPBD20-13/I</v>
      </c>
      <c r="B13" s="87" t="s">
        <v>163</v>
      </c>
      <c r="C13" s="87"/>
      <c r="D13" s="42">
        <v>16</v>
      </c>
      <c r="E13" s="161" t="s">
        <v>288</v>
      </c>
      <c r="F13" s="46" t="s">
        <v>288</v>
      </c>
      <c r="G13" s="62" t="s">
        <v>288</v>
      </c>
      <c r="H13" s="888" t="s">
        <v>2214</v>
      </c>
      <c r="I13" s="888" t="s">
        <v>576</v>
      </c>
      <c r="J13" s="888" t="s">
        <v>2329</v>
      </c>
      <c r="K13" s="888" t="s">
        <v>2329</v>
      </c>
      <c r="L13" s="74" t="s">
        <v>162</v>
      </c>
      <c r="M13" s="74" t="s">
        <v>162</v>
      </c>
      <c r="N13" s="162" t="s">
        <v>165</v>
      </c>
      <c r="O13" s="46" t="s">
        <v>141</v>
      </c>
      <c r="P13" s="46" t="s">
        <v>141</v>
      </c>
      <c r="Q13" s="162" t="s">
        <v>165</v>
      </c>
      <c r="R13" s="162" t="s">
        <v>165</v>
      </c>
      <c r="S13" s="46" t="s">
        <v>288</v>
      </c>
      <c r="T13" s="46" t="s">
        <v>288</v>
      </c>
      <c r="U13" s="974" t="s">
        <v>2545</v>
      </c>
      <c r="V13" s="888" t="s">
        <v>2185</v>
      </c>
      <c r="W13" s="888" t="s">
        <v>2209</v>
      </c>
      <c r="X13" s="43" t="s">
        <v>270</v>
      </c>
      <c r="Y13" s="163" t="s">
        <v>271</v>
      </c>
      <c r="Z13" s="147" t="s">
        <v>2041</v>
      </c>
      <c r="AA13" s="148" t="s">
        <v>272</v>
      </c>
      <c r="AB13" s="148" t="str">
        <f>HYPERLINK("https://intranet.atlnz.lc/systest/Reports/TestLink/SuiteExecC.php?plan=483426&amp;rep=F&amp;platform=1059","Pass 3-7-18")</f>
        <v>Pass 3-7-18</v>
      </c>
      <c r="AC13" s="873" t="s">
        <v>2208</v>
      </c>
      <c r="AD13" s="845" t="s">
        <v>2395</v>
      </c>
      <c r="AE13" s="162" t="s">
        <v>165</v>
      </c>
      <c r="AF13" s="162" t="s">
        <v>165</v>
      </c>
      <c r="AG13" s="162" t="s">
        <v>165</v>
      </c>
      <c r="AH13" s="46" t="s">
        <v>288</v>
      </c>
      <c r="AI13" s="46" t="s">
        <v>288</v>
      </c>
      <c r="AJ13" s="164" t="str">
        <f>HYPERLINK("https://intranet.atlnz.lc/systest/Reports/TestLink/SuiteExecC.php?plan=486616&amp;rep=F&amp;platform=1059","Pass, Oct'17")</f>
        <v>Pass, Oct'17</v>
      </c>
      <c r="AK13" s="164" t="str">
        <f>HYPERLINK("https://intranet.atlnz.lc/systest/Reports/TestLink/SuiteExecC.php?plan=490516&amp;rep=F&amp;platform=1059","Pass, Jan'19")</f>
        <v>Pass, Jan'19</v>
      </c>
      <c r="AL13" s="46" t="s">
        <v>274</v>
      </c>
      <c r="AM13" s="162" t="s">
        <v>165</v>
      </c>
      <c r="AN13" s="46" t="s">
        <v>139</v>
      </c>
      <c r="AO13" s="888" t="s">
        <v>2360</v>
      </c>
      <c r="AP13" s="162" t="s">
        <v>165</v>
      </c>
      <c r="AQ13" s="162" t="s">
        <v>165</v>
      </c>
      <c r="AR13" s="165" t="s">
        <v>278</v>
      </c>
      <c r="AS13" s="43" t="s">
        <v>279</v>
      </c>
      <c r="AT13" s="62" t="s">
        <v>288</v>
      </c>
      <c r="AU13" s="45"/>
      <c r="AV13" s="46" t="s">
        <v>288</v>
      </c>
      <c r="AW13" s="166" t="s">
        <v>152</v>
      </c>
      <c r="AX13" s="46" t="s">
        <v>288</v>
      </c>
      <c r="AY13" s="46" t="s">
        <v>288</v>
      </c>
      <c r="AZ13" s="169" t="s">
        <v>289</v>
      </c>
      <c r="BA13" s="169" t="s">
        <v>290</v>
      </c>
      <c r="BB13" s="46" t="s">
        <v>288</v>
      </c>
      <c r="BC13" s="162" t="s">
        <v>165</v>
      </c>
      <c r="BD13" s="46" t="s">
        <v>288</v>
      </c>
      <c r="BE13" s="46" t="s">
        <v>288</v>
      </c>
      <c r="BF13" s="162" t="s">
        <v>165</v>
      </c>
      <c r="BG13" s="162" t="s">
        <v>165</v>
      </c>
      <c r="BH13" s="46" t="s">
        <v>288</v>
      </c>
      <c r="BI13" s="46" t="s">
        <v>288</v>
      </c>
      <c r="BJ13" s="46" t="s">
        <v>288</v>
      </c>
      <c r="BK13" s="46" t="s">
        <v>288</v>
      </c>
      <c r="BL13" s="46" t="s">
        <v>288</v>
      </c>
      <c r="BM13" s="162" t="s">
        <v>165</v>
      </c>
      <c r="BN13" s="162" t="s">
        <v>165</v>
      </c>
      <c r="BO13" s="162" t="s">
        <v>165</v>
      </c>
      <c r="BP13" s="162" t="s">
        <v>165</v>
      </c>
      <c r="BQ13" s="162" t="s">
        <v>165</v>
      </c>
      <c r="BR13" s="51"/>
      <c r="BS13" s="76"/>
      <c r="BT13" s="154"/>
      <c r="BU13" s="171"/>
      <c r="BV13" s="155"/>
      <c r="BW13" s="171"/>
      <c r="BX13" s="67"/>
      <c r="BY13" s="51"/>
      <c r="BZ13" s="172"/>
      <c r="CA13" s="84"/>
      <c r="CB13" s="84"/>
      <c r="CC13" s="84"/>
      <c r="CD13" s="71"/>
      <c r="CE13" s="97"/>
      <c r="CF13" s="84"/>
      <c r="CL13" s="160"/>
    </row>
    <row r="14" spans="1:90" ht="30">
      <c r="A14" s="58" t="str">
        <f>HYPERLINK("https://wiki.atlnz.lc/awpwiki/index.php/Qualification_Transceiver_Inventory#AT-SPBD20-14_I","AT-SPBD20-14/I")</f>
        <v>AT-SPBD20-14/I</v>
      </c>
      <c r="B14" s="59" t="s">
        <v>163</v>
      </c>
      <c r="C14" s="59"/>
      <c r="D14" s="42">
        <v>37</v>
      </c>
      <c r="E14" s="161" t="s">
        <v>288</v>
      </c>
      <c r="F14" s="46" t="s">
        <v>288</v>
      </c>
      <c r="G14" s="62" t="s">
        <v>288</v>
      </c>
      <c r="H14" s="888" t="s">
        <v>2214</v>
      </c>
      <c r="I14" s="888" t="s">
        <v>576</v>
      </c>
      <c r="J14" s="888" t="s">
        <v>2329</v>
      </c>
      <c r="K14" s="888" t="s">
        <v>2329</v>
      </c>
      <c r="L14" s="74" t="s">
        <v>162</v>
      </c>
      <c r="M14" s="74" t="s">
        <v>162</v>
      </c>
      <c r="N14" s="162" t="s">
        <v>165</v>
      </c>
      <c r="O14" s="46" t="s">
        <v>141</v>
      </c>
      <c r="P14" s="46" t="s">
        <v>141</v>
      </c>
      <c r="Q14" s="162" t="s">
        <v>165</v>
      </c>
      <c r="R14" s="162" t="s">
        <v>165</v>
      </c>
      <c r="S14" s="46" t="s">
        <v>288</v>
      </c>
      <c r="T14" s="46" t="s">
        <v>288</v>
      </c>
      <c r="U14" s="974" t="s">
        <v>2545</v>
      </c>
      <c r="V14" s="888" t="s">
        <v>2185</v>
      </c>
      <c r="W14" s="888" t="s">
        <v>2209</v>
      </c>
      <c r="X14" s="43" t="s">
        <v>270</v>
      </c>
      <c r="Y14" s="163" t="s">
        <v>271</v>
      </c>
      <c r="Z14" s="147" t="s">
        <v>2041</v>
      </c>
      <c r="AA14" s="148" t="s">
        <v>272</v>
      </c>
      <c r="AB14" s="148" t="str">
        <f>HYPERLINK("https://intranet.atlnz.lc/systest/Reports/TestLink/SuiteExecC.php?plan=483426&amp;rep=F&amp;platform=1059","Pass 3-7-18")</f>
        <v>Pass 3-7-18</v>
      </c>
      <c r="AC14" s="873" t="s">
        <v>2208</v>
      </c>
      <c r="AD14" s="845" t="s">
        <v>2395</v>
      </c>
      <c r="AE14" s="162" t="s">
        <v>165</v>
      </c>
      <c r="AF14" s="162" t="s">
        <v>165</v>
      </c>
      <c r="AG14" s="162" t="s">
        <v>165</v>
      </c>
      <c r="AH14" s="46" t="s">
        <v>288</v>
      </c>
      <c r="AI14" s="46" t="s">
        <v>288</v>
      </c>
      <c r="AJ14" s="164" t="str">
        <f>HYPERLINK("https://intranet.atlnz.lc/systest/Reports/TestLink/SuiteExecC.php?plan=486616&amp;rep=F&amp;platform=1059","Pass, Oct'17")</f>
        <v>Pass, Oct'17</v>
      </c>
      <c r="AK14" s="164" t="str">
        <f>HYPERLINK("https://intranet.atlnz.lc/systest/Reports/TestLink/SuiteExecC.php?plan=490516&amp;rep=F&amp;platform=1059","Pass, Jan'19")</f>
        <v>Pass, Jan'19</v>
      </c>
      <c r="AL14" s="46" t="s">
        <v>274</v>
      </c>
      <c r="AM14" s="162" t="s">
        <v>165</v>
      </c>
      <c r="AN14" s="46" t="s">
        <v>139</v>
      </c>
      <c r="AO14" s="888" t="s">
        <v>2360</v>
      </c>
      <c r="AP14" s="162" t="s">
        <v>165</v>
      </c>
      <c r="AQ14" s="162" t="s">
        <v>165</v>
      </c>
      <c r="AR14" s="165" t="s">
        <v>278</v>
      </c>
      <c r="AS14" s="43" t="s">
        <v>279</v>
      </c>
      <c r="AT14" s="62" t="s">
        <v>288</v>
      </c>
      <c r="AU14" s="45"/>
      <c r="AV14" s="46" t="s">
        <v>288</v>
      </c>
      <c r="AW14" s="166" t="s">
        <v>152</v>
      </c>
      <c r="AX14" s="46" t="s">
        <v>288</v>
      </c>
      <c r="AY14" s="46" t="s">
        <v>288</v>
      </c>
      <c r="AZ14" s="169" t="s">
        <v>289</v>
      </c>
      <c r="BA14" s="169" t="s">
        <v>290</v>
      </c>
      <c r="BB14" s="46" t="s">
        <v>288</v>
      </c>
      <c r="BC14" s="162" t="s">
        <v>165</v>
      </c>
      <c r="BD14" s="46" t="s">
        <v>288</v>
      </c>
      <c r="BE14" s="46" t="s">
        <v>288</v>
      </c>
      <c r="BF14" s="162" t="s">
        <v>165</v>
      </c>
      <c r="BG14" s="162" t="s">
        <v>165</v>
      </c>
      <c r="BH14" s="46" t="s">
        <v>288</v>
      </c>
      <c r="BI14" s="46" t="s">
        <v>288</v>
      </c>
      <c r="BJ14" s="46" t="s">
        <v>288</v>
      </c>
      <c r="BK14" s="46" t="s">
        <v>288</v>
      </c>
      <c r="BL14" s="46" t="s">
        <v>288</v>
      </c>
      <c r="BM14" s="162" t="s">
        <v>165</v>
      </c>
      <c r="BN14" s="162" t="s">
        <v>165</v>
      </c>
      <c r="BO14" s="162" t="s">
        <v>165</v>
      </c>
      <c r="BP14" s="162" t="s">
        <v>165</v>
      </c>
      <c r="BQ14" s="162" t="s">
        <v>165</v>
      </c>
      <c r="BR14" s="51"/>
      <c r="BS14" s="76"/>
      <c r="BT14" s="154"/>
      <c r="BU14" s="171"/>
      <c r="BV14" s="155"/>
      <c r="BW14" s="171"/>
      <c r="BX14" s="67"/>
      <c r="BY14" s="51"/>
      <c r="BZ14" s="172"/>
      <c r="CA14" s="84"/>
      <c r="CB14" s="84"/>
      <c r="CC14" s="84"/>
      <c r="CD14" s="71"/>
      <c r="CE14" s="97"/>
      <c r="CF14" s="84"/>
      <c r="CL14" s="160"/>
    </row>
    <row r="15" spans="1:90" ht="25.5">
      <c r="A15" s="58" t="str">
        <f>HYPERLINK("https://wiki.atlnz.lc/awpwiki/index.php/Qualification_Transceiver_Inventory#AT-SPBD20DUAL-14","AT-SPBD20DUAL-14")</f>
        <v>AT-SPBD20DUAL-14</v>
      </c>
      <c r="B15" s="173" t="s">
        <v>163</v>
      </c>
      <c r="C15" s="173"/>
      <c r="D15" s="42">
        <v>11</v>
      </c>
      <c r="E15" s="162" t="s">
        <v>165</v>
      </c>
      <c r="F15" s="162" t="s">
        <v>165</v>
      </c>
      <c r="G15" s="890" t="s">
        <v>165</v>
      </c>
      <c r="H15" s="888" t="s">
        <v>165</v>
      </c>
      <c r="I15" s="888" t="s">
        <v>165</v>
      </c>
      <c r="J15" s="877" t="s">
        <v>165</v>
      </c>
      <c r="K15" s="162" t="s">
        <v>165</v>
      </c>
      <c r="L15" s="162" t="s">
        <v>165</v>
      </c>
      <c r="M15" s="162" t="s">
        <v>165</v>
      </c>
      <c r="N15" s="162" t="s">
        <v>165</v>
      </c>
      <c r="O15" s="162" t="s">
        <v>165</v>
      </c>
      <c r="P15" s="162" t="s">
        <v>165</v>
      </c>
      <c r="Q15" s="162" t="s">
        <v>165</v>
      </c>
      <c r="R15" s="162" t="s">
        <v>165</v>
      </c>
      <c r="S15" s="162" t="s">
        <v>165</v>
      </c>
      <c r="T15" s="162" t="s">
        <v>165</v>
      </c>
      <c r="U15" s="974" t="s">
        <v>2545</v>
      </c>
      <c r="V15" s="162" t="s">
        <v>165</v>
      </c>
      <c r="W15" s="397" t="s">
        <v>165</v>
      </c>
      <c r="X15" s="162" t="s">
        <v>165</v>
      </c>
      <c r="Y15" s="162" t="s">
        <v>165</v>
      </c>
      <c r="Z15" s="162" t="s">
        <v>165</v>
      </c>
      <c r="AA15" s="162" t="s">
        <v>165</v>
      </c>
      <c r="AB15" s="162" t="s">
        <v>165</v>
      </c>
      <c r="AC15" s="397" t="s">
        <v>165</v>
      </c>
      <c r="AD15" s="845" t="s">
        <v>2395</v>
      </c>
      <c r="AE15" s="162" t="s">
        <v>165</v>
      </c>
      <c r="AF15" s="162" t="s">
        <v>165</v>
      </c>
      <c r="AG15" s="162" t="s">
        <v>165</v>
      </c>
      <c r="AH15" s="162" t="s">
        <v>165</v>
      </c>
      <c r="AI15" s="162" t="s">
        <v>165</v>
      </c>
      <c r="AJ15" s="162" t="s">
        <v>165</v>
      </c>
      <c r="AK15" s="162" t="s">
        <v>165</v>
      </c>
      <c r="AL15" s="162" t="s">
        <v>165</v>
      </c>
      <c r="AM15" s="162" t="s">
        <v>165</v>
      </c>
      <c r="AN15" s="162" t="s">
        <v>165</v>
      </c>
      <c r="AO15" s="162" t="s">
        <v>165</v>
      </c>
      <c r="AP15" s="162" t="s">
        <v>165</v>
      </c>
      <c r="AQ15" s="162" t="s">
        <v>165</v>
      </c>
      <c r="AR15" s="162" t="s">
        <v>165</v>
      </c>
      <c r="AS15" s="46" t="s">
        <v>279</v>
      </c>
      <c r="AT15" s="162" t="s">
        <v>165</v>
      </c>
      <c r="AU15" s="45"/>
      <c r="AV15" s="162" t="s">
        <v>165</v>
      </c>
      <c r="AW15" s="162" t="s">
        <v>165</v>
      </c>
      <c r="AX15" s="162" t="s">
        <v>165</v>
      </c>
      <c r="AY15" s="162" t="s">
        <v>165</v>
      </c>
      <c r="AZ15" s="162" t="s">
        <v>165</v>
      </c>
      <c r="BA15" s="162" t="s">
        <v>165</v>
      </c>
      <c r="BB15" s="162" t="s">
        <v>165</v>
      </c>
      <c r="BC15" s="162" t="s">
        <v>165</v>
      </c>
      <c r="BD15" s="162" t="s">
        <v>165</v>
      </c>
      <c r="BE15" s="162" t="s">
        <v>165</v>
      </c>
      <c r="BF15" s="162" t="s">
        <v>165</v>
      </c>
      <c r="BG15" s="162" t="s">
        <v>165</v>
      </c>
      <c r="BH15" s="162" t="s">
        <v>165</v>
      </c>
      <c r="BI15" s="162" t="s">
        <v>165</v>
      </c>
      <c r="BJ15" s="162" t="s">
        <v>165</v>
      </c>
      <c r="BK15" s="162" t="s">
        <v>165</v>
      </c>
      <c r="BL15" s="162" t="s">
        <v>165</v>
      </c>
      <c r="BM15" s="162" t="s">
        <v>165</v>
      </c>
      <c r="BN15" s="162" t="s">
        <v>165</v>
      </c>
      <c r="BO15" s="162" t="s">
        <v>165</v>
      </c>
      <c r="BP15" s="162" t="s">
        <v>165</v>
      </c>
      <c r="BQ15" s="162" t="s">
        <v>165</v>
      </c>
      <c r="BR15" s="51"/>
      <c r="BS15" s="160"/>
      <c r="BT15" s="174"/>
      <c r="BU15" s="160"/>
      <c r="BV15" s="160"/>
      <c r="BW15" s="160"/>
      <c r="BX15" s="160"/>
      <c r="BY15" s="51"/>
      <c r="BZ15" s="172"/>
      <c r="CA15" s="84"/>
      <c r="CB15" s="84"/>
      <c r="CC15" s="84"/>
      <c r="CD15" s="71"/>
      <c r="CE15" s="97"/>
      <c r="CF15" s="175"/>
      <c r="CL15" s="176"/>
    </row>
    <row r="16" spans="1:90" ht="30">
      <c r="A16" s="58" t="str">
        <f>HYPERLINK("https://wiki.atlnz.lc/awpwiki/index.php/Qualification_Transceiver_Inventory#AT-SPBD20LC-13_I","AT-SPBD20LC-13/I")</f>
        <v>AT-SPBD20LC-13/I</v>
      </c>
      <c r="B16" s="59" t="s">
        <v>163</v>
      </c>
      <c r="C16" s="59"/>
      <c r="D16" s="42">
        <v>39</v>
      </c>
      <c r="E16" s="161" t="s">
        <v>291</v>
      </c>
      <c r="F16" s="46" t="s">
        <v>291</v>
      </c>
      <c r="G16" s="62" t="s">
        <v>291</v>
      </c>
      <c r="H16" s="888" t="s">
        <v>2214</v>
      </c>
      <c r="I16" s="888" t="s">
        <v>576</v>
      </c>
      <c r="J16" s="888" t="s">
        <v>598</v>
      </c>
      <c r="K16" s="888" t="s">
        <v>598</v>
      </c>
      <c r="L16" s="74" t="s">
        <v>162</v>
      </c>
      <c r="M16" s="74" t="s">
        <v>162</v>
      </c>
      <c r="N16" s="162" t="s">
        <v>165</v>
      </c>
      <c r="O16" s="46" t="s">
        <v>291</v>
      </c>
      <c r="P16" s="46" t="s">
        <v>291</v>
      </c>
      <c r="Q16" s="46" t="s">
        <v>292</v>
      </c>
      <c r="R16" s="888" t="s">
        <v>152</v>
      </c>
      <c r="S16" s="46" t="s">
        <v>291</v>
      </c>
      <c r="T16" s="46" t="s">
        <v>291</v>
      </c>
      <c r="U16" s="974" t="s">
        <v>2545</v>
      </c>
      <c r="V16" s="162" t="s">
        <v>319</v>
      </c>
      <c r="W16" s="397" t="s">
        <v>319</v>
      </c>
      <c r="X16" s="46" t="s">
        <v>270</v>
      </c>
      <c r="Y16" s="163" t="s">
        <v>271</v>
      </c>
      <c r="Z16" s="147" t="s">
        <v>2041</v>
      </c>
      <c r="AA16" s="164" t="s">
        <v>272</v>
      </c>
      <c r="AB16" s="164" t="str">
        <f>HYPERLINK("https://intranet.atlnz.lc/systest/Reports/TestLink/SuiteExecC.php?plan=483426&amp;rep=F&amp;platform=1106","Pass,29-6-18")</f>
        <v>Pass,29-6-18</v>
      </c>
      <c r="AC16" s="397" t="s">
        <v>319</v>
      </c>
      <c r="AD16" s="845" t="s">
        <v>2395</v>
      </c>
      <c r="AE16" s="162" t="s">
        <v>165</v>
      </c>
      <c r="AF16" s="162" t="s">
        <v>165</v>
      </c>
      <c r="AG16" s="162" t="s">
        <v>165</v>
      </c>
      <c r="AH16" s="46" t="s">
        <v>291</v>
      </c>
      <c r="AI16" s="46" t="s">
        <v>291</v>
      </c>
      <c r="AJ16" s="164" t="str">
        <f>HYPERLINK("https://intranet.atlnz.lc/systest/Reports/TestLink/SuiteExecC.php?plan=486616&amp;rep=F&amp;platform=1106","Pass, Oct'17")</f>
        <v>Pass, Oct'17</v>
      </c>
      <c r="AK16" s="164" t="str">
        <f>HYPERLINK("https://intranet.atlnz.lc/systest/Reports/TestLink/SuiteExecC.php?plan=490516&amp;rep=F&amp;platform=1106","Pass, Jan'19")</f>
        <v>Pass, Jan'19</v>
      </c>
      <c r="AL16" s="46" t="s">
        <v>274</v>
      </c>
      <c r="AM16" s="162" t="s">
        <v>165</v>
      </c>
      <c r="AN16" s="46" t="s">
        <v>139</v>
      </c>
      <c r="AO16" s="397" t="s">
        <v>319</v>
      </c>
      <c r="AP16" s="162" t="s">
        <v>165</v>
      </c>
      <c r="AQ16" s="162" t="s">
        <v>165</v>
      </c>
      <c r="AR16" s="165" t="s">
        <v>278</v>
      </c>
      <c r="AS16" s="43" t="s">
        <v>279</v>
      </c>
      <c r="AT16" s="62" t="s">
        <v>291</v>
      </c>
      <c r="AU16" s="45"/>
      <c r="AV16" s="46" t="s">
        <v>291</v>
      </c>
      <c r="AW16" s="166" t="s">
        <v>152</v>
      </c>
      <c r="AX16" s="46" t="s">
        <v>291</v>
      </c>
      <c r="AY16" s="46" t="s">
        <v>291</v>
      </c>
      <c r="AZ16" s="46" t="s">
        <v>291</v>
      </c>
      <c r="BA16" s="46" t="s">
        <v>291</v>
      </c>
      <c r="BB16" s="46" t="s">
        <v>291</v>
      </c>
      <c r="BC16" s="162" t="s">
        <v>165</v>
      </c>
      <c r="BD16" s="46" t="s">
        <v>291</v>
      </c>
      <c r="BE16" s="46" t="s">
        <v>291</v>
      </c>
      <c r="BF16" s="46" t="s">
        <v>292</v>
      </c>
      <c r="BG16" s="46" t="s">
        <v>292</v>
      </c>
      <c r="BH16" s="46" t="s">
        <v>291</v>
      </c>
      <c r="BI16" s="46" t="s">
        <v>291</v>
      </c>
      <c r="BJ16" s="46" t="s">
        <v>291</v>
      </c>
      <c r="BK16" s="46" t="s">
        <v>291</v>
      </c>
      <c r="BL16" s="46" t="s">
        <v>291</v>
      </c>
      <c r="BM16" s="162" t="s">
        <v>319</v>
      </c>
      <c r="BN16" s="162" t="s">
        <v>319</v>
      </c>
      <c r="BO16" s="162" t="s">
        <v>319</v>
      </c>
      <c r="BP16" s="162" t="s">
        <v>319</v>
      </c>
      <c r="BQ16" s="162" t="s">
        <v>319</v>
      </c>
      <c r="BR16" s="51"/>
      <c r="BS16" s="160"/>
      <c r="BT16" s="174"/>
      <c r="BU16" s="178"/>
      <c r="BV16" s="160"/>
      <c r="BW16" s="178"/>
      <c r="BX16" s="160"/>
      <c r="BY16" s="51"/>
      <c r="BZ16" s="172"/>
      <c r="CA16" s="84"/>
      <c r="CB16" s="84"/>
      <c r="CC16" s="84"/>
      <c r="CD16" s="71"/>
      <c r="CE16" s="97"/>
      <c r="CF16" s="96"/>
      <c r="CG16" s="683"/>
      <c r="CL16" s="160"/>
    </row>
    <row r="17" spans="1:90" ht="30">
      <c r="A17" s="58" t="str">
        <f>HYPERLINK("https://wiki.atlnz.lc/awpwiki/index.php/Qualification_Transceiver_Inventory#AT-SPBD20LC-14_I","AT-SPBD20LC-14/I")</f>
        <v>AT-SPBD20LC-14/I</v>
      </c>
      <c r="B17" s="41" t="s">
        <v>163</v>
      </c>
      <c r="C17" s="41"/>
      <c r="D17" s="42">
        <v>40</v>
      </c>
      <c r="E17" s="161" t="s">
        <v>291</v>
      </c>
      <c r="F17" s="46" t="s">
        <v>291</v>
      </c>
      <c r="G17" s="62" t="s">
        <v>291</v>
      </c>
      <c r="H17" s="888" t="s">
        <v>2214</v>
      </c>
      <c r="I17" s="888" t="s">
        <v>576</v>
      </c>
      <c r="J17" s="888" t="s">
        <v>598</v>
      </c>
      <c r="K17" s="888" t="s">
        <v>598</v>
      </c>
      <c r="L17" s="74" t="s">
        <v>162</v>
      </c>
      <c r="M17" s="74" t="s">
        <v>162</v>
      </c>
      <c r="N17" s="162" t="s">
        <v>165</v>
      </c>
      <c r="O17" s="46" t="s">
        <v>291</v>
      </c>
      <c r="P17" s="46" t="s">
        <v>291</v>
      </c>
      <c r="Q17" s="46" t="s">
        <v>292</v>
      </c>
      <c r="R17" s="888" t="s">
        <v>152</v>
      </c>
      <c r="S17" s="46" t="s">
        <v>291</v>
      </c>
      <c r="T17" s="46" t="s">
        <v>291</v>
      </c>
      <c r="U17" s="974" t="s">
        <v>2545</v>
      </c>
      <c r="V17" s="162" t="s">
        <v>319</v>
      </c>
      <c r="W17" s="397" t="s">
        <v>319</v>
      </c>
      <c r="X17" s="43" t="s">
        <v>270</v>
      </c>
      <c r="Y17" s="163" t="s">
        <v>271</v>
      </c>
      <c r="Z17" s="147" t="s">
        <v>2041</v>
      </c>
      <c r="AA17" s="148" t="s">
        <v>272</v>
      </c>
      <c r="AB17" s="164" t="str">
        <f>HYPERLINK("https://intranet.atlnz.lc/systest/Reports/TestLink/SuiteExecC.php?plan=483426&amp;rep=F&amp;platform=1106","Pass,29-6-18")</f>
        <v>Pass,29-6-18</v>
      </c>
      <c r="AC17" s="397" t="s">
        <v>319</v>
      </c>
      <c r="AD17" s="845" t="s">
        <v>2395</v>
      </c>
      <c r="AE17" s="162" t="s">
        <v>165</v>
      </c>
      <c r="AF17" s="162" t="s">
        <v>165</v>
      </c>
      <c r="AG17" s="162" t="s">
        <v>165</v>
      </c>
      <c r="AH17" s="46" t="s">
        <v>291</v>
      </c>
      <c r="AI17" s="46" t="s">
        <v>291</v>
      </c>
      <c r="AJ17" s="164" t="str">
        <f>HYPERLINK("https://intranet.atlnz.lc/systest/Reports/TestLink/SuiteExecC.php?plan=486616&amp;rep=F&amp;platform=1106","Pass, Oct'17")</f>
        <v>Pass, Oct'17</v>
      </c>
      <c r="AK17" s="164" t="str">
        <f>HYPERLINK("https://intranet.atlnz.lc/systest/Reports/TestLink/SuiteExecC.php?plan=490516&amp;rep=F&amp;platform=1106","Pass, Jan'19")</f>
        <v>Pass, Jan'19</v>
      </c>
      <c r="AL17" s="46" t="s">
        <v>274</v>
      </c>
      <c r="AM17" s="162" t="s">
        <v>165</v>
      </c>
      <c r="AN17" s="46" t="s">
        <v>139</v>
      </c>
      <c r="AO17" s="397" t="s">
        <v>319</v>
      </c>
      <c r="AP17" s="162" t="s">
        <v>165</v>
      </c>
      <c r="AQ17" s="162" t="s">
        <v>165</v>
      </c>
      <c r="AR17" s="165" t="s">
        <v>278</v>
      </c>
      <c r="AS17" s="43" t="s">
        <v>279</v>
      </c>
      <c r="AT17" s="62" t="s">
        <v>291</v>
      </c>
      <c r="AU17" s="45"/>
      <c r="AV17" s="46" t="s">
        <v>291</v>
      </c>
      <c r="AW17" s="166" t="s">
        <v>152</v>
      </c>
      <c r="AX17" s="46" t="s">
        <v>291</v>
      </c>
      <c r="AY17" s="46" t="s">
        <v>291</v>
      </c>
      <c r="AZ17" s="46" t="s">
        <v>291</v>
      </c>
      <c r="BA17" s="46" t="s">
        <v>291</v>
      </c>
      <c r="BB17" s="46" t="s">
        <v>291</v>
      </c>
      <c r="BC17" s="162" t="s">
        <v>165</v>
      </c>
      <c r="BD17" s="46" t="s">
        <v>291</v>
      </c>
      <c r="BE17" s="46" t="s">
        <v>291</v>
      </c>
      <c r="BF17" s="46" t="s">
        <v>292</v>
      </c>
      <c r="BG17" s="46" t="s">
        <v>292</v>
      </c>
      <c r="BH17" s="46" t="s">
        <v>291</v>
      </c>
      <c r="BI17" s="46" t="s">
        <v>291</v>
      </c>
      <c r="BJ17" s="46" t="s">
        <v>291</v>
      </c>
      <c r="BK17" s="46" t="s">
        <v>291</v>
      </c>
      <c r="BL17" s="46" t="s">
        <v>291</v>
      </c>
      <c r="BM17" s="162" t="s">
        <v>319</v>
      </c>
      <c r="BN17" s="162" t="s">
        <v>319</v>
      </c>
      <c r="BO17" s="162" t="s">
        <v>319</v>
      </c>
      <c r="BP17" s="162" t="s">
        <v>319</v>
      </c>
      <c r="BQ17" s="162" t="s">
        <v>319</v>
      </c>
      <c r="BR17" s="51"/>
      <c r="BS17" s="76"/>
      <c r="BT17" s="154"/>
      <c r="BU17" s="171"/>
      <c r="BV17" s="155"/>
      <c r="BW17" s="171"/>
      <c r="BX17" s="67"/>
      <c r="BY17" s="51"/>
      <c r="BZ17" s="172"/>
      <c r="CA17" s="84"/>
      <c r="CB17" s="84"/>
      <c r="CC17" s="84"/>
      <c r="CD17" s="71"/>
      <c r="CE17" s="97"/>
      <c r="CF17" s="84"/>
      <c r="CL17" s="160"/>
    </row>
    <row r="18" spans="1:90" ht="30">
      <c r="A18" s="58" t="str">
        <f>HYPERLINK("https://wiki.atlnz.lc/awpwiki/index.php/Qualification_Transceiver_Inventory#AT-SPBD40-13_I","AT-SPBD40-13/I")</f>
        <v>AT-SPBD40-13/I</v>
      </c>
      <c r="B18" s="59" t="s">
        <v>163</v>
      </c>
      <c r="C18" s="59"/>
      <c r="D18" s="42">
        <v>17</v>
      </c>
      <c r="E18" s="161" t="str">
        <f>F18</f>
        <v>Pass, May 15</v>
      </c>
      <c r="F18" s="46" t="s">
        <v>269</v>
      </c>
      <c r="G18" s="62" t="s">
        <v>269</v>
      </c>
      <c r="H18" s="888" t="s">
        <v>2214</v>
      </c>
      <c r="I18" s="888" t="s">
        <v>576</v>
      </c>
      <c r="J18" s="888" t="s">
        <v>2329</v>
      </c>
      <c r="K18" s="888" t="s">
        <v>2329</v>
      </c>
      <c r="L18" s="74" t="s">
        <v>162</v>
      </c>
      <c r="M18" s="74" t="s">
        <v>162</v>
      </c>
      <c r="N18" s="162" t="s">
        <v>165</v>
      </c>
      <c r="O18" s="46" t="s">
        <v>141</v>
      </c>
      <c r="P18" s="46" t="s">
        <v>141</v>
      </c>
      <c r="Q18" s="46" t="s">
        <v>138</v>
      </c>
      <c r="R18" s="888" t="s">
        <v>152</v>
      </c>
      <c r="S18" s="46" t="s">
        <v>142</v>
      </c>
      <c r="T18" s="46" t="s">
        <v>143</v>
      </c>
      <c r="U18" s="974" t="s">
        <v>2545</v>
      </c>
      <c r="V18" s="147" t="s">
        <v>2185</v>
      </c>
      <c r="W18" s="874" t="s">
        <v>2209</v>
      </c>
      <c r="X18" s="43" t="s">
        <v>270</v>
      </c>
      <c r="Y18" s="163" t="s">
        <v>271</v>
      </c>
      <c r="Z18" s="147" t="s">
        <v>2041</v>
      </c>
      <c r="AA18" s="148" t="s">
        <v>272</v>
      </c>
      <c r="AB18" s="148" t="str">
        <f>HYPERLINK("https://intranet.atlnz.lc/systest/Reports/TestLink/SuiteExecC.php?plan=483426&amp;rep=F&amp;platform=203","Pass,3-7-18")</f>
        <v>Pass,3-7-18</v>
      </c>
      <c r="AC18" s="873" t="s">
        <v>2208</v>
      </c>
      <c r="AD18" s="845" t="s">
        <v>2395</v>
      </c>
      <c r="AE18" s="162" t="s">
        <v>165</v>
      </c>
      <c r="AF18" s="162" t="s">
        <v>165</v>
      </c>
      <c r="AG18" s="162" t="s">
        <v>165</v>
      </c>
      <c r="AH18" s="46" t="s">
        <v>273</v>
      </c>
      <c r="AI18" s="46" t="s">
        <v>144</v>
      </c>
      <c r="AJ18" s="164" t="str">
        <f>HYPERLINK("https://intranet.atlnz.lc/systest/Reports/TestLink/SuiteExecC.php?plan=486616&amp;rep=F&amp;platform=203","Pass, Oct'17")</f>
        <v>Pass, Oct'17</v>
      </c>
      <c r="AK18" s="164" t="str">
        <f>HYPERLINK("https://intranet.atlnz.lc/systest/Reports/TestLink/SuiteExecC.php?plan=490516&amp;rep=F&amp;platform=203","Pass, Jan'19")</f>
        <v>Pass, Jan'19</v>
      </c>
      <c r="AL18" s="46" t="s">
        <v>274</v>
      </c>
      <c r="AM18" s="46" t="s">
        <v>275</v>
      </c>
      <c r="AN18" s="46" t="s">
        <v>139</v>
      </c>
      <c r="AO18" s="888" t="s">
        <v>2360</v>
      </c>
      <c r="AP18" s="162" t="s">
        <v>165</v>
      </c>
      <c r="AQ18" s="162" t="s">
        <v>165</v>
      </c>
      <c r="AR18" s="165" t="s">
        <v>278</v>
      </c>
      <c r="AS18" s="43" t="s">
        <v>279</v>
      </c>
      <c r="AT18" s="62" t="s">
        <v>293</v>
      </c>
      <c r="AU18" s="45"/>
      <c r="AV18" s="46" t="s">
        <v>276</v>
      </c>
      <c r="AW18" s="166" t="s">
        <v>152</v>
      </c>
      <c r="AX18" s="46" t="s">
        <v>276</v>
      </c>
      <c r="AY18" s="46" t="s">
        <v>146</v>
      </c>
      <c r="AZ18" s="46" t="s">
        <v>293</v>
      </c>
      <c r="BA18" s="46" t="s">
        <v>150</v>
      </c>
      <c r="BB18" s="46" t="s">
        <v>147</v>
      </c>
      <c r="BC18" s="162" t="s">
        <v>165</v>
      </c>
      <c r="BD18" s="162" t="s">
        <v>165</v>
      </c>
      <c r="BE18" s="162" t="s">
        <v>165</v>
      </c>
      <c r="BF18" s="46" t="s">
        <v>294</v>
      </c>
      <c r="BG18" s="162" t="s">
        <v>165</v>
      </c>
      <c r="BH18" s="46" t="s">
        <v>280</v>
      </c>
      <c r="BI18" s="46" t="s">
        <v>293</v>
      </c>
      <c r="BJ18" s="46" t="s">
        <v>293</v>
      </c>
      <c r="BK18" s="46" t="s">
        <v>293</v>
      </c>
      <c r="BL18" s="46" t="s">
        <v>293</v>
      </c>
      <c r="BM18" s="179" t="s">
        <v>280</v>
      </c>
      <c r="BN18" s="179" t="s">
        <v>280</v>
      </c>
      <c r="BO18" s="179" t="s">
        <v>280</v>
      </c>
      <c r="BP18" s="179" t="s">
        <v>293</v>
      </c>
      <c r="BQ18" s="180" t="s">
        <v>293</v>
      </c>
      <c r="BR18" s="51"/>
      <c r="BS18" s="181" t="s">
        <v>295</v>
      </c>
      <c r="BT18" s="154"/>
      <c r="BU18" s="171" t="s">
        <v>295</v>
      </c>
      <c r="BV18" s="171" t="s">
        <v>295</v>
      </c>
      <c r="BW18" s="155" t="s">
        <v>280</v>
      </c>
      <c r="BX18" s="182" t="s">
        <v>295</v>
      </c>
      <c r="BY18" s="51"/>
      <c r="BZ18" s="183"/>
      <c r="CA18" s="184"/>
      <c r="CB18" s="184"/>
      <c r="CC18" s="184"/>
      <c r="CD18" s="184"/>
      <c r="CE18" s="97"/>
      <c r="CF18" s="84"/>
      <c r="CL18" s="185"/>
    </row>
    <row r="19" spans="1:90" ht="30">
      <c r="A19" s="58" t="str">
        <f>HYPERLINK("https://wiki.atlnz.lc/awpwiki/index.php/Qualification_Transceiver_Inventory#AT-SPBD40-14_I","AT-SPBD40-14/I")</f>
        <v>AT-SPBD40-14/I</v>
      </c>
      <c r="B19" s="59" t="s">
        <v>163</v>
      </c>
      <c r="C19" s="59"/>
      <c r="D19" s="42">
        <v>38</v>
      </c>
      <c r="E19" s="186" t="str">
        <f>F19</f>
        <v>Pass, May 15</v>
      </c>
      <c r="F19" s="46" t="s">
        <v>269</v>
      </c>
      <c r="G19" s="62" t="s">
        <v>269</v>
      </c>
      <c r="H19" s="888" t="s">
        <v>2214</v>
      </c>
      <c r="I19" s="888" t="s">
        <v>576</v>
      </c>
      <c r="J19" s="888" t="s">
        <v>2329</v>
      </c>
      <c r="K19" s="888" t="s">
        <v>2329</v>
      </c>
      <c r="L19" s="74" t="s">
        <v>162</v>
      </c>
      <c r="M19" s="74" t="s">
        <v>162</v>
      </c>
      <c r="N19" s="162" t="s">
        <v>165</v>
      </c>
      <c r="O19" s="46" t="s">
        <v>141</v>
      </c>
      <c r="P19" s="46" t="s">
        <v>141</v>
      </c>
      <c r="Q19" s="46" t="s">
        <v>138</v>
      </c>
      <c r="R19" s="888" t="s">
        <v>152</v>
      </c>
      <c r="S19" s="46" t="s">
        <v>142</v>
      </c>
      <c r="T19" s="46" t="s">
        <v>143</v>
      </c>
      <c r="U19" s="974" t="s">
        <v>2545</v>
      </c>
      <c r="V19" s="147" t="s">
        <v>2185</v>
      </c>
      <c r="W19" s="874" t="s">
        <v>2209</v>
      </c>
      <c r="X19" s="43" t="s">
        <v>270</v>
      </c>
      <c r="Y19" s="163" t="s">
        <v>271</v>
      </c>
      <c r="Z19" s="147" t="s">
        <v>2041</v>
      </c>
      <c r="AA19" s="148" t="s">
        <v>272</v>
      </c>
      <c r="AB19" s="148" t="str">
        <f>HYPERLINK("https://intranet.atlnz.lc/systest/Reports/TestLink/SuiteExecC.php?plan=483426&amp;rep=F&amp;platform=203","Pass,3-7-18")</f>
        <v>Pass,3-7-18</v>
      </c>
      <c r="AC19" s="873" t="s">
        <v>2208</v>
      </c>
      <c r="AD19" s="845" t="s">
        <v>2395</v>
      </c>
      <c r="AE19" s="162" t="s">
        <v>165</v>
      </c>
      <c r="AF19" s="162" t="s">
        <v>165</v>
      </c>
      <c r="AG19" s="162" t="s">
        <v>165</v>
      </c>
      <c r="AH19" s="46" t="s">
        <v>273</v>
      </c>
      <c r="AI19" s="46" t="s">
        <v>144</v>
      </c>
      <c r="AJ19" s="164" t="str">
        <f>HYPERLINK("https://intranet.atlnz.lc/systest/Reports/TestLink/SuiteExecC.php?plan=486616&amp;rep=F&amp;platform=203","Pass, Oct'17")</f>
        <v>Pass, Oct'17</v>
      </c>
      <c r="AK19" s="164" t="str">
        <f>HYPERLINK("https://intranet.atlnz.lc/systest/Reports/TestLink/SuiteExecC.php?plan=490516&amp;rep=F&amp;platform=203","Pass, Jan'19")</f>
        <v>Pass, Jan'19</v>
      </c>
      <c r="AL19" s="46" t="s">
        <v>274</v>
      </c>
      <c r="AM19" s="46" t="s">
        <v>275</v>
      </c>
      <c r="AN19" s="46" t="s">
        <v>139</v>
      </c>
      <c r="AO19" s="888" t="s">
        <v>2360</v>
      </c>
      <c r="AP19" s="162" t="s">
        <v>165</v>
      </c>
      <c r="AQ19" s="162" t="s">
        <v>165</v>
      </c>
      <c r="AR19" s="165" t="s">
        <v>278</v>
      </c>
      <c r="AS19" s="43" t="s">
        <v>279</v>
      </c>
      <c r="AT19" s="62" t="s">
        <v>293</v>
      </c>
      <c r="AU19" s="45"/>
      <c r="AV19" s="46" t="s">
        <v>276</v>
      </c>
      <c r="AW19" s="166" t="s">
        <v>152</v>
      </c>
      <c r="AX19" s="46" t="s">
        <v>276</v>
      </c>
      <c r="AY19" s="46" t="s">
        <v>146</v>
      </c>
      <c r="AZ19" s="46" t="s">
        <v>293</v>
      </c>
      <c r="BA19" s="46" t="s">
        <v>150</v>
      </c>
      <c r="BB19" s="46" t="s">
        <v>147</v>
      </c>
      <c r="BC19" s="162" t="s">
        <v>165</v>
      </c>
      <c r="BD19" s="162" t="s">
        <v>165</v>
      </c>
      <c r="BE19" s="162" t="s">
        <v>165</v>
      </c>
      <c r="BF19" s="46" t="s">
        <v>294</v>
      </c>
      <c r="BG19" s="162" t="s">
        <v>165</v>
      </c>
      <c r="BH19" s="46" t="s">
        <v>280</v>
      </c>
      <c r="BI19" s="46" t="s">
        <v>293</v>
      </c>
      <c r="BJ19" s="46" t="s">
        <v>293</v>
      </c>
      <c r="BK19" s="46" t="s">
        <v>293</v>
      </c>
      <c r="BL19" s="46" t="s">
        <v>293</v>
      </c>
      <c r="BM19" s="160" t="s">
        <v>280</v>
      </c>
      <c r="BN19" s="160" t="s">
        <v>280</v>
      </c>
      <c r="BO19" s="160" t="s">
        <v>280</v>
      </c>
      <c r="BP19" s="160" t="s">
        <v>293</v>
      </c>
      <c r="BQ19" s="160" t="s">
        <v>293</v>
      </c>
      <c r="BR19" s="51"/>
      <c r="BS19" s="181" t="s">
        <v>295</v>
      </c>
      <c r="BT19" s="154"/>
      <c r="BU19" s="171" t="s">
        <v>295</v>
      </c>
      <c r="BV19" s="171" t="s">
        <v>295</v>
      </c>
      <c r="BW19" s="155" t="s">
        <v>280</v>
      </c>
      <c r="BX19" s="182" t="s">
        <v>295</v>
      </c>
      <c r="BY19" s="51"/>
      <c r="BZ19" s="183"/>
      <c r="CA19" s="184"/>
      <c r="CB19" s="184"/>
      <c r="CC19" s="184"/>
      <c r="CD19" s="184"/>
      <c r="CE19" s="97"/>
      <c r="CF19" s="84"/>
      <c r="CL19" s="160"/>
    </row>
    <row r="20" spans="1:90" ht="30">
      <c r="A20" s="58" t="str">
        <f>HYPERLINK("https://wiki.atlnz.lc/awpwiki/index.php/Qualification_Transceiver_Inventory#AT-SPBD40a-13_I","AT-SPBD40a-13/I")</f>
        <v>AT-SPBD40a-13/I</v>
      </c>
      <c r="B20" s="59" t="s">
        <v>163</v>
      </c>
      <c r="D20" s="42" t="str">
        <f>HYPERLINK("https://intranet.atlnz.lc/systest/Jira_Reports/testExecReport/jiraExecReport.php?testPlanKey=542&amp;projectKey=TQUALTCM&amp;Report=Report","542")</f>
        <v>542</v>
      </c>
      <c r="E20" s="881" t="s">
        <v>2359</v>
      </c>
      <c r="F20" s="881" t="s">
        <v>2359</v>
      </c>
      <c r="G20" s="881" t="s">
        <v>2359</v>
      </c>
      <c r="H20" s="881" t="s">
        <v>2326</v>
      </c>
      <c r="I20" s="881" t="s">
        <v>2326</v>
      </c>
      <c r="J20" s="881" t="s">
        <v>2472</v>
      </c>
      <c r="K20" s="881" t="s">
        <v>2472</v>
      </c>
      <c r="L20" s="881" t="s">
        <v>2473</v>
      </c>
      <c r="M20" s="881" t="s">
        <v>2473</v>
      </c>
      <c r="N20" s="881" t="s">
        <v>2166</v>
      </c>
      <c r="O20" s="881" t="s">
        <v>2326</v>
      </c>
      <c r="P20" s="881" t="s">
        <v>2326</v>
      </c>
      <c r="Q20" s="881" t="s">
        <v>2253</v>
      </c>
      <c r="R20" s="888" t="s">
        <v>152</v>
      </c>
      <c r="S20" s="881" t="s">
        <v>2326</v>
      </c>
      <c r="T20" s="881" t="s">
        <v>2326</v>
      </c>
      <c r="U20" s="974" t="s">
        <v>2545</v>
      </c>
      <c r="V20" s="881" t="s">
        <v>2362</v>
      </c>
      <c r="W20" s="881" t="s">
        <v>2361</v>
      </c>
      <c r="X20" s="881" t="s">
        <v>2326</v>
      </c>
      <c r="Y20" s="881" t="s">
        <v>2326</v>
      </c>
      <c r="Z20" s="881" t="s">
        <v>2326</v>
      </c>
      <c r="AA20" s="881" t="s">
        <v>2326</v>
      </c>
      <c r="AB20" s="881" t="s">
        <v>2326</v>
      </c>
      <c r="AC20" s="881" t="s">
        <v>2361</v>
      </c>
      <c r="AD20" s="162"/>
      <c r="AE20" s="881" t="s">
        <v>2326</v>
      </c>
      <c r="AF20" s="881" t="s">
        <v>2326</v>
      </c>
      <c r="AG20" s="881" t="s">
        <v>2326</v>
      </c>
      <c r="AH20" s="881" t="s">
        <v>2326</v>
      </c>
      <c r="AI20" s="881" t="s">
        <v>2326</v>
      </c>
      <c r="AJ20" s="881" t="s">
        <v>2326</v>
      </c>
      <c r="AK20" s="881" t="s">
        <v>333</v>
      </c>
      <c r="AL20" s="881" t="s">
        <v>333</v>
      </c>
      <c r="AM20" s="881" t="s">
        <v>2166</v>
      </c>
      <c r="AN20" s="881" t="s">
        <v>2166</v>
      </c>
      <c r="AO20" s="162"/>
      <c r="AP20" s="881" t="s">
        <v>2166</v>
      </c>
      <c r="AQ20" s="881" t="s">
        <v>2166</v>
      </c>
      <c r="AR20" s="881" t="s">
        <v>2166</v>
      </c>
      <c r="AS20" s="881" t="s">
        <v>2166</v>
      </c>
      <c r="AT20" s="881" t="s">
        <v>2166</v>
      </c>
      <c r="AU20" s="45"/>
      <c r="AV20" s="46" t="s">
        <v>276</v>
      </c>
      <c r="AW20" s="166" t="s">
        <v>152</v>
      </c>
      <c r="AX20" s="46" t="s">
        <v>276</v>
      </c>
      <c r="AY20" s="46" t="s">
        <v>146</v>
      </c>
      <c r="AZ20" s="46" t="s">
        <v>293</v>
      </c>
      <c r="BA20" s="46" t="s">
        <v>150</v>
      </c>
      <c r="BB20" s="46" t="s">
        <v>147</v>
      </c>
      <c r="BC20" s="162" t="s">
        <v>165</v>
      </c>
      <c r="BD20" s="162" t="s">
        <v>165</v>
      </c>
      <c r="BE20" s="162" t="s">
        <v>165</v>
      </c>
      <c r="BF20" s="46" t="s">
        <v>294</v>
      </c>
      <c r="BG20" s="162" t="s">
        <v>165</v>
      </c>
      <c r="BH20" s="46" t="s">
        <v>280</v>
      </c>
      <c r="BI20" s="46" t="s">
        <v>293</v>
      </c>
      <c r="BJ20" s="46" t="s">
        <v>293</v>
      </c>
      <c r="BK20" s="46" t="s">
        <v>293</v>
      </c>
      <c r="BL20" s="46" t="s">
        <v>293</v>
      </c>
      <c r="BM20" s="179" t="s">
        <v>280</v>
      </c>
      <c r="BN20" s="179" t="s">
        <v>280</v>
      </c>
      <c r="BO20" s="179" t="s">
        <v>280</v>
      </c>
      <c r="BP20" s="179" t="s">
        <v>293</v>
      </c>
      <c r="BQ20" s="180" t="s">
        <v>293</v>
      </c>
      <c r="BR20" s="51"/>
      <c r="BS20" s="181" t="s">
        <v>295</v>
      </c>
      <c r="BT20" s="154"/>
      <c r="BU20" s="171" t="s">
        <v>295</v>
      </c>
      <c r="BV20" s="171" t="s">
        <v>295</v>
      </c>
      <c r="BW20" s="155" t="s">
        <v>280</v>
      </c>
      <c r="BX20" s="182" t="s">
        <v>295</v>
      </c>
      <c r="BY20" s="51"/>
      <c r="BZ20" s="183"/>
      <c r="CA20" s="184"/>
      <c r="CB20" s="184"/>
      <c r="CC20" s="184"/>
      <c r="CD20" s="184"/>
      <c r="CE20" s="97"/>
      <c r="CF20" s="84"/>
      <c r="CL20" s="185"/>
    </row>
    <row r="21" spans="1:90" ht="30">
      <c r="A21" s="58" t="str">
        <f>HYPERLINK("https://wiki.atlnz.lc/awpwiki/index.php/Qualification_Transceiver_Inventory#AT-SPBD40a-14_I","AT-SPBD40a-14/I")</f>
        <v>AT-SPBD40a-14/I</v>
      </c>
      <c r="B21" s="59" t="s">
        <v>163</v>
      </c>
      <c r="C21" s="59"/>
      <c r="D21" s="42" t="str">
        <f>HYPERLINK("https://intranet.atlnz.lc/systest/Jira_Reports/testExecReport/jiraExecReport.php?testPlanKey=543&amp;projectKey=TQUALTCM&amp;Report=Report","543")</f>
        <v>543</v>
      </c>
      <c r="E21" s="881" t="s">
        <v>2359</v>
      </c>
      <c r="F21" s="881" t="s">
        <v>2359</v>
      </c>
      <c r="G21" s="881" t="s">
        <v>2359</v>
      </c>
      <c r="H21" s="881" t="s">
        <v>2326</v>
      </c>
      <c r="I21" s="881" t="s">
        <v>2326</v>
      </c>
      <c r="J21" s="881" t="s">
        <v>2472</v>
      </c>
      <c r="K21" s="881" t="s">
        <v>2472</v>
      </c>
      <c r="L21" s="881" t="s">
        <v>2473</v>
      </c>
      <c r="M21" s="881" t="s">
        <v>2473</v>
      </c>
      <c r="N21" s="881" t="s">
        <v>2166</v>
      </c>
      <c r="O21" s="881" t="s">
        <v>2326</v>
      </c>
      <c r="P21" s="881" t="s">
        <v>2326</v>
      </c>
      <c r="Q21" s="881" t="s">
        <v>2253</v>
      </c>
      <c r="R21" s="888" t="s">
        <v>152</v>
      </c>
      <c r="S21" s="881" t="s">
        <v>2326</v>
      </c>
      <c r="T21" s="881" t="s">
        <v>2326</v>
      </c>
      <c r="U21" s="974" t="s">
        <v>2545</v>
      </c>
      <c r="V21" s="881" t="s">
        <v>2362</v>
      </c>
      <c r="W21" s="881" t="s">
        <v>2361</v>
      </c>
      <c r="X21" s="881" t="s">
        <v>2326</v>
      </c>
      <c r="Y21" s="881" t="s">
        <v>2326</v>
      </c>
      <c r="Z21" s="881" t="s">
        <v>2326</v>
      </c>
      <c r="AA21" s="881" t="s">
        <v>2326</v>
      </c>
      <c r="AB21" s="881" t="s">
        <v>2326</v>
      </c>
      <c r="AC21" s="881" t="s">
        <v>2361</v>
      </c>
      <c r="AD21" s="162"/>
      <c r="AE21" s="881" t="s">
        <v>2326</v>
      </c>
      <c r="AF21" s="881" t="s">
        <v>2326</v>
      </c>
      <c r="AG21" s="881" t="s">
        <v>2326</v>
      </c>
      <c r="AH21" s="881" t="s">
        <v>2326</v>
      </c>
      <c r="AI21" s="881" t="s">
        <v>2326</v>
      </c>
      <c r="AJ21" s="881" t="s">
        <v>2326</v>
      </c>
      <c r="AK21" s="881" t="s">
        <v>333</v>
      </c>
      <c r="AL21" s="881" t="s">
        <v>333</v>
      </c>
      <c r="AM21" s="881" t="s">
        <v>2166</v>
      </c>
      <c r="AN21" s="881" t="s">
        <v>2166</v>
      </c>
      <c r="AO21" s="162"/>
      <c r="AP21" s="881" t="s">
        <v>2166</v>
      </c>
      <c r="AQ21" s="881" t="s">
        <v>2166</v>
      </c>
      <c r="AR21" s="881" t="s">
        <v>2166</v>
      </c>
      <c r="AS21" s="881" t="s">
        <v>2166</v>
      </c>
      <c r="AT21" s="881" t="s">
        <v>2166</v>
      </c>
      <c r="AU21" s="45"/>
      <c r="AV21" s="46" t="s">
        <v>276</v>
      </c>
      <c r="AW21" s="166" t="s">
        <v>152</v>
      </c>
      <c r="AX21" s="46" t="s">
        <v>276</v>
      </c>
      <c r="AY21" s="46" t="s">
        <v>146</v>
      </c>
      <c r="AZ21" s="46" t="s">
        <v>293</v>
      </c>
      <c r="BA21" s="46" t="s">
        <v>150</v>
      </c>
      <c r="BB21" s="46" t="s">
        <v>147</v>
      </c>
      <c r="BC21" s="162" t="s">
        <v>165</v>
      </c>
      <c r="BD21" s="162" t="s">
        <v>165</v>
      </c>
      <c r="BE21" s="162" t="s">
        <v>165</v>
      </c>
      <c r="BF21" s="46" t="s">
        <v>294</v>
      </c>
      <c r="BG21" s="162" t="s">
        <v>165</v>
      </c>
      <c r="BH21" s="46" t="s">
        <v>280</v>
      </c>
      <c r="BI21" s="46" t="s">
        <v>293</v>
      </c>
      <c r="BJ21" s="46" t="s">
        <v>293</v>
      </c>
      <c r="BK21" s="46" t="s">
        <v>293</v>
      </c>
      <c r="BL21" s="46" t="s">
        <v>293</v>
      </c>
      <c r="BM21" s="160" t="s">
        <v>280</v>
      </c>
      <c r="BN21" s="160" t="s">
        <v>280</v>
      </c>
      <c r="BO21" s="160" t="s">
        <v>280</v>
      </c>
      <c r="BP21" s="160" t="s">
        <v>293</v>
      </c>
      <c r="BQ21" s="160" t="s">
        <v>293</v>
      </c>
      <c r="BR21" s="51"/>
      <c r="BS21" s="181" t="s">
        <v>295</v>
      </c>
      <c r="BT21" s="154"/>
      <c r="BU21" s="171" t="s">
        <v>295</v>
      </c>
      <c r="BV21" s="171" t="s">
        <v>295</v>
      </c>
      <c r="BW21" s="155" t="s">
        <v>280</v>
      </c>
      <c r="BX21" s="182" t="s">
        <v>295</v>
      </c>
      <c r="BY21" s="51"/>
      <c r="BZ21" s="183"/>
      <c r="CA21" s="184"/>
      <c r="CB21" s="184"/>
      <c r="CC21" s="184"/>
      <c r="CD21" s="184"/>
      <c r="CE21" s="97"/>
      <c r="CF21" s="84"/>
      <c r="CL21" s="160"/>
    </row>
    <row r="22" spans="1:90" ht="25.5">
      <c r="A22" s="58" t="str">
        <f>HYPERLINK("https://wiki.atlnz.lc/awpwiki/index.php/Qualification_Transceiver_Inventory#AT-SPBD40DUAL-14","AT-SPBD40DUAL-14")</f>
        <v>AT-SPBD40DUAL-14</v>
      </c>
      <c r="B22" s="173" t="s">
        <v>161</v>
      </c>
      <c r="C22" s="173"/>
      <c r="D22" s="187">
        <v>12</v>
      </c>
      <c r="E22" s="162" t="s">
        <v>165</v>
      </c>
      <c r="F22" s="162" t="s">
        <v>165</v>
      </c>
      <c r="G22" s="875" t="s">
        <v>165</v>
      </c>
      <c r="H22" s="888" t="s">
        <v>165</v>
      </c>
      <c r="I22" s="888" t="s">
        <v>165</v>
      </c>
      <c r="J22" s="877" t="s">
        <v>165</v>
      </c>
      <c r="K22" s="162" t="s">
        <v>165</v>
      </c>
      <c r="L22" s="162" t="s">
        <v>165</v>
      </c>
      <c r="M22" s="162" t="s">
        <v>165</v>
      </c>
      <c r="N22" s="162" t="s">
        <v>165</v>
      </c>
      <c r="O22" s="162" t="s">
        <v>165</v>
      </c>
      <c r="P22" s="162" t="s">
        <v>165</v>
      </c>
      <c r="Q22" s="162" t="s">
        <v>165</v>
      </c>
      <c r="R22" s="162" t="s">
        <v>165</v>
      </c>
      <c r="S22" s="162" t="s">
        <v>165</v>
      </c>
      <c r="T22" s="162" t="s">
        <v>165</v>
      </c>
      <c r="U22" s="974" t="s">
        <v>2545</v>
      </c>
      <c r="V22" s="162" t="s">
        <v>165</v>
      </c>
      <c r="W22" s="397" t="s">
        <v>165</v>
      </c>
      <c r="X22" s="162" t="s">
        <v>165</v>
      </c>
      <c r="Y22" s="162" t="s">
        <v>165</v>
      </c>
      <c r="Z22" s="162" t="s">
        <v>165</v>
      </c>
      <c r="AA22" s="162" t="s">
        <v>165</v>
      </c>
      <c r="AB22" s="162" t="s">
        <v>165</v>
      </c>
      <c r="AC22" s="397" t="s">
        <v>165</v>
      </c>
      <c r="AD22" s="845" t="s">
        <v>2395</v>
      </c>
      <c r="AE22" s="162" t="s">
        <v>165</v>
      </c>
      <c r="AF22" s="162" t="s">
        <v>165</v>
      </c>
      <c r="AG22" s="162" t="s">
        <v>165</v>
      </c>
      <c r="AH22" s="162" t="s">
        <v>165</v>
      </c>
      <c r="AI22" s="162" t="s">
        <v>165</v>
      </c>
      <c r="AJ22" s="162" t="s">
        <v>165</v>
      </c>
      <c r="AK22" s="162" t="s">
        <v>165</v>
      </c>
      <c r="AL22" s="162" t="s">
        <v>165</v>
      </c>
      <c r="AM22" s="162" t="s">
        <v>165</v>
      </c>
      <c r="AN22" s="162" t="s">
        <v>165</v>
      </c>
      <c r="AO22" s="162" t="s">
        <v>165</v>
      </c>
      <c r="AP22" s="162" t="s">
        <v>165</v>
      </c>
      <c r="AQ22" s="162" t="s">
        <v>165</v>
      </c>
      <c r="AR22" s="162" t="s">
        <v>165</v>
      </c>
      <c r="AS22" s="148" t="s">
        <v>279</v>
      </c>
      <c r="AT22" s="162" t="s">
        <v>165</v>
      </c>
      <c r="AU22" s="45"/>
      <c r="AV22" s="162" t="s">
        <v>165</v>
      </c>
      <c r="AW22" s="162" t="s">
        <v>165</v>
      </c>
      <c r="AX22" s="162" t="s">
        <v>165</v>
      </c>
      <c r="AY22" s="162" t="s">
        <v>165</v>
      </c>
      <c r="AZ22" s="162" t="s">
        <v>165</v>
      </c>
      <c r="BA22" s="162" t="s">
        <v>165</v>
      </c>
      <c r="BB22" s="162" t="s">
        <v>165</v>
      </c>
      <c r="BC22" s="162" t="s">
        <v>165</v>
      </c>
      <c r="BD22" s="162" t="s">
        <v>165</v>
      </c>
      <c r="BE22" s="162" t="s">
        <v>165</v>
      </c>
      <c r="BF22" s="162" t="s">
        <v>165</v>
      </c>
      <c r="BG22" s="162" t="s">
        <v>165</v>
      </c>
      <c r="BH22" s="162" t="s">
        <v>165</v>
      </c>
      <c r="BI22" s="162" t="s">
        <v>165</v>
      </c>
      <c r="BJ22" s="162" t="s">
        <v>165</v>
      </c>
      <c r="BK22" s="162" t="s">
        <v>165</v>
      </c>
      <c r="BL22" s="162" t="s">
        <v>165</v>
      </c>
      <c r="BM22" s="160"/>
      <c r="BN22" s="160"/>
      <c r="BO22" s="160"/>
      <c r="BP22" s="160"/>
      <c r="BQ22" s="160"/>
      <c r="BR22" s="51"/>
      <c r="BS22" s="76"/>
      <c r="BT22" s="154"/>
      <c r="BU22" s="155"/>
      <c r="BV22" s="155"/>
      <c r="BW22" s="155"/>
      <c r="BX22" s="67"/>
      <c r="BY22" s="51"/>
      <c r="BZ22" s="172"/>
      <c r="CA22" s="84"/>
      <c r="CB22" s="84"/>
      <c r="CC22" s="84"/>
      <c r="CD22" s="71"/>
      <c r="CE22" s="97"/>
      <c r="CF22" s="71"/>
      <c r="CL22" s="176"/>
    </row>
    <row r="23" spans="1:90" ht="30">
      <c r="A23" s="58" t="str">
        <f>HYPERLINK("https://wiki.atlnz.lc/awpwiki/index.php/Qualification_Transceiver_Inventory#AT-SPEX_A","AT-SPEX")</f>
        <v>AT-SPEX</v>
      </c>
      <c r="B23" s="59" t="s">
        <v>163</v>
      </c>
      <c r="C23" s="59"/>
      <c r="D23" s="42">
        <v>18</v>
      </c>
      <c r="E23" s="145" t="str">
        <f>F23</f>
        <v>Pass, May 15</v>
      </c>
      <c r="F23" s="46" t="s">
        <v>269</v>
      </c>
      <c r="G23" s="62" t="s">
        <v>269</v>
      </c>
      <c r="H23" s="888" t="s">
        <v>2214</v>
      </c>
      <c r="I23" s="888" t="s">
        <v>296</v>
      </c>
      <c r="J23" s="888" t="s">
        <v>2329</v>
      </c>
      <c r="K23" s="888" t="s">
        <v>2329</v>
      </c>
      <c r="L23" s="74"/>
      <c r="M23" s="74"/>
      <c r="N23" s="46" t="s">
        <v>277</v>
      </c>
      <c r="O23" s="46" t="s">
        <v>141</v>
      </c>
      <c r="P23" s="46" t="s">
        <v>141</v>
      </c>
      <c r="Q23" s="46" t="s">
        <v>138</v>
      </c>
      <c r="R23" s="888" t="s">
        <v>152</v>
      </c>
      <c r="S23" s="46" t="s">
        <v>142</v>
      </c>
      <c r="T23" s="46" t="s">
        <v>143</v>
      </c>
      <c r="U23" s="974" t="s">
        <v>2545</v>
      </c>
      <c r="V23" s="147" t="s">
        <v>2185</v>
      </c>
      <c r="W23" s="397" t="s">
        <v>319</v>
      </c>
      <c r="X23" s="74" t="s">
        <v>162</v>
      </c>
      <c r="Y23" s="163" t="s">
        <v>271</v>
      </c>
      <c r="Z23" s="147" t="s">
        <v>2041</v>
      </c>
      <c r="AA23" s="163" t="s">
        <v>297</v>
      </c>
      <c r="AB23" s="148" t="str">
        <f>HYPERLINK("https://intranet.atlnz.lc/systest/Reports/TestLink/SuiteExecC.php?plan=483426&amp;rep=F&amp;platform=182","Pass,2-7-18")</f>
        <v>Pass,2-7-18</v>
      </c>
      <c r="AC23" s="397" t="s">
        <v>319</v>
      </c>
      <c r="AD23" s="845" t="s">
        <v>2395</v>
      </c>
      <c r="AE23" s="46" t="s">
        <v>291</v>
      </c>
      <c r="AF23" s="163" t="s">
        <v>298</v>
      </c>
      <c r="AG23" s="46" t="s">
        <v>299</v>
      </c>
      <c r="AH23" s="46" t="s">
        <v>273</v>
      </c>
      <c r="AI23" s="46" t="s">
        <v>144</v>
      </c>
      <c r="AJ23" s="164" t="str">
        <f>HYPERLINK("https://intranet.atlnz.lc/systest/Reports/TestLink/SuiteExecC.php?plan=486616&amp;rep=F&amp;platform=182","Pass, Oct'17")</f>
        <v>Pass, Oct'17</v>
      </c>
      <c r="AK23" s="164" t="str">
        <f>HYPERLINK("https://intranet.atlnz.lc/systest/Reports/TestLink/SuiteExecC.php?plan=490516&amp;rep=F&amp;platform=182","Pass, Jan'19")</f>
        <v>Pass, Jan'19</v>
      </c>
      <c r="AL23" s="163" t="s">
        <v>300</v>
      </c>
      <c r="AM23" s="46" t="s">
        <v>275</v>
      </c>
      <c r="AN23" s="163" t="s">
        <v>301</v>
      </c>
      <c r="AO23" s="888" t="s">
        <v>2360</v>
      </c>
      <c r="AP23" s="46" t="s">
        <v>294</v>
      </c>
      <c r="AQ23" s="46" t="s">
        <v>277</v>
      </c>
      <c r="AR23" s="163" t="s">
        <v>302</v>
      </c>
      <c r="AS23" s="163" t="s">
        <v>302</v>
      </c>
      <c r="AT23" s="62" t="s">
        <v>280</v>
      </c>
      <c r="AU23" s="45"/>
      <c r="AV23" s="169" t="s">
        <v>303</v>
      </c>
      <c r="AW23" s="166" t="s">
        <v>152</v>
      </c>
      <c r="AX23" s="169" t="s">
        <v>303</v>
      </c>
      <c r="AY23" s="46" t="s">
        <v>146</v>
      </c>
      <c r="AZ23" s="46" t="s">
        <v>281</v>
      </c>
      <c r="BA23" s="46" t="s">
        <v>150</v>
      </c>
      <c r="BB23" s="46" t="s">
        <v>147</v>
      </c>
      <c r="BC23" s="46" t="s">
        <v>304</v>
      </c>
      <c r="BD23" s="46" t="s">
        <v>282</v>
      </c>
      <c r="BE23" s="46" t="s">
        <v>152</v>
      </c>
      <c r="BF23" s="46" t="s">
        <v>148</v>
      </c>
      <c r="BG23" s="46" t="s">
        <v>148</v>
      </c>
      <c r="BH23" s="46" t="s">
        <v>284</v>
      </c>
      <c r="BI23" s="46" t="s">
        <v>284</v>
      </c>
      <c r="BJ23" s="46" t="s">
        <v>155</v>
      </c>
      <c r="BK23" s="46" t="s">
        <v>154</v>
      </c>
      <c r="BL23" s="167" t="s">
        <v>285</v>
      </c>
      <c r="BM23" s="76" t="s">
        <v>305</v>
      </c>
      <c r="BN23" s="168" t="s">
        <v>305</v>
      </c>
      <c r="BO23" s="168" t="s">
        <v>305</v>
      </c>
      <c r="BP23" s="66" t="s">
        <v>305</v>
      </c>
      <c r="BQ23" s="67" t="s">
        <v>305</v>
      </c>
      <c r="BR23" s="51"/>
      <c r="BS23" s="76" t="s">
        <v>305</v>
      </c>
      <c r="BT23" s="154"/>
      <c r="BU23" s="155" t="s">
        <v>305</v>
      </c>
      <c r="BV23" s="155" t="s">
        <v>157</v>
      </c>
      <c r="BW23" s="155" t="s">
        <v>305</v>
      </c>
      <c r="BX23" s="67" t="s">
        <v>306</v>
      </c>
      <c r="BY23" s="51"/>
      <c r="BZ23" s="183"/>
      <c r="CA23" s="184"/>
      <c r="CB23" s="184"/>
      <c r="CC23" s="184"/>
      <c r="CD23" s="184"/>
      <c r="CE23" s="97"/>
      <c r="CF23" s="84" t="s">
        <v>305</v>
      </c>
      <c r="CL23" s="160"/>
    </row>
    <row r="24" spans="1:90" ht="30">
      <c r="A24" s="58" t="str">
        <f>HYPERLINK("https://wiki.atlnz.lc/awpwiki/index.php/Qualification_Transceiver_Inventory#AT-SPEX_E-90","AT-SPEX/E-90")</f>
        <v>AT-SPEX/E-90</v>
      </c>
      <c r="B24" s="59" t="s">
        <v>163</v>
      </c>
      <c r="C24" s="59"/>
      <c r="D24" s="42">
        <v>19</v>
      </c>
      <c r="E24" s="162" t="s">
        <v>165</v>
      </c>
      <c r="F24" s="162" t="s">
        <v>165</v>
      </c>
      <c r="G24" s="875" t="s">
        <v>165</v>
      </c>
      <c r="H24" s="888" t="s">
        <v>2214</v>
      </c>
      <c r="I24" s="888" t="s">
        <v>576</v>
      </c>
      <c r="J24" s="888" t="s">
        <v>2329</v>
      </c>
      <c r="K24" s="888" t="s">
        <v>2329</v>
      </c>
      <c r="L24" s="74" t="s">
        <v>162</v>
      </c>
      <c r="M24" s="74" t="s">
        <v>162</v>
      </c>
      <c r="N24" s="162" t="s">
        <v>165</v>
      </c>
      <c r="O24" s="162" t="s">
        <v>165</v>
      </c>
      <c r="P24" s="162" t="s">
        <v>165</v>
      </c>
      <c r="Q24" s="46" t="s">
        <v>138</v>
      </c>
      <c r="R24" s="46" t="s">
        <v>138</v>
      </c>
      <c r="S24" s="162" t="s">
        <v>165</v>
      </c>
      <c r="T24" s="162" t="s">
        <v>165</v>
      </c>
      <c r="U24" s="974" t="s">
        <v>2545</v>
      </c>
      <c r="V24" s="162" t="s">
        <v>319</v>
      </c>
      <c r="W24" s="874" t="s">
        <v>2209</v>
      </c>
      <c r="X24" s="43" t="s">
        <v>270</v>
      </c>
      <c r="Y24" s="163" t="s">
        <v>271</v>
      </c>
      <c r="Z24" s="147" t="s">
        <v>2041</v>
      </c>
      <c r="AA24" s="148" t="s">
        <v>272</v>
      </c>
      <c r="AB24" s="148" t="str">
        <f>HYPERLINK("https://intranet.atlnz.lc/systest/Reports/TestLink/SuiteExecC.php?plan=483426&amp;rep=F&amp;platform=1194","Pass,30-10-18")</f>
        <v>Pass,30-10-18</v>
      </c>
      <c r="AC24" s="873" t="s">
        <v>2208</v>
      </c>
      <c r="AD24" s="845" t="s">
        <v>2395</v>
      </c>
      <c r="AE24" s="162" t="s">
        <v>165</v>
      </c>
      <c r="AF24" s="162" t="s">
        <v>165</v>
      </c>
      <c r="AG24" s="162" t="s">
        <v>165</v>
      </c>
      <c r="AH24" s="162" t="s">
        <v>165</v>
      </c>
      <c r="AI24" s="162" t="s">
        <v>165</v>
      </c>
      <c r="AJ24" s="164" t="str">
        <f>HYPERLINK("https://intranet.atlnz.lc/systest/Reports/TestLink/SuiteExecC.php?plan=486616&amp;rep=F&amp;platform=1194","Pass, Oct'17")</f>
        <v>Pass, Oct'17</v>
      </c>
      <c r="AK24" s="164" t="str">
        <f>HYPERLINK("https://intranet.atlnz.lc/systest/Reports/TestLink/SuiteExecC.php?plan=490516&amp;rep=F&amp;platform=1194","Pass, Jan'19")</f>
        <v>Pass, Jan'19</v>
      </c>
      <c r="AL24" s="46" t="s">
        <v>274</v>
      </c>
      <c r="AM24" s="162" t="s">
        <v>165</v>
      </c>
      <c r="AN24" s="46" t="s">
        <v>139</v>
      </c>
      <c r="AO24" s="888" t="s">
        <v>2360</v>
      </c>
      <c r="AP24" s="162" t="s">
        <v>165</v>
      </c>
      <c r="AQ24" s="162" t="s">
        <v>165</v>
      </c>
      <c r="AR24" s="165" t="s">
        <v>278</v>
      </c>
      <c r="AS24" s="43" t="s">
        <v>279</v>
      </c>
      <c r="AT24" s="162" t="s">
        <v>165</v>
      </c>
      <c r="AU24" s="45"/>
      <c r="AV24" s="46" t="s">
        <v>299</v>
      </c>
      <c r="AW24" s="166" t="s">
        <v>152</v>
      </c>
      <c r="AX24" s="46" t="s">
        <v>299</v>
      </c>
      <c r="AY24" s="162" t="s">
        <v>165</v>
      </c>
      <c r="AZ24" s="162" t="s">
        <v>165</v>
      </c>
      <c r="BA24" s="162" t="s">
        <v>165</v>
      </c>
      <c r="BB24" s="162" t="s">
        <v>165</v>
      </c>
      <c r="BC24" s="162" t="s">
        <v>165</v>
      </c>
      <c r="BD24" s="162" t="s">
        <v>165</v>
      </c>
      <c r="BE24" s="162" t="s">
        <v>165</v>
      </c>
      <c r="BF24" s="46" t="s">
        <v>299</v>
      </c>
      <c r="BG24" s="46" t="s">
        <v>299</v>
      </c>
      <c r="BH24" s="162" t="s">
        <v>165</v>
      </c>
      <c r="BI24" s="162" t="s">
        <v>165</v>
      </c>
      <c r="BJ24" s="162" t="s">
        <v>165</v>
      </c>
      <c r="BK24" s="162" t="s">
        <v>165</v>
      </c>
      <c r="BL24" s="162" t="s">
        <v>165</v>
      </c>
      <c r="BM24" s="76"/>
      <c r="BN24" s="168"/>
      <c r="BO24" s="168"/>
      <c r="BP24" s="66"/>
      <c r="BQ24" s="67"/>
      <c r="BR24" s="51"/>
      <c r="BS24" s="76"/>
      <c r="BT24" s="154"/>
      <c r="BU24" s="155"/>
      <c r="BV24" s="155"/>
      <c r="BW24" s="155"/>
      <c r="BX24" s="67"/>
      <c r="BY24" s="51"/>
      <c r="BZ24" s="172"/>
      <c r="CA24" s="188"/>
      <c r="CB24" s="71"/>
      <c r="CC24" s="71"/>
      <c r="CD24" s="71"/>
      <c r="CE24" s="97"/>
      <c r="CF24" s="84"/>
      <c r="CL24" s="160"/>
    </row>
    <row r="25" spans="1:90" ht="30">
      <c r="A25" s="58" t="str">
        <f>HYPERLINK("https://wiki.atlnz.lc/awpwiki/index.php/Qualification_Transceiver_Inventory#AT-SPLX10","AT-SPLX10")</f>
        <v>AT-SPLX10</v>
      </c>
      <c r="B25" s="59" t="s">
        <v>307</v>
      </c>
      <c r="C25" s="59"/>
      <c r="D25" s="42">
        <v>20</v>
      </c>
      <c r="E25" s="161" t="str">
        <f>F25</f>
        <v>Pass, May 15</v>
      </c>
      <c r="F25" s="46" t="s">
        <v>269</v>
      </c>
      <c r="G25" s="62" t="s">
        <v>269</v>
      </c>
      <c r="H25" s="888" t="s">
        <v>2214</v>
      </c>
      <c r="I25" s="888" t="s">
        <v>576</v>
      </c>
      <c r="J25" s="888" t="s">
        <v>2329</v>
      </c>
      <c r="K25" s="888" t="s">
        <v>2329</v>
      </c>
      <c r="L25" s="74"/>
      <c r="M25" s="74"/>
      <c r="N25" s="46" t="s">
        <v>277</v>
      </c>
      <c r="O25" s="46" t="s">
        <v>141</v>
      </c>
      <c r="P25" s="46" t="s">
        <v>141</v>
      </c>
      <c r="Q25" s="46" t="s">
        <v>138</v>
      </c>
      <c r="R25" s="888" t="s">
        <v>152</v>
      </c>
      <c r="S25" s="46" t="s">
        <v>142</v>
      </c>
      <c r="T25" s="46" t="s">
        <v>143</v>
      </c>
      <c r="U25" s="974" t="s">
        <v>2545</v>
      </c>
      <c r="V25" s="162" t="s">
        <v>319</v>
      </c>
      <c r="W25" s="397" t="s">
        <v>319</v>
      </c>
      <c r="X25" s="43" t="s">
        <v>270</v>
      </c>
      <c r="Y25" s="163" t="s">
        <v>271</v>
      </c>
      <c r="Z25" s="147" t="s">
        <v>2041</v>
      </c>
      <c r="AA25" s="148" t="s">
        <v>272</v>
      </c>
      <c r="AB25" s="148" t="str">
        <f>HYPERLINK("https://intranet.atlnz.lc/systest/Reports/TestLink/SuiteExecC.php?plan=483426&amp;rep=F&amp;platform=183","Pass,30-10-18")</f>
        <v>Pass,30-10-18</v>
      </c>
      <c r="AC25" s="397" t="s">
        <v>319</v>
      </c>
      <c r="AD25" s="845" t="s">
        <v>2395</v>
      </c>
      <c r="AE25" s="46" t="s">
        <v>291</v>
      </c>
      <c r="AF25" s="43" t="s">
        <v>308</v>
      </c>
      <c r="AG25" s="46" t="s">
        <v>299</v>
      </c>
      <c r="AH25" s="46" t="s">
        <v>273</v>
      </c>
      <c r="AI25" s="46" t="s">
        <v>144</v>
      </c>
      <c r="AJ25" s="164" t="str">
        <f>HYPERLINK("https://intranet.atlnz.lc/systest/Reports/TestLink/SuiteExecC.php?plan=486616&amp;rep=F&amp;platform=183","Pass, Oct'17")</f>
        <v>Pass, Oct'17</v>
      </c>
      <c r="AK25" s="164" t="str">
        <f>HYPERLINK("https://intranet.atlnz.lc/systest/Reports/TestLink/SuiteExecC.php?plan=490516&amp;rep=F&amp;platform=183","Pass, Jan'19")</f>
        <v>Pass, Jan'19</v>
      </c>
      <c r="AL25" s="46" t="s">
        <v>274</v>
      </c>
      <c r="AM25" s="46" t="s">
        <v>275</v>
      </c>
      <c r="AN25" s="46" t="s">
        <v>139</v>
      </c>
      <c r="AO25" s="888" t="s">
        <v>2360</v>
      </c>
      <c r="AP25" s="46" t="s">
        <v>294</v>
      </c>
      <c r="AQ25" s="46" t="s">
        <v>277</v>
      </c>
      <c r="AR25" s="165" t="s">
        <v>278</v>
      </c>
      <c r="AS25" s="43" t="s">
        <v>279</v>
      </c>
      <c r="AT25" s="62" t="s">
        <v>309</v>
      </c>
      <c r="AU25" s="45"/>
      <c r="AV25" s="169" t="s">
        <v>303</v>
      </c>
      <c r="AW25" s="166" t="s">
        <v>152</v>
      </c>
      <c r="AX25" s="169" t="s">
        <v>303</v>
      </c>
      <c r="AY25" s="46" t="s">
        <v>146</v>
      </c>
      <c r="AZ25" s="46" t="s">
        <v>281</v>
      </c>
      <c r="BA25" s="46" t="s">
        <v>150</v>
      </c>
      <c r="BB25" s="46" t="s">
        <v>147</v>
      </c>
      <c r="BC25" s="46" t="s">
        <v>304</v>
      </c>
      <c r="BD25" s="46" t="s">
        <v>282</v>
      </c>
      <c r="BE25" s="46" t="s">
        <v>282</v>
      </c>
      <c r="BF25" s="46" t="s">
        <v>148</v>
      </c>
      <c r="BG25" s="46" t="s">
        <v>148</v>
      </c>
      <c r="BH25" s="46" t="s">
        <v>284</v>
      </c>
      <c r="BI25" s="46" t="s">
        <v>284</v>
      </c>
      <c r="BJ25" s="46" t="s">
        <v>155</v>
      </c>
      <c r="BK25" s="46" t="s">
        <v>154</v>
      </c>
      <c r="BL25" s="167" t="s">
        <v>285</v>
      </c>
      <c r="BM25" s="76" t="s">
        <v>157</v>
      </c>
      <c r="BN25" s="168" t="s">
        <v>310</v>
      </c>
      <c r="BO25" s="168" t="s">
        <v>310</v>
      </c>
      <c r="BP25" s="66" t="s">
        <v>310</v>
      </c>
      <c r="BQ25" s="67" t="s">
        <v>310</v>
      </c>
      <c r="BR25" s="51"/>
      <c r="BS25" s="76" t="s">
        <v>310</v>
      </c>
      <c r="BT25" s="154"/>
      <c r="BU25" s="155" t="s">
        <v>310</v>
      </c>
      <c r="BV25" s="155" t="s">
        <v>310</v>
      </c>
      <c r="BW25" s="155" t="s">
        <v>310</v>
      </c>
      <c r="BX25" s="67" t="s">
        <v>306</v>
      </c>
      <c r="BY25" s="51"/>
      <c r="BZ25" s="172" t="s">
        <v>310</v>
      </c>
      <c r="CA25" s="71" t="s">
        <v>310</v>
      </c>
      <c r="CB25" s="71" t="s">
        <v>310</v>
      </c>
      <c r="CC25" s="71" t="s">
        <v>170</v>
      </c>
      <c r="CD25" s="71" t="s">
        <v>311</v>
      </c>
      <c r="CE25" s="97"/>
      <c r="CF25" s="71" t="s">
        <v>310</v>
      </c>
      <c r="CL25" s="160"/>
    </row>
    <row r="26" spans="1:90" ht="30">
      <c r="A26" s="58" t="str">
        <f>HYPERLINK("https://wiki.atlnz.lc/awpwiki/index.php/Qualification_Transceiver_Inventory#AT-SPLX10_E-90","AT-SPLX10/E-90")</f>
        <v>AT-SPLX10/E-90</v>
      </c>
      <c r="B26" s="59" t="s">
        <v>163</v>
      </c>
      <c r="C26" s="59"/>
      <c r="D26" s="42">
        <v>21</v>
      </c>
      <c r="E26" s="162" t="s">
        <v>165</v>
      </c>
      <c r="F26" s="162" t="s">
        <v>165</v>
      </c>
      <c r="G26" s="875" t="s">
        <v>165</v>
      </c>
      <c r="H26" s="888" t="s">
        <v>2214</v>
      </c>
      <c r="I26" s="888" t="s">
        <v>576</v>
      </c>
      <c r="J26" s="888" t="s">
        <v>2329</v>
      </c>
      <c r="K26" s="888" t="s">
        <v>2329</v>
      </c>
      <c r="L26" s="74" t="s">
        <v>162</v>
      </c>
      <c r="M26" s="74" t="s">
        <v>162</v>
      </c>
      <c r="N26" s="162" t="s">
        <v>165</v>
      </c>
      <c r="O26" s="162" t="s">
        <v>165</v>
      </c>
      <c r="P26" s="162" t="s">
        <v>165</v>
      </c>
      <c r="Q26" s="43" t="s">
        <v>138</v>
      </c>
      <c r="R26" s="190" t="s">
        <v>138</v>
      </c>
      <c r="S26" s="162" t="s">
        <v>165</v>
      </c>
      <c r="T26" s="162" t="s">
        <v>165</v>
      </c>
      <c r="U26" s="974" t="s">
        <v>2545</v>
      </c>
      <c r="V26" s="162" t="s">
        <v>319</v>
      </c>
      <c r="W26" s="397" t="s">
        <v>319</v>
      </c>
      <c r="X26" s="43" t="s">
        <v>270</v>
      </c>
      <c r="Y26" s="163" t="s">
        <v>271</v>
      </c>
      <c r="Z26" s="147" t="s">
        <v>2041</v>
      </c>
      <c r="AA26" s="148" t="s">
        <v>272</v>
      </c>
      <c r="AB26" s="148" t="str">
        <f>HYPERLINK("https://intranet.atlnz.lc/systest/Reports/TestLink/SuiteExecC.php?plan=483426&amp;rep=F&amp;platform=1195","Pass,30-10-18")</f>
        <v>Pass,30-10-18</v>
      </c>
      <c r="AC26" s="397" t="s">
        <v>319</v>
      </c>
      <c r="AD26" s="845" t="s">
        <v>2395</v>
      </c>
      <c r="AE26" s="162" t="s">
        <v>165</v>
      </c>
      <c r="AF26" s="162" t="s">
        <v>165</v>
      </c>
      <c r="AG26" s="162" t="s">
        <v>165</v>
      </c>
      <c r="AH26" s="162" t="s">
        <v>165</v>
      </c>
      <c r="AI26" s="162" t="s">
        <v>165</v>
      </c>
      <c r="AJ26" s="148" t="str">
        <f>HYPERLINK("https://intranet.atlnz.lc/systest/Reports/TestLink/SuiteExecC.php?plan=486616&amp;rep=F&amp;platform=1195","Pass, Oct'17")</f>
        <v>Pass, Oct'17</v>
      </c>
      <c r="AK26" s="148" t="str">
        <f>HYPERLINK("https://intranet.atlnz.lc/systest/Reports/TestLink/SuiteExecC.php?plan=490516&amp;rep=F&amp;platform=1195","Pass, Jan'19")</f>
        <v>Pass, Jan'19</v>
      </c>
      <c r="AL26" s="43" t="s">
        <v>274</v>
      </c>
      <c r="AM26" s="162" t="s">
        <v>165</v>
      </c>
      <c r="AN26" s="43" t="s">
        <v>139</v>
      </c>
      <c r="AO26" s="888" t="s">
        <v>2360</v>
      </c>
      <c r="AP26" s="162" t="s">
        <v>165</v>
      </c>
      <c r="AQ26" s="162" t="s">
        <v>165</v>
      </c>
      <c r="AR26" s="149" t="s">
        <v>278</v>
      </c>
      <c r="AS26" s="43" t="s">
        <v>279</v>
      </c>
      <c r="AT26" s="162" t="s">
        <v>165</v>
      </c>
      <c r="AU26" s="189"/>
      <c r="AV26" s="43" t="s">
        <v>299</v>
      </c>
      <c r="AW26" s="150" t="s">
        <v>152</v>
      </c>
      <c r="AX26" s="43" t="s">
        <v>299</v>
      </c>
      <c r="AY26" s="162" t="s">
        <v>165</v>
      </c>
      <c r="AZ26" s="162" t="s">
        <v>165</v>
      </c>
      <c r="BA26" s="162" t="s">
        <v>165</v>
      </c>
      <c r="BB26" s="162" t="s">
        <v>165</v>
      </c>
      <c r="BC26" s="162" t="s">
        <v>165</v>
      </c>
      <c r="BD26" s="162" t="s">
        <v>165</v>
      </c>
      <c r="BE26" s="162" t="s">
        <v>165</v>
      </c>
      <c r="BF26" s="43" t="s">
        <v>299</v>
      </c>
      <c r="BG26" s="43" t="s">
        <v>299</v>
      </c>
      <c r="BH26" s="162" t="s">
        <v>165</v>
      </c>
      <c r="BI26" s="162" t="s">
        <v>165</v>
      </c>
      <c r="BJ26" s="162" t="s">
        <v>165</v>
      </c>
      <c r="BK26" s="162" t="s">
        <v>165</v>
      </c>
      <c r="BL26" s="162" t="s">
        <v>165</v>
      </c>
      <c r="BM26" s="76"/>
      <c r="BN26" s="168"/>
      <c r="BO26" s="168"/>
      <c r="BP26" s="82"/>
      <c r="BQ26" s="67"/>
      <c r="BR26" s="191"/>
      <c r="BS26" s="76"/>
      <c r="BT26" s="154"/>
      <c r="BU26" s="155"/>
      <c r="BV26" s="171"/>
      <c r="BW26" s="155"/>
      <c r="BX26" s="182"/>
      <c r="BY26" s="191"/>
      <c r="BZ26" s="192"/>
      <c r="CA26" s="172"/>
      <c r="CB26" s="172"/>
      <c r="CC26" s="172"/>
      <c r="CD26" s="172"/>
      <c r="CE26" s="193"/>
      <c r="CF26" s="172"/>
      <c r="CL26" s="160"/>
    </row>
    <row r="27" spans="1:90" ht="30">
      <c r="A27" s="58" t="str">
        <f>HYPERLINK("https://wiki.atlnz.lc/awpwiki/index.php/Qualification_Transceiver_Inventory#AT-SPLX10_I","AT-SPLX10/I")</f>
        <v>AT-SPLX10/I</v>
      </c>
      <c r="B27" s="59" t="s">
        <v>161</v>
      </c>
      <c r="C27" s="59"/>
      <c r="D27" s="42">
        <v>22</v>
      </c>
      <c r="E27" s="161" t="str">
        <f>F27</f>
        <v>Pass, May 15</v>
      </c>
      <c r="F27" s="46" t="s">
        <v>269</v>
      </c>
      <c r="G27" s="62" t="s">
        <v>269</v>
      </c>
      <c r="H27" s="888" t="s">
        <v>2214</v>
      </c>
      <c r="I27" s="888" t="s">
        <v>576</v>
      </c>
      <c r="J27" s="888" t="s">
        <v>2329</v>
      </c>
      <c r="K27" s="888" t="s">
        <v>2329</v>
      </c>
      <c r="L27" s="74" t="s">
        <v>162</v>
      </c>
      <c r="M27" s="74" t="s">
        <v>162</v>
      </c>
      <c r="N27" s="162" t="s">
        <v>165</v>
      </c>
      <c r="O27" s="46" t="s">
        <v>141</v>
      </c>
      <c r="P27" s="46" t="s">
        <v>141</v>
      </c>
      <c r="Q27" s="46" t="s">
        <v>138</v>
      </c>
      <c r="R27" s="46" t="s">
        <v>138</v>
      </c>
      <c r="S27" s="46" t="s">
        <v>142</v>
      </c>
      <c r="T27" s="46" t="s">
        <v>143</v>
      </c>
      <c r="U27" s="974" t="s">
        <v>2545</v>
      </c>
      <c r="V27" s="147" t="s">
        <v>2185</v>
      </c>
      <c r="W27" s="874" t="s">
        <v>2209</v>
      </c>
      <c r="X27" s="43" t="s">
        <v>270</v>
      </c>
      <c r="Y27" s="163" t="s">
        <v>271</v>
      </c>
      <c r="Z27" s="147" t="s">
        <v>2041</v>
      </c>
      <c r="AA27" s="148" t="s">
        <v>272</v>
      </c>
      <c r="AB27" s="148" t="str">
        <f>HYPERLINK("https://intranet.atlnz.lc/systest/Reports/TestLink/SuiteExecC.php?plan=483426&amp;rep=F&amp;platform=184","Pass,30-10-18")</f>
        <v>Pass,30-10-18</v>
      </c>
      <c r="AC27" s="873" t="s">
        <v>2208</v>
      </c>
      <c r="AD27" s="845" t="s">
        <v>2395</v>
      </c>
      <c r="AE27" s="162" t="s">
        <v>165</v>
      </c>
      <c r="AF27" s="162" t="s">
        <v>165</v>
      </c>
      <c r="AG27" s="162" t="s">
        <v>165</v>
      </c>
      <c r="AH27" s="46" t="s">
        <v>273</v>
      </c>
      <c r="AI27" s="46" t="s">
        <v>144</v>
      </c>
      <c r="AJ27" s="164" t="str">
        <f>HYPERLINK("https://intranet.atlnz.lc/systest/Reports/TestLink/SuiteExecC.php?plan=486616&amp;rep=F&amp;platform=184","Pass, Oct'17")</f>
        <v>Pass, Oct'17</v>
      </c>
      <c r="AK27" s="164" t="str">
        <f>HYPERLINK("https://intranet.atlnz.lc/systest/Reports/TestLink/SuiteExecC.php?plan=490516&amp;rep=F&amp;platform=184","Pass, Jan'19")</f>
        <v>Pass, Jan'19</v>
      </c>
      <c r="AL27" s="46" t="s">
        <v>139</v>
      </c>
      <c r="AM27" s="46" t="s">
        <v>275</v>
      </c>
      <c r="AN27" s="46" t="s">
        <v>274</v>
      </c>
      <c r="AO27" s="888" t="s">
        <v>2360</v>
      </c>
      <c r="AP27" s="46" t="s">
        <v>294</v>
      </c>
      <c r="AQ27" s="46" t="s">
        <v>277</v>
      </c>
      <c r="AR27" s="165" t="s">
        <v>278</v>
      </c>
      <c r="AS27" s="43" t="s">
        <v>279</v>
      </c>
      <c r="AT27" s="62" t="s">
        <v>280</v>
      </c>
      <c r="AU27" s="189"/>
      <c r="AV27" s="46" t="s">
        <v>276</v>
      </c>
      <c r="AW27" s="166" t="s">
        <v>152</v>
      </c>
      <c r="AX27" s="46" t="s">
        <v>276</v>
      </c>
      <c r="AY27" s="46" t="s">
        <v>146</v>
      </c>
      <c r="AZ27" s="46" t="s">
        <v>281</v>
      </c>
      <c r="BA27" s="46" t="s">
        <v>150</v>
      </c>
      <c r="BB27" s="46" t="s">
        <v>147</v>
      </c>
      <c r="BC27" s="162" t="s">
        <v>165</v>
      </c>
      <c r="BD27" s="46" t="s">
        <v>282</v>
      </c>
      <c r="BE27" s="46" t="s">
        <v>152</v>
      </c>
      <c r="BF27" s="46" t="s">
        <v>148</v>
      </c>
      <c r="BG27" s="162" t="s">
        <v>165</v>
      </c>
      <c r="BH27" s="46" t="s">
        <v>284</v>
      </c>
      <c r="BI27" s="46" t="s">
        <v>284</v>
      </c>
      <c r="BJ27" s="46" t="s">
        <v>312</v>
      </c>
      <c r="BK27" s="46" t="s">
        <v>312</v>
      </c>
      <c r="BL27" s="167" t="s">
        <v>312</v>
      </c>
      <c r="BM27" s="76" t="s">
        <v>312</v>
      </c>
      <c r="BN27" s="168" t="s">
        <v>312</v>
      </c>
      <c r="BO27" s="168" t="s">
        <v>313</v>
      </c>
      <c r="BP27" s="82" t="s">
        <v>149</v>
      </c>
      <c r="BQ27" s="67" t="s">
        <v>149</v>
      </c>
      <c r="BR27" s="191"/>
      <c r="BS27" s="76" t="s">
        <v>313</v>
      </c>
      <c r="BT27" s="154"/>
      <c r="BU27" s="155" t="s">
        <v>313</v>
      </c>
      <c r="BV27" s="171" t="s">
        <v>295</v>
      </c>
      <c r="BW27" s="155" t="s">
        <v>313</v>
      </c>
      <c r="BX27" s="182" t="s">
        <v>295</v>
      </c>
      <c r="BY27" s="191"/>
      <c r="BZ27" s="192" t="s">
        <v>314</v>
      </c>
      <c r="CA27" s="172"/>
      <c r="CB27" s="172" t="s">
        <v>312</v>
      </c>
      <c r="CC27" s="172"/>
      <c r="CD27" s="172"/>
      <c r="CE27" s="193"/>
      <c r="CF27" s="172" t="s">
        <v>312</v>
      </c>
      <c r="CL27" s="160"/>
    </row>
    <row r="28" spans="1:90" ht="30">
      <c r="A28" s="58" t="str">
        <f>HYPERLINK("https://wiki.atlnz.lc/awpwiki/index.php/Qualification_Transceiver_Inventory#AT-SPLX10a_A","AT-SPLX10a")</f>
        <v>AT-SPLX10a</v>
      </c>
      <c r="B28" s="59" t="s">
        <v>163</v>
      </c>
      <c r="C28" s="59"/>
      <c r="D28" s="42">
        <v>233</v>
      </c>
      <c r="E28" s="161" t="s">
        <v>315</v>
      </c>
      <c r="F28" s="46" t="s">
        <v>315</v>
      </c>
      <c r="G28" s="196" t="s">
        <v>316</v>
      </c>
      <c r="H28" s="888" t="s">
        <v>2214</v>
      </c>
      <c r="I28" s="888" t="s">
        <v>2210</v>
      </c>
      <c r="J28" s="888" t="s">
        <v>2329</v>
      </c>
      <c r="K28" s="888" t="s">
        <v>2329</v>
      </c>
      <c r="L28" s="74" t="s">
        <v>162</v>
      </c>
      <c r="M28" s="74" t="s">
        <v>162</v>
      </c>
      <c r="N28" s="194" t="s">
        <v>316</v>
      </c>
      <c r="O28" s="194" t="s">
        <v>316</v>
      </c>
      <c r="P28" s="194" t="s">
        <v>316</v>
      </c>
      <c r="Q28" s="194" t="s">
        <v>318</v>
      </c>
      <c r="R28" s="162" t="s">
        <v>319</v>
      </c>
      <c r="S28" s="194" t="s">
        <v>316</v>
      </c>
      <c r="T28" s="194" t="s">
        <v>316</v>
      </c>
      <c r="U28" s="974" t="s">
        <v>2545</v>
      </c>
      <c r="V28" s="147" t="s">
        <v>2185</v>
      </c>
      <c r="W28" s="874" t="s">
        <v>2209</v>
      </c>
      <c r="X28" s="195" t="s">
        <v>316</v>
      </c>
      <c r="Y28" s="163" t="s">
        <v>271</v>
      </c>
      <c r="Z28" s="147" t="s">
        <v>2041</v>
      </c>
      <c r="AA28" s="148" t="s">
        <v>272</v>
      </c>
      <c r="AB28" s="195" t="s">
        <v>316</v>
      </c>
      <c r="AC28" s="873" t="s">
        <v>2208</v>
      </c>
      <c r="AD28" s="845" t="s">
        <v>2395</v>
      </c>
      <c r="AE28" s="194" t="s">
        <v>316</v>
      </c>
      <c r="AF28" s="194" t="s">
        <v>316</v>
      </c>
      <c r="AG28" s="194" t="s">
        <v>316</v>
      </c>
      <c r="AH28" s="194" t="s">
        <v>316</v>
      </c>
      <c r="AI28" s="194" t="s">
        <v>316</v>
      </c>
      <c r="AJ28" s="194" t="s">
        <v>316</v>
      </c>
      <c r="AK28" s="196" t="s">
        <v>316</v>
      </c>
      <c r="AL28" s="194" t="s">
        <v>316</v>
      </c>
      <c r="AM28" s="194" t="s">
        <v>316</v>
      </c>
      <c r="AN28" s="194" t="s">
        <v>316</v>
      </c>
      <c r="AO28" s="888" t="s">
        <v>2360</v>
      </c>
      <c r="AP28" s="194" t="s">
        <v>316</v>
      </c>
      <c r="AQ28" s="194" t="s">
        <v>316</v>
      </c>
      <c r="AR28" s="194" t="s">
        <v>316</v>
      </c>
      <c r="AS28" s="195" t="s">
        <v>316</v>
      </c>
      <c r="AT28" s="196" t="s">
        <v>316</v>
      </c>
      <c r="AU28" s="45"/>
      <c r="AV28" s="194" t="s">
        <v>316</v>
      </c>
      <c r="AW28" s="163" t="s">
        <v>317</v>
      </c>
      <c r="AX28" s="194" t="s">
        <v>316</v>
      </c>
      <c r="AY28" s="194" t="s">
        <v>316</v>
      </c>
      <c r="AZ28" s="194" t="s">
        <v>316</v>
      </c>
      <c r="BA28" s="194" t="s">
        <v>316</v>
      </c>
      <c r="BB28" s="194" t="s">
        <v>316</v>
      </c>
      <c r="BC28" s="194" t="s">
        <v>320</v>
      </c>
      <c r="BD28" s="194" t="s">
        <v>316</v>
      </c>
      <c r="BE28" s="194" t="s">
        <v>316</v>
      </c>
      <c r="BF28" s="194" t="s">
        <v>316</v>
      </c>
      <c r="BG28" s="194" t="s">
        <v>316</v>
      </c>
      <c r="BH28" s="194" t="s">
        <v>316</v>
      </c>
      <c r="BI28" s="194" t="s">
        <v>316</v>
      </c>
      <c r="BJ28" s="194" t="s">
        <v>318</v>
      </c>
      <c r="BK28" s="194" t="s">
        <v>318</v>
      </c>
      <c r="BL28" s="197" t="s">
        <v>321</v>
      </c>
      <c r="BM28" s="76"/>
      <c r="BN28" s="168"/>
      <c r="BO28" s="168"/>
      <c r="BP28" s="77"/>
      <c r="BQ28" s="67"/>
      <c r="BR28" s="51"/>
      <c r="BS28" s="76"/>
      <c r="BT28" s="154"/>
      <c r="BU28" s="155"/>
      <c r="BV28" s="155"/>
      <c r="BW28" s="155"/>
      <c r="BX28" s="67"/>
      <c r="BY28" s="51"/>
      <c r="BZ28" s="172"/>
      <c r="CA28" s="172"/>
      <c r="CB28" s="172"/>
      <c r="CC28" s="172"/>
      <c r="CD28" s="172"/>
      <c r="CE28" s="97"/>
      <c r="CF28" s="172"/>
      <c r="CL28" s="160"/>
    </row>
    <row r="29" spans="1:90" ht="30">
      <c r="A29" s="58" t="str">
        <f>HYPERLINK("https://wiki.atlnz.lc/awpwiki/index.php/Qualification_Transceiver_Inventory#AT-SPLX10a-I_A","AT-SPLX10a/I")</f>
        <v>AT-SPLX10a/I</v>
      </c>
      <c r="B29" s="59" t="s">
        <v>483</v>
      </c>
      <c r="C29" s="59"/>
      <c r="D29" s="42">
        <v>603</v>
      </c>
      <c r="E29" s="888" t="s">
        <v>2359</v>
      </c>
      <c r="F29" s="888" t="s">
        <v>319</v>
      </c>
      <c r="G29" s="888" t="s">
        <v>319</v>
      </c>
      <c r="H29" s="888" t="s">
        <v>2326</v>
      </c>
      <c r="I29" s="888" t="s">
        <v>2326</v>
      </c>
      <c r="J29" s="888" t="s">
        <v>2472</v>
      </c>
      <c r="K29" s="888" t="s">
        <v>2472</v>
      </c>
      <c r="L29" s="888" t="s">
        <v>2542</v>
      </c>
      <c r="M29" s="888" t="s">
        <v>2543</v>
      </c>
      <c r="N29" s="888" t="s">
        <v>2166</v>
      </c>
      <c r="O29" s="888" t="s">
        <v>2326</v>
      </c>
      <c r="P29" s="888" t="s">
        <v>2326</v>
      </c>
      <c r="Q29" s="888" t="s">
        <v>2466</v>
      </c>
      <c r="R29" s="162" t="s">
        <v>319</v>
      </c>
      <c r="S29" s="888" t="s">
        <v>2326</v>
      </c>
      <c r="T29" s="888" t="s">
        <v>2326</v>
      </c>
      <c r="U29" s="974" t="s">
        <v>2545</v>
      </c>
      <c r="V29" s="888" t="s">
        <v>2362</v>
      </c>
      <c r="W29" s="888" t="s">
        <v>2361</v>
      </c>
      <c r="X29" s="888" t="s">
        <v>2326</v>
      </c>
      <c r="Y29" s="888" t="s">
        <v>2326</v>
      </c>
      <c r="Z29" s="888" t="s">
        <v>2326</v>
      </c>
      <c r="AA29" s="888" t="s">
        <v>2326</v>
      </c>
      <c r="AB29" s="888" t="s">
        <v>2326</v>
      </c>
      <c r="AC29" s="888" t="s">
        <v>2361</v>
      </c>
      <c r="AD29" s="888" t="s">
        <v>2519</v>
      </c>
      <c r="AE29" s="888" t="s">
        <v>2326</v>
      </c>
      <c r="AF29" s="888" t="s">
        <v>2326</v>
      </c>
      <c r="AG29" s="888" t="s">
        <v>2326</v>
      </c>
      <c r="AH29" s="888" t="s">
        <v>2326</v>
      </c>
      <c r="AI29" s="888" t="s">
        <v>2326</v>
      </c>
      <c r="AJ29" s="888" t="s">
        <v>2166</v>
      </c>
      <c r="AK29" s="888" t="s">
        <v>2326</v>
      </c>
      <c r="AL29" s="242" t="s">
        <v>162</v>
      </c>
      <c r="AM29" s="242" t="s">
        <v>162</v>
      </c>
      <c r="AN29" s="888" t="s">
        <v>2166</v>
      </c>
      <c r="AO29" s="888" t="s">
        <v>2544</v>
      </c>
      <c r="AP29" s="888" t="s">
        <v>2166</v>
      </c>
      <c r="AQ29" s="888" t="s">
        <v>2166</v>
      </c>
      <c r="AR29" s="888" t="s">
        <v>2166</v>
      </c>
      <c r="AS29" s="888" t="s">
        <v>2166</v>
      </c>
      <c r="AT29" s="888" t="s">
        <v>2166</v>
      </c>
      <c r="AU29" s="45"/>
      <c r="AV29" s="194"/>
      <c r="AW29" s="649"/>
      <c r="AX29" s="194"/>
      <c r="AY29" s="194"/>
      <c r="AZ29" s="194"/>
      <c r="BA29" s="194"/>
      <c r="BB29" s="194"/>
      <c r="BC29" s="973"/>
      <c r="BD29" s="194"/>
      <c r="BE29" s="194"/>
      <c r="BF29" s="194"/>
      <c r="BG29" s="194"/>
      <c r="BH29" s="194"/>
      <c r="BI29" s="194"/>
      <c r="BJ29" s="194"/>
      <c r="BK29" s="194"/>
      <c r="BL29" s="197"/>
      <c r="BM29" s="76"/>
      <c r="BN29" s="168"/>
      <c r="BO29" s="168"/>
      <c r="BP29" s="77"/>
      <c r="BQ29" s="67"/>
      <c r="BR29" s="51"/>
      <c r="BS29" s="76"/>
      <c r="BT29" s="154"/>
      <c r="BU29" s="155"/>
      <c r="BV29" s="155"/>
      <c r="BW29" s="155"/>
      <c r="BX29" s="67"/>
      <c r="BY29" s="51"/>
      <c r="BZ29" s="172"/>
      <c r="CA29" s="172"/>
      <c r="CB29" s="172"/>
      <c r="CC29" s="172"/>
      <c r="CD29" s="172"/>
      <c r="CE29" s="97"/>
      <c r="CF29" s="205"/>
      <c r="CL29" s="160"/>
    </row>
    <row r="30" spans="1:90" ht="30">
      <c r="A30" s="58" t="str">
        <f>HYPERLINK("https://wiki.atlnz.lc/awpwiki/index.php/Qualification_Transceiver_Inventory#AT-SPLX40","AT-SPLX40")</f>
        <v>AT-SPLX40</v>
      </c>
      <c r="B30" s="59" t="s">
        <v>161</v>
      </c>
      <c r="C30" s="59"/>
      <c r="D30" s="42">
        <v>23</v>
      </c>
      <c r="E30" s="161" t="str">
        <f>F30</f>
        <v>Pass, May 15</v>
      </c>
      <c r="F30" s="46" t="s">
        <v>269</v>
      </c>
      <c r="G30" s="62" t="s">
        <v>269</v>
      </c>
      <c r="H30" s="888" t="s">
        <v>2214</v>
      </c>
      <c r="I30" s="888" t="s">
        <v>576</v>
      </c>
      <c r="J30" s="888" t="s">
        <v>2329</v>
      </c>
      <c r="K30" s="888" t="s">
        <v>2329</v>
      </c>
      <c r="L30" s="74" t="s">
        <v>162</v>
      </c>
      <c r="M30" s="74" t="s">
        <v>162</v>
      </c>
      <c r="N30" s="46" t="s">
        <v>277</v>
      </c>
      <c r="O30" s="46" t="s">
        <v>141</v>
      </c>
      <c r="P30" s="46" t="s">
        <v>141</v>
      </c>
      <c r="Q30" s="46" t="s">
        <v>138</v>
      </c>
      <c r="R30" s="888" t="s">
        <v>152</v>
      </c>
      <c r="S30" s="46" t="s">
        <v>142</v>
      </c>
      <c r="T30" s="46" t="s">
        <v>143</v>
      </c>
      <c r="U30" s="974" t="s">
        <v>2545</v>
      </c>
      <c r="V30" s="147" t="s">
        <v>2185</v>
      </c>
      <c r="W30" s="874" t="s">
        <v>2209</v>
      </c>
      <c r="X30" s="43" t="s">
        <v>270</v>
      </c>
      <c r="Y30" s="163" t="s">
        <v>271</v>
      </c>
      <c r="Z30" s="147" t="s">
        <v>2041</v>
      </c>
      <c r="AA30" s="148" t="s">
        <v>272</v>
      </c>
      <c r="AB30" s="148" t="str">
        <f>HYPERLINK("https://intranet.atlnz.lc/systest/Reports/TestLink/SuiteExecC.php?plan=483426&amp;rep=F&amp;platform=185","Pass,2-7-18")</f>
        <v>Pass,2-7-18</v>
      </c>
      <c r="AC30" s="873" t="s">
        <v>2208</v>
      </c>
      <c r="AD30" s="845" t="s">
        <v>2395</v>
      </c>
      <c r="AE30" s="46" t="s">
        <v>291</v>
      </c>
      <c r="AF30" s="43" t="s">
        <v>308</v>
      </c>
      <c r="AG30" s="46" t="s">
        <v>299</v>
      </c>
      <c r="AH30" s="46" t="s">
        <v>273</v>
      </c>
      <c r="AI30" s="46" t="s">
        <v>144</v>
      </c>
      <c r="AJ30" s="164" t="str">
        <f>HYPERLINK("https://intranet.atlnz.lc/systest/Reports/TestLink/SuiteExecC.php?plan=486616&amp;rep=F&amp;platform=185","Pass, Oct'17")</f>
        <v>Pass, Oct'17</v>
      </c>
      <c r="AK30" s="198" t="str">
        <f>HYPERLINK("https://intranet.atlnz.lc/systest/Reports/TestLink/SuiteExecC.php?plan=490516&amp;rep=F&amp;platform=184","Pass, Jan'19")</f>
        <v>Pass, Jan'19</v>
      </c>
      <c r="AL30" s="46" t="s">
        <v>139</v>
      </c>
      <c r="AM30" s="46" t="s">
        <v>275</v>
      </c>
      <c r="AN30" s="46" t="s">
        <v>274</v>
      </c>
      <c r="AO30" s="888" t="s">
        <v>2360</v>
      </c>
      <c r="AP30" s="46" t="s">
        <v>294</v>
      </c>
      <c r="AQ30" s="46" t="s">
        <v>277</v>
      </c>
      <c r="AR30" s="165" t="s">
        <v>278</v>
      </c>
      <c r="AS30" s="43" t="s">
        <v>279</v>
      </c>
      <c r="AT30" s="62" t="s">
        <v>149</v>
      </c>
      <c r="AU30" s="45"/>
      <c r="AV30" s="46" t="s">
        <v>276</v>
      </c>
      <c r="AW30" s="166" t="s">
        <v>152</v>
      </c>
      <c r="AX30" s="46" t="s">
        <v>276</v>
      </c>
      <c r="AY30" s="46" t="s">
        <v>146</v>
      </c>
      <c r="AZ30" s="46" t="s">
        <v>293</v>
      </c>
      <c r="BA30" s="46" t="s">
        <v>150</v>
      </c>
      <c r="BB30" s="46" t="s">
        <v>147</v>
      </c>
      <c r="BC30" s="162" t="s">
        <v>165</v>
      </c>
      <c r="BD30" s="46" t="s">
        <v>282</v>
      </c>
      <c r="BE30" s="46" t="s">
        <v>152</v>
      </c>
      <c r="BF30" s="46" t="s">
        <v>148</v>
      </c>
      <c r="BG30" s="46" t="s">
        <v>148</v>
      </c>
      <c r="BH30" s="46" t="s">
        <v>284</v>
      </c>
      <c r="BI30" s="46" t="s">
        <v>284</v>
      </c>
      <c r="BJ30" s="46" t="s">
        <v>293</v>
      </c>
      <c r="BK30" s="46" t="s">
        <v>293</v>
      </c>
      <c r="BL30" s="161" t="s">
        <v>293</v>
      </c>
      <c r="BM30" s="76" t="s">
        <v>293</v>
      </c>
      <c r="BN30" s="155" t="s">
        <v>293</v>
      </c>
      <c r="BO30" s="155" t="s">
        <v>293</v>
      </c>
      <c r="BP30" s="82" t="s">
        <v>293</v>
      </c>
      <c r="BQ30" s="67" t="s">
        <v>153</v>
      </c>
      <c r="BR30" s="51"/>
      <c r="BS30" s="181" t="s">
        <v>295</v>
      </c>
      <c r="BT30" s="170"/>
      <c r="BU30" s="171" t="s">
        <v>295</v>
      </c>
      <c r="BV30" s="171" t="s">
        <v>295</v>
      </c>
      <c r="BW30" s="171" t="s">
        <v>295</v>
      </c>
      <c r="BX30" s="182" t="s">
        <v>295</v>
      </c>
      <c r="BY30" s="51"/>
      <c r="BZ30" s="172"/>
      <c r="CA30" s="71" t="s">
        <v>177</v>
      </c>
      <c r="CB30" s="71" t="s">
        <v>177</v>
      </c>
      <c r="CC30" s="71" t="s">
        <v>177</v>
      </c>
      <c r="CD30" s="71" t="s">
        <v>177</v>
      </c>
      <c r="CE30" s="97"/>
      <c r="CF30" s="97"/>
      <c r="CL30" s="160"/>
    </row>
    <row r="31" spans="1:90" ht="30">
      <c r="A31" s="58" t="str">
        <f>HYPERLINK("https://wiki.atlnz.lc/awpwiki/index.php/Qualification_Transceiver_Inventory#AT-SPLX40_I","AT-SPLX40/I")</f>
        <v>AT-SPLX40/I</v>
      </c>
      <c r="B31" s="59" t="s">
        <v>483</v>
      </c>
      <c r="C31" s="59"/>
      <c r="D31" s="42">
        <v>537</v>
      </c>
      <c r="E31" s="888" t="s">
        <v>2359</v>
      </c>
      <c r="F31" s="888" t="s">
        <v>319</v>
      </c>
      <c r="G31" s="888" t="s">
        <v>319</v>
      </c>
      <c r="H31" s="888" t="s">
        <v>2326</v>
      </c>
      <c r="I31" s="888" t="s">
        <v>2326</v>
      </c>
      <c r="J31" s="888" t="s">
        <v>2361</v>
      </c>
      <c r="K31" s="888" t="s">
        <v>2361</v>
      </c>
      <c r="L31" s="74"/>
      <c r="M31" s="74"/>
      <c r="N31" s="888" t="s">
        <v>2166</v>
      </c>
      <c r="O31" s="888" t="s">
        <v>2326</v>
      </c>
      <c r="P31" s="888" t="s">
        <v>2326</v>
      </c>
      <c r="Q31" s="888" t="s">
        <v>2326</v>
      </c>
      <c r="R31" s="888" t="s">
        <v>2326</v>
      </c>
      <c r="S31" s="888" t="s">
        <v>2326</v>
      </c>
      <c r="T31" s="888" t="s">
        <v>2326</v>
      </c>
      <c r="U31" s="974" t="s">
        <v>2545</v>
      </c>
      <c r="V31" s="888" t="s">
        <v>2362</v>
      </c>
      <c r="W31" s="888" t="s">
        <v>2361</v>
      </c>
      <c r="X31" s="888" t="s">
        <v>2326</v>
      </c>
      <c r="Y31" s="888" t="s">
        <v>2326</v>
      </c>
      <c r="Z31" s="888" t="s">
        <v>2326</v>
      </c>
      <c r="AA31" s="888" t="s">
        <v>2326</v>
      </c>
      <c r="AB31" s="888" t="s">
        <v>2326</v>
      </c>
      <c r="AC31" s="888" t="s">
        <v>2361</v>
      </c>
      <c r="AD31" s="845" t="s">
        <v>2395</v>
      </c>
      <c r="AE31" s="888" t="s">
        <v>2326</v>
      </c>
      <c r="AF31" s="888" t="s">
        <v>2326</v>
      </c>
      <c r="AG31" s="888" t="s">
        <v>2326</v>
      </c>
      <c r="AH31" s="888" t="s">
        <v>2326</v>
      </c>
      <c r="AI31" s="888" t="s">
        <v>2326</v>
      </c>
      <c r="AJ31" s="888" t="s">
        <v>2326</v>
      </c>
      <c r="AK31" s="888" t="s">
        <v>333</v>
      </c>
      <c r="AL31" s="888" t="s">
        <v>333</v>
      </c>
      <c r="AM31" s="888" t="s">
        <v>2166</v>
      </c>
      <c r="AN31" s="888" t="s">
        <v>2166</v>
      </c>
      <c r="AO31" s="888" t="s">
        <v>2360</v>
      </c>
      <c r="AP31" s="888" t="s">
        <v>2166</v>
      </c>
      <c r="AQ31" s="888" t="s">
        <v>2166</v>
      </c>
      <c r="AR31" s="888" t="s">
        <v>2166</v>
      </c>
      <c r="AS31" s="888" t="s">
        <v>2166</v>
      </c>
      <c r="AT31" s="888" t="s">
        <v>2304</v>
      </c>
      <c r="AU31" s="45"/>
      <c r="AV31" s="46" t="s">
        <v>276</v>
      </c>
      <c r="AW31" s="166" t="s">
        <v>152</v>
      </c>
      <c r="AX31" s="46" t="s">
        <v>276</v>
      </c>
      <c r="AY31" s="46" t="s">
        <v>146</v>
      </c>
      <c r="AZ31" s="46" t="s">
        <v>293</v>
      </c>
      <c r="BA31" s="46" t="s">
        <v>150</v>
      </c>
      <c r="BB31" s="46" t="s">
        <v>147</v>
      </c>
      <c r="BC31" s="162" t="s">
        <v>165</v>
      </c>
      <c r="BD31" s="46" t="s">
        <v>282</v>
      </c>
      <c r="BE31" s="46" t="s">
        <v>152</v>
      </c>
      <c r="BF31" s="46" t="s">
        <v>148</v>
      </c>
      <c r="BG31" s="46" t="s">
        <v>148</v>
      </c>
      <c r="BH31" s="46" t="s">
        <v>284</v>
      </c>
      <c r="BI31" s="46" t="s">
        <v>284</v>
      </c>
      <c r="BJ31" s="46" t="s">
        <v>293</v>
      </c>
      <c r="BK31" s="46" t="s">
        <v>293</v>
      </c>
      <c r="BL31" s="161" t="s">
        <v>293</v>
      </c>
      <c r="BM31" s="76" t="s">
        <v>293</v>
      </c>
      <c r="BN31" s="155" t="s">
        <v>293</v>
      </c>
      <c r="BO31" s="155" t="s">
        <v>293</v>
      </c>
      <c r="BP31" s="82" t="s">
        <v>293</v>
      </c>
      <c r="BQ31" s="67" t="s">
        <v>153</v>
      </c>
      <c r="BR31" s="51"/>
      <c r="BS31" s="947" t="s">
        <v>295</v>
      </c>
      <c r="BT31" s="948"/>
      <c r="BU31" s="949" t="s">
        <v>295</v>
      </c>
      <c r="BV31" s="949" t="s">
        <v>295</v>
      </c>
      <c r="BW31" s="949" t="s">
        <v>295</v>
      </c>
      <c r="BX31" s="950" t="s">
        <v>295</v>
      </c>
      <c r="BY31" s="51"/>
      <c r="BZ31" s="172"/>
      <c r="CA31" s="71" t="s">
        <v>177</v>
      </c>
      <c r="CB31" s="71" t="s">
        <v>177</v>
      </c>
      <c r="CC31" s="71" t="s">
        <v>177</v>
      </c>
      <c r="CD31" s="71" t="s">
        <v>177</v>
      </c>
      <c r="CE31" s="97"/>
      <c r="CF31" s="71" t="s">
        <v>322</v>
      </c>
      <c r="CL31" s="160"/>
    </row>
    <row r="32" spans="1:90" ht="30">
      <c r="A32" s="58" t="str">
        <f>HYPERLINK("https://wiki.atlnz.lc/awpwiki/index.php/Qualification_Transceiver_Inventory#AT-SPLX40_E-90","AT-SPLX40/E-90")</f>
        <v>AT-SPLX40/E-90</v>
      </c>
      <c r="B32" s="59" t="s">
        <v>163</v>
      </c>
      <c r="C32" s="59"/>
      <c r="D32" s="42">
        <v>24</v>
      </c>
      <c r="E32" s="162" t="s">
        <v>165</v>
      </c>
      <c r="F32" s="162" t="s">
        <v>165</v>
      </c>
      <c r="G32" s="875" t="s">
        <v>165</v>
      </c>
      <c r="H32" s="888" t="s">
        <v>2214</v>
      </c>
      <c r="I32" s="888" t="s">
        <v>2211</v>
      </c>
      <c r="J32" s="888" t="s">
        <v>2329</v>
      </c>
      <c r="K32" s="888" t="s">
        <v>2329</v>
      </c>
      <c r="L32" s="74" t="s">
        <v>162</v>
      </c>
      <c r="M32" s="74" t="s">
        <v>162</v>
      </c>
      <c r="N32" s="162" t="s">
        <v>165</v>
      </c>
      <c r="O32" s="162" t="s">
        <v>165</v>
      </c>
      <c r="P32" s="162" t="s">
        <v>165</v>
      </c>
      <c r="Q32" s="164" t="s">
        <v>323</v>
      </c>
      <c r="R32" s="169" t="s">
        <v>323</v>
      </c>
      <c r="S32" s="162" t="s">
        <v>165</v>
      </c>
      <c r="T32" s="162" t="s">
        <v>165</v>
      </c>
      <c r="U32" s="974" t="s">
        <v>2545</v>
      </c>
      <c r="V32" s="162" t="s">
        <v>319</v>
      </c>
      <c r="W32" s="397" t="s">
        <v>319</v>
      </c>
      <c r="X32" s="43" t="s">
        <v>323</v>
      </c>
      <c r="Y32" s="163" t="s">
        <v>271</v>
      </c>
      <c r="Z32" s="147" t="s">
        <v>2041</v>
      </c>
      <c r="AA32" s="148" t="s">
        <v>272</v>
      </c>
      <c r="AB32" s="148" t="str">
        <f>HYPERLINK("https://intranet.atlnz.lc/systest/Reports/TestLink/SuiteExecC.php?plan=483426&amp;rep=F&amp;platform=1196","Supp w Fail")</f>
        <v>Supp w Fail</v>
      </c>
      <c r="AC32" s="397" t="s">
        <v>319</v>
      </c>
      <c r="AD32" s="845" t="s">
        <v>2395</v>
      </c>
      <c r="AE32" s="162" t="s">
        <v>165</v>
      </c>
      <c r="AF32" s="162" t="s">
        <v>165</v>
      </c>
      <c r="AG32" s="162" t="s">
        <v>165</v>
      </c>
      <c r="AH32" s="162" t="s">
        <v>165</v>
      </c>
      <c r="AI32" s="162" t="s">
        <v>165</v>
      </c>
      <c r="AJ32" s="162" t="s">
        <v>319</v>
      </c>
      <c r="AK32" s="162" t="s">
        <v>319</v>
      </c>
      <c r="AL32" s="46" t="s">
        <v>323</v>
      </c>
      <c r="AM32" s="162" t="s">
        <v>165</v>
      </c>
      <c r="AN32" s="46" t="s">
        <v>323</v>
      </c>
      <c r="AO32" s="888" t="s">
        <v>2360</v>
      </c>
      <c r="AP32" s="162" t="s">
        <v>165</v>
      </c>
      <c r="AQ32" s="162" t="s">
        <v>165</v>
      </c>
      <c r="AR32" s="165" t="s">
        <v>323</v>
      </c>
      <c r="AS32" s="199" t="s">
        <v>323</v>
      </c>
      <c r="AT32" s="162" t="s">
        <v>165</v>
      </c>
      <c r="AU32" s="45"/>
      <c r="AV32" s="164" t="s">
        <v>323</v>
      </c>
      <c r="AW32" s="166" t="s">
        <v>152</v>
      </c>
      <c r="AX32" s="164" t="s">
        <v>323</v>
      </c>
      <c r="AY32" s="162" t="s">
        <v>165</v>
      </c>
      <c r="AZ32" s="162" t="s">
        <v>165</v>
      </c>
      <c r="BA32" s="162" t="s">
        <v>165</v>
      </c>
      <c r="BB32" s="162" t="s">
        <v>165</v>
      </c>
      <c r="BC32" s="162" t="s">
        <v>165</v>
      </c>
      <c r="BD32" s="162" t="s">
        <v>165</v>
      </c>
      <c r="BE32" s="162" t="s">
        <v>165</v>
      </c>
      <c r="BF32" s="164" t="s">
        <v>323</v>
      </c>
      <c r="BG32" s="164" t="s">
        <v>323</v>
      </c>
      <c r="BH32" s="162" t="s">
        <v>165</v>
      </c>
      <c r="BI32" s="162" t="s">
        <v>165</v>
      </c>
      <c r="BJ32" s="162" t="s">
        <v>165</v>
      </c>
      <c r="BK32" s="162" t="s">
        <v>165</v>
      </c>
      <c r="BL32" s="162" t="s">
        <v>165</v>
      </c>
      <c r="BM32" s="76"/>
      <c r="BN32" s="155"/>
      <c r="BO32" s="155"/>
      <c r="BP32" s="82"/>
      <c r="BQ32" s="67"/>
      <c r="BR32" s="51"/>
      <c r="BS32" s="181"/>
      <c r="BT32" s="170"/>
      <c r="BU32" s="171"/>
      <c r="BV32" s="171"/>
      <c r="BW32" s="171"/>
      <c r="BX32" s="182"/>
      <c r="BY32" s="51"/>
      <c r="BZ32" s="172"/>
      <c r="CA32" s="71"/>
      <c r="CB32" s="71"/>
      <c r="CC32" s="71"/>
      <c r="CD32" s="71"/>
      <c r="CE32" s="97"/>
      <c r="CF32" s="71"/>
      <c r="CL32" s="160"/>
    </row>
    <row r="33" spans="1:90" ht="38.25">
      <c r="A33" s="58" t="str">
        <f>HYPERLINK("https://wiki.atlnz.lc/awpwiki/index.php/Qualification_Transceiver_Inventory#AT-SPSX_F","AT-SPSX")</f>
        <v>AT-SPSX</v>
      </c>
      <c r="B33" s="59" t="s">
        <v>330</v>
      </c>
      <c r="C33" s="59"/>
      <c r="D33" s="42">
        <v>422</v>
      </c>
      <c r="E33" t="s">
        <v>331</v>
      </c>
      <c r="F33" s="46" t="s">
        <v>152</v>
      </c>
      <c r="G33" s="62" t="s">
        <v>152</v>
      </c>
      <c r="H33" s="888" t="s">
        <v>2214</v>
      </c>
      <c r="I33" s="888" t="s">
        <v>331</v>
      </c>
      <c r="J33" s="888" t="s">
        <v>2329</v>
      </c>
      <c r="K33" s="888" t="s">
        <v>2329</v>
      </c>
      <c r="L33" s="74"/>
      <c r="M33" s="74"/>
      <c r="N33" s="163" t="s">
        <v>301</v>
      </c>
      <c r="O33" s="163" t="s">
        <v>331</v>
      </c>
      <c r="P33" s="163" t="s">
        <v>331</v>
      </c>
      <c r="Q33" s="163" t="s">
        <v>331</v>
      </c>
      <c r="R33" s="162" t="s">
        <v>319</v>
      </c>
      <c r="S33" s="163" t="s">
        <v>301</v>
      </c>
      <c r="T33" s="163" t="s">
        <v>301</v>
      </c>
      <c r="U33" s="974" t="s">
        <v>2545</v>
      </c>
      <c r="V33" s="147" t="s">
        <v>2185</v>
      </c>
      <c r="W33" s="874" t="s">
        <v>2209</v>
      </c>
      <c r="X33" s="163" t="s">
        <v>331</v>
      </c>
      <c r="Y33" s="163" t="s">
        <v>297</v>
      </c>
      <c r="Z33" s="147" t="s">
        <v>2041</v>
      </c>
      <c r="AA33" s="163" t="s">
        <v>332</v>
      </c>
      <c r="AB33" s="163" t="s">
        <v>332</v>
      </c>
      <c r="AC33" s="873" t="s">
        <v>2208</v>
      </c>
      <c r="AD33" s="845" t="s">
        <v>2395</v>
      </c>
      <c r="AE33" s="163" t="s">
        <v>301</v>
      </c>
      <c r="AF33" s="163" t="s">
        <v>301</v>
      </c>
      <c r="AG33" s="163" t="s">
        <v>301</v>
      </c>
      <c r="AH33" s="163" t="s">
        <v>301</v>
      </c>
      <c r="AI33" s="163" t="s">
        <v>301</v>
      </c>
      <c r="AJ33" s="163" t="s">
        <v>332</v>
      </c>
      <c r="AK33" s="194" t="s">
        <v>333</v>
      </c>
      <c r="AL33" s="194" t="s">
        <v>333</v>
      </c>
      <c r="AM33" s="163" t="s">
        <v>301</v>
      </c>
      <c r="AN33" s="163" t="s">
        <v>301</v>
      </c>
      <c r="AO33" s="888" t="s">
        <v>2360</v>
      </c>
      <c r="AP33" s="163" t="s">
        <v>334</v>
      </c>
      <c r="AQ33" s="163" t="s">
        <v>334</v>
      </c>
      <c r="AR33" s="163" t="s">
        <v>334</v>
      </c>
      <c r="AS33" s="163" t="s">
        <v>334</v>
      </c>
      <c r="AT33" s="163" t="s">
        <v>334</v>
      </c>
      <c r="AU33" s="63"/>
      <c r="AV33" s="163" t="s">
        <v>331</v>
      </c>
      <c r="AW33" s="163" t="s">
        <v>331</v>
      </c>
      <c r="AX33" s="163" t="s">
        <v>331</v>
      </c>
      <c r="AY33" s="163" t="s">
        <v>301</v>
      </c>
      <c r="AZ33" s="163" t="s">
        <v>301</v>
      </c>
      <c r="BA33" s="163" t="s">
        <v>301</v>
      </c>
      <c r="BB33" s="163" t="s">
        <v>301</v>
      </c>
      <c r="BC33" s="162" t="s">
        <v>319</v>
      </c>
      <c r="BD33" s="163" t="s">
        <v>335</v>
      </c>
      <c r="BE33" s="163" t="s">
        <v>336</v>
      </c>
      <c r="BF33" s="162" t="s">
        <v>319</v>
      </c>
      <c r="BG33" s="162" t="s">
        <v>319</v>
      </c>
      <c r="BH33" s="163" t="s">
        <v>337</v>
      </c>
      <c r="BI33" s="163" t="s">
        <v>338</v>
      </c>
      <c r="BJ33" s="162" t="s">
        <v>319</v>
      </c>
      <c r="BK33" s="162" t="s">
        <v>319</v>
      </c>
      <c r="BL33" s="162" t="s">
        <v>319</v>
      </c>
      <c r="BM33" s="76" t="s">
        <v>339</v>
      </c>
      <c r="BN33" s="162" t="s">
        <v>319</v>
      </c>
      <c r="BO33" s="162" t="s">
        <v>319</v>
      </c>
      <c r="BP33" s="66" t="s">
        <v>341</v>
      </c>
      <c r="BQ33" s="162" t="s">
        <v>319</v>
      </c>
      <c r="BR33" s="68"/>
      <c r="BS33" s="76"/>
      <c r="BT33" s="154"/>
      <c r="BU33" s="155"/>
      <c r="BV33" s="155"/>
      <c r="BW33" s="155"/>
      <c r="BX33" s="182"/>
      <c r="BY33" s="68"/>
      <c r="BZ33" s="69"/>
      <c r="CA33" s="70"/>
      <c r="CB33" s="71"/>
      <c r="CC33" s="84"/>
      <c r="CD33" s="84"/>
      <c r="CE33" s="72"/>
      <c r="CF33" s="70"/>
      <c r="CL33" s="160"/>
    </row>
    <row r="34" spans="1:90" ht="30">
      <c r="A34" s="58" t="str">
        <f>HYPERLINK("https://wiki.atlnz.lc/awpwiki/index.php/Qualification_Transceiver_Inventory#AT-SPSX_E-90","AT-SPSX/E-90")</f>
        <v>AT-SPSX/E-90</v>
      </c>
      <c r="B34" s="59" t="s">
        <v>163</v>
      </c>
      <c r="C34" s="59"/>
      <c r="D34" s="42">
        <v>27</v>
      </c>
      <c r="E34" s="162" t="s">
        <v>165</v>
      </c>
      <c r="F34" s="162" t="s">
        <v>165</v>
      </c>
      <c r="G34" s="875" t="s">
        <v>165</v>
      </c>
      <c r="H34" s="888" t="s">
        <v>2214</v>
      </c>
      <c r="I34" s="888" t="s">
        <v>576</v>
      </c>
      <c r="J34" s="888" t="s">
        <v>2329</v>
      </c>
      <c r="K34" s="888" t="s">
        <v>2329</v>
      </c>
      <c r="L34" s="74" t="s">
        <v>162</v>
      </c>
      <c r="M34" s="74" t="s">
        <v>162</v>
      </c>
      <c r="N34" s="162" t="s">
        <v>165</v>
      </c>
      <c r="O34" s="162" t="s">
        <v>165</v>
      </c>
      <c r="P34" s="162" t="s">
        <v>165</v>
      </c>
      <c r="Q34" s="46" t="s">
        <v>138</v>
      </c>
      <c r="R34" s="46" t="s">
        <v>138</v>
      </c>
      <c r="S34" s="162" t="s">
        <v>165</v>
      </c>
      <c r="T34" s="162" t="s">
        <v>165</v>
      </c>
      <c r="U34" s="974" t="s">
        <v>2545</v>
      </c>
      <c r="V34" s="162" t="s">
        <v>319</v>
      </c>
      <c r="W34" s="397" t="s">
        <v>319</v>
      </c>
      <c r="X34" s="43" t="s">
        <v>270</v>
      </c>
      <c r="Y34" s="163" t="s">
        <v>271</v>
      </c>
      <c r="Z34" s="147" t="s">
        <v>2041</v>
      </c>
      <c r="AA34" s="148" t="s">
        <v>272</v>
      </c>
      <c r="AB34" s="148" t="str">
        <f>HYPERLINK("https://intranet.atlnz.lc/systest/Reports/TestLink/SuiteExecC.php?plan=483426&amp;rep=F&amp;platform=1193","Pass,30-10-18")</f>
        <v>Pass,30-10-18</v>
      </c>
      <c r="AC34" s="397" t="s">
        <v>319</v>
      </c>
      <c r="AD34" s="845" t="s">
        <v>2395</v>
      </c>
      <c r="AE34" s="162" t="s">
        <v>165</v>
      </c>
      <c r="AF34" s="162" t="s">
        <v>165</v>
      </c>
      <c r="AG34" s="162" t="s">
        <v>165</v>
      </c>
      <c r="AH34" s="162" t="s">
        <v>165</v>
      </c>
      <c r="AI34" s="162" t="s">
        <v>165</v>
      </c>
      <c r="AJ34" s="164" t="str">
        <f>HYPERLINK("https://intranet.atlnz.lc/systest/Reports/TestLink/SuiteExecC.php?plan=486616&amp;rep=F&amp;platform=1193","Pass, Oct'17")</f>
        <v>Pass, Oct'17</v>
      </c>
      <c r="AK34" s="198" t="str">
        <f>HYPERLINK("https://intranet.atlnz.lc/systest/Reports/TestLink/SuiteExecC.php?plan=490516&amp;rep=F&amp;platform=1193","Pass, Jan'19")</f>
        <v>Pass, Jan'19</v>
      </c>
      <c r="AL34" s="46" t="s">
        <v>139</v>
      </c>
      <c r="AM34" s="162" t="s">
        <v>165</v>
      </c>
      <c r="AN34" s="46" t="s">
        <v>274</v>
      </c>
      <c r="AO34" s="888" t="s">
        <v>2360</v>
      </c>
      <c r="AP34" s="162" t="s">
        <v>165</v>
      </c>
      <c r="AQ34" s="162" t="s">
        <v>165</v>
      </c>
      <c r="AR34" s="165" t="s">
        <v>278</v>
      </c>
      <c r="AS34" s="43" t="s">
        <v>279</v>
      </c>
      <c r="AT34" s="162" t="s">
        <v>165</v>
      </c>
      <c r="AU34" s="63"/>
      <c r="AV34" s="46" t="s">
        <v>299</v>
      </c>
      <c r="AW34" s="166" t="s">
        <v>152</v>
      </c>
      <c r="AX34" s="46" t="s">
        <v>299</v>
      </c>
      <c r="AY34" s="162" t="s">
        <v>165</v>
      </c>
      <c r="AZ34" s="162" t="s">
        <v>165</v>
      </c>
      <c r="BA34" s="162" t="s">
        <v>165</v>
      </c>
      <c r="BB34" s="162" t="s">
        <v>165</v>
      </c>
      <c r="BC34" s="162" t="s">
        <v>165</v>
      </c>
      <c r="BD34" s="162" t="s">
        <v>165</v>
      </c>
      <c r="BE34" s="162" t="s">
        <v>165</v>
      </c>
      <c r="BF34" s="46" t="s">
        <v>299</v>
      </c>
      <c r="BG34" s="46" t="s">
        <v>299</v>
      </c>
      <c r="BH34" s="162" t="s">
        <v>165</v>
      </c>
      <c r="BI34" s="162" t="s">
        <v>165</v>
      </c>
      <c r="BJ34" s="162" t="s">
        <v>165</v>
      </c>
      <c r="BK34" s="162" t="s">
        <v>165</v>
      </c>
      <c r="BL34" s="162" t="s">
        <v>165</v>
      </c>
      <c r="BM34" s="76"/>
      <c r="BN34" s="168"/>
      <c r="BO34" s="168"/>
      <c r="BP34" s="66"/>
      <c r="BQ34" s="67"/>
      <c r="BR34" s="68"/>
      <c r="BS34" s="76"/>
      <c r="BT34" s="154"/>
      <c r="BU34" s="155"/>
      <c r="BV34" s="155"/>
      <c r="BW34" s="155"/>
      <c r="BX34" s="67"/>
      <c r="BY34" s="68"/>
      <c r="BZ34" s="172"/>
      <c r="CA34" s="71"/>
      <c r="CB34" s="71"/>
      <c r="CC34" s="204"/>
      <c r="CD34" s="204"/>
      <c r="CE34" s="72"/>
      <c r="CF34" s="84"/>
      <c r="CL34" s="160"/>
    </row>
    <row r="35" spans="1:90" ht="30">
      <c r="A35" s="58" t="str">
        <f>HYPERLINK("https://wiki.atlnz.lc/awpwiki/index.php/Qualification_Transceiver_Inventory#AT-SPSX_I","AT-SPSX/I")</f>
        <v>AT-SPSX/I</v>
      </c>
      <c r="B35" s="59" t="s">
        <v>163</v>
      </c>
      <c r="C35" s="59"/>
      <c r="D35" s="42">
        <v>28</v>
      </c>
      <c r="E35" s="161" t="str">
        <f>F35</f>
        <v>Pass, May 15</v>
      </c>
      <c r="F35" s="46" t="s">
        <v>269</v>
      </c>
      <c r="G35" s="62" t="s">
        <v>269</v>
      </c>
      <c r="H35" s="888" t="s">
        <v>2214</v>
      </c>
      <c r="I35" s="888" t="s">
        <v>576</v>
      </c>
      <c r="J35" s="888" t="s">
        <v>2329</v>
      </c>
      <c r="K35" s="888" t="s">
        <v>2329</v>
      </c>
      <c r="L35" s="74"/>
      <c r="M35" s="74"/>
      <c r="N35" s="162" t="s">
        <v>165</v>
      </c>
      <c r="O35" s="46" t="s">
        <v>141</v>
      </c>
      <c r="P35" s="46" t="s">
        <v>141</v>
      </c>
      <c r="Q35" s="46" t="s">
        <v>138</v>
      </c>
      <c r="R35" s="46" t="s">
        <v>138</v>
      </c>
      <c r="S35" s="46" t="s">
        <v>142</v>
      </c>
      <c r="T35" s="46" t="s">
        <v>143</v>
      </c>
      <c r="U35" s="974" t="s">
        <v>2545</v>
      </c>
      <c r="V35" s="147" t="s">
        <v>2185</v>
      </c>
      <c r="W35" s="874" t="s">
        <v>2209</v>
      </c>
      <c r="X35" s="43" t="s">
        <v>270</v>
      </c>
      <c r="Y35" s="163" t="s">
        <v>271</v>
      </c>
      <c r="Z35" s="147" t="s">
        <v>2041</v>
      </c>
      <c r="AA35" s="148" t="s">
        <v>272</v>
      </c>
      <c r="AB35" s="148" t="str">
        <f>HYPERLINK("https://intranet.atlnz.lc/systest/Reports/TestLink/SuiteExecC.php?plan=483426&amp;rep=F&amp;platform=180","Pass,2-7-18")</f>
        <v>Pass,2-7-18</v>
      </c>
      <c r="AC35" s="873" t="s">
        <v>2208</v>
      </c>
      <c r="AD35" s="845" t="s">
        <v>2395</v>
      </c>
      <c r="AE35" s="162" t="s">
        <v>165</v>
      </c>
      <c r="AF35" s="162" t="s">
        <v>165</v>
      </c>
      <c r="AG35" s="162" t="s">
        <v>165</v>
      </c>
      <c r="AH35" s="46" t="s">
        <v>273</v>
      </c>
      <c r="AI35" s="46" t="s">
        <v>144</v>
      </c>
      <c r="AJ35" s="164" t="str">
        <f>HYPERLINK("https://intranet.atlnz.lc/systest/Reports/TestLink/SuiteExecC.php?plan=486616&amp;rep=F&amp;platform=180","Pass, Oct'17")</f>
        <v>Pass, Oct'17</v>
      </c>
      <c r="AK35" s="198" t="str">
        <f>HYPERLINK("https://intranet.atlnz.lc/systest/Reports/TestLink/SuiteExecC.php?plan=490516&amp;rep=F&amp;platform=180","Pass, Jan'19")</f>
        <v>Pass, Jan'19</v>
      </c>
      <c r="AL35" s="46" t="s">
        <v>139</v>
      </c>
      <c r="AM35" s="46" t="s">
        <v>275</v>
      </c>
      <c r="AN35" s="46" t="s">
        <v>274</v>
      </c>
      <c r="AO35" s="397" t="s">
        <v>319</v>
      </c>
      <c r="AP35" s="46" t="s">
        <v>294</v>
      </c>
      <c r="AQ35" s="46" t="s">
        <v>277</v>
      </c>
      <c r="AR35" s="165" t="s">
        <v>278</v>
      </c>
      <c r="AS35" s="43" t="s">
        <v>279</v>
      </c>
      <c r="AT35" s="62" t="s">
        <v>280</v>
      </c>
      <c r="AU35" s="63"/>
      <c r="AV35" s="46" t="s">
        <v>276</v>
      </c>
      <c r="AW35" s="166" t="s">
        <v>152</v>
      </c>
      <c r="AX35" s="46" t="s">
        <v>276</v>
      </c>
      <c r="AY35" s="46" t="s">
        <v>146</v>
      </c>
      <c r="AZ35" s="162" t="s">
        <v>165</v>
      </c>
      <c r="BA35" s="46" t="s">
        <v>150</v>
      </c>
      <c r="BB35" s="46" t="s">
        <v>147</v>
      </c>
      <c r="BC35" s="162" t="s">
        <v>165</v>
      </c>
      <c r="BD35" s="46" t="s">
        <v>282</v>
      </c>
      <c r="BE35" s="46" t="s">
        <v>282</v>
      </c>
      <c r="BF35" s="46" t="s">
        <v>148</v>
      </c>
      <c r="BG35" s="162" t="s">
        <v>165</v>
      </c>
      <c r="BH35" s="46" t="s">
        <v>284</v>
      </c>
      <c r="BI35" s="46" t="s">
        <v>149</v>
      </c>
      <c r="BJ35" s="46" t="s">
        <v>155</v>
      </c>
      <c r="BK35" s="46" t="s">
        <v>154</v>
      </c>
      <c r="BL35" s="200" t="s">
        <v>285</v>
      </c>
      <c r="BM35" s="76" t="s">
        <v>342</v>
      </c>
      <c r="BN35" s="168" t="s">
        <v>342</v>
      </c>
      <c r="BO35" s="168" t="s">
        <v>342</v>
      </c>
      <c r="BP35" s="66" t="s">
        <v>342</v>
      </c>
      <c r="BQ35" s="67" t="s">
        <v>342</v>
      </c>
      <c r="BR35" s="68"/>
      <c r="BS35" s="76" t="s">
        <v>343</v>
      </c>
      <c r="BT35" s="154"/>
      <c r="BU35" s="155" t="s">
        <v>343</v>
      </c>
      <c r="BV35" s="155" t="s">
        <v>157</v>
      </c>
      <c r="BW35" s="155" t="s">
        <v>343</v>
      </c>
      <c r="BX35" s="67" t="s">
        <v>306</v>
      </c>
      <c r="BY35" s="68"/>
      <c r="BZ35" s="205" t="s">
        <v>344</v>
      </c>
      <c r="CA35" s="205" t="s">
        <v>344</v>
      </c>
      <c r="CB35" s="175" t="s">
        <v>344</v>
      </c>
      <c r="CC35" s="204"/>
      <c r="CD35" s="204"/>
      <c r="CE35" s="72"/>
      <c r="CF35" s="96" t="s">
        <v>343</v>
      </c>
      <c r="CL35" s="160"/>
    </row>
    <row r="36" spans="1:90" ht="30">
      <c r="A36" s="58" t="str">
        <f>HYPERLINK("https://wiki.atlnz.lc/awpwiki/index.php/Qualification_Transceiver_Inventory#AT-SPSX_I-90","AT-SPSX/I-90")</f>
        <v>AT-SPSX/I-90</v>
      </c>
      <c r="B36" s="59" t="s">
        <v>163</v>
      </c>
      <c r="C36" s="59"/>
      <c r="D36" s="42">
        <v>29</v>
      </c>
      <c r="E36" s="161" t="s">
        <v>345</v>
      </c>
      <c r="F36" s="46" t="s">
        <v>152</v>
      </c>
      <c r="G36" s="62" t="s">
        <v>345</v>
      </c>
      <c r="H36" s="888" t="s">
        <v>2214</v>
      </c>
      <c r="I36" s="888" t="s">
        <v>576</v>
      </c>
      <c r="J36" s="888" t="s">
        <v>319</v>
      </c>
      <c r="K36" s="888" t="s">
        <v>319</v>
      </c>
      <c r="L36" s="74" t="s">
        <v>162</v>
      </c>
      <c r="M36" s="74" t="s">
        <v>162</v>
      </c>
      <c r="N36" s="162" t="s">
        <v>165</v>
      </c>
      <c r="O36" s="162" t="s">
        <v>165</v>
      </c>
      <c r="P36" s="162" t="s">
        <v>165</v>
      </c>
      <c r="Q36" s="162" t="s">
        <v>165</v>
      </c>
      <c r="R36" s="162" t="s">
        <v>165</v>
      </c>
      <c r="S36" s="46" t="s">
        <v>345</v>
      </c>
      <c r="T36" s="46" t="s">
        <v>345</v>
      </c>
      <c r="U36" s="974" t="s">
        <v>2545</v>
      </c>
      <c r="V36" s="162" t="s">
        <v>319</v>
      </c>
      <c r="W36" s="397" t="s">
        <v>319</v>
      </c>
      <c r="X36" s="43" t="s">
        <v>270</v>
      </c>
      <c r="Y36" s="163" t="s">
        <v>271</v>
      </c>
      <c r="Z36" s="147" t="s">
        <v>2041</v>
      </c>
      <c r="AA36" s="148" t="s">
        <v>272</v>
      </c>
      <c r="AB36" s="162" t="s">
        <v>319</v>
      </c>
      <c r="AC36" s="397" t="s">
        <v>319</v>
      </c>
      <c r="AD36" s="845" t="s">
        <v>2395</v>
      </c>
      <c r="AE36" s="162" t="s">
        <v>165</v>
      </c>
      <c r="AF36" s="162" t="s">
        <v>165</v>
      </c>
      <c r="AG36" s="162" t="s">
        <v>165</v>
      </c>
      <c r="AH36" s="46" t="s">
        <v>345</v>
      </c>
      <c r="AI36" s="60" t="s">
        <v>345</v>
      </c>
      <c r="AJ36" s="61" t="s">
        <v>162</v>
      </c>
      <c r="AK36" s="206" t="str">
        <f>HYPERLINK("https://intranet.atlnz.lc/systest/Reports/TestLink/SuiteExecC.php?plan=490516&amp;rep=F&amp;platform=1275","Pass, Jan'19")</f>
        <v>Pass, Jan'19</v>
      </c>
      <c r="AL36" s="60" t="s">
        <v>139</v>
      </c>
      <c r="AM36" s="207" t="s">
        <v>165</v>
      </c>
      <c r="AN36" s="60" t="s">
        <v>274</v>
      </c>
      <c r="AO36" s="888" t="s">
        <v>2360</v>
      </c>
      <c r="AP36" s="60" t="s">
        <v>345</v>
      </c>
      <c r="AQ36" s="60" t="s">
        <v>345</v>
      </c>
      <c r="AR36" s="208" t="s">
        <v>278</v>
      </c>
      <c r="AS36" s="209" t="s">
        <v>279</v>
      </c>
      <c r="AT36" s="89" t="s">
        <v>345</v>
      </c>
      <c r="AU36" s="63"/>
      <c r="AV36" s="46" t="s">
        <v>345</v>
      </c>
      <c r="AW36" s="166" t="s">
        <v>152</v>
      </c>
      <c r="AX36" s="46" t="s">
        <v>345</v>
      </c>
      <c r="AY36" s="46" t="s">
        <v>345</v>
      </c>
      <c r="AZ36" s="46" t="s">
        <v>345</v>
      </c>
      <c r="BA36" s="46" t="s">
        <v>345</v>
      </c>
      <c r="BB36" s="46" t="s">
        <v>345</v>
      </c>
      <c r="BC36" s="162" t="s">
        <v>165</v>
      </c>
      <c r="BD36" s="46" t="s">
        <v>345</v>
      </c>
      <c r="BE36" s="46" t="s">
        <v>345</v>
      </c>
      <c r="BF36" s="46" t="s">
        <v>345</v>
      </c>
      <c r="BG36" s="46" t="s">
        <v>345</v>
      </c>
      <c r="BH36" s="46" t="s">
        <v>345</v>
      </c>
      <c r="BI36" s="46" t="s">
        <v>345</v>
      </c>
      <c r="BJ36" s="46" t="s">
        <v>345</v>
      </c>
      <c r="BK36" s="46" t="s">
        <v>345</v>
      </c>
      <c r="BL36" s="186" t="s">
        <v>345</v>
      </c>
      <c r="BM36" s="76"/>
      <c r="BN36" s="210"/>
      <c r="BO36" s="210"/>
      <c r="BP36" s="66"/>
      <c r="BQ36" s="211"/>
      <c r="BR36" s="68"/>
      <c r="BS36" s="76"/>
      <c r="BT36" s="154"/>
      <c r="BU36" s="155"/>
      <c r="BV36" s="155"/>
      <c r="BW36" s="155"/>
      <c r="BX36" s="67"/>
      <c r="BY36" s="68"/>
      <c r="BZ36" s="205"/>
      <c r="CA36" s="205"/>
      <c r="CB36" s="175"/>
      <c r="CC36" s="204"/>
      <c r="CD36" s="204"/>
      <c r="CE36" s="72"/>
      <c r="CF36" s="96"/>
      <c r="CL36" s="160"/>
    </row>
    <row r="37" spans="1:90" ht="31.5" customHeight="1">
      <c r="A37" s="937" t="str">
        <f>HYPERLINK("https://wiki.atlnz.lc/awpwiki/index.php/Qualification_Transceiver_Inventory#AT-SPSX2","AT-SPSX2")</f>
        <v>AT-SPSX2</v>
      </c>
      <c r="B37" s="59" t="s">
        <v>161</v>
      </c>
      <c r="C37" s="59"/>
      <c r="D37" s="42">
        <v>94</v>
      </c>
      <c r="E37" s="888" t="s">
        <v>346</v>
      </c>
      <c r="F37" s="888" t="s">
        <v>346</v>
      </c>
      <c r="G37" s="888" t="s">
        <v>346</v>
      </c>
      <c r="H37" s="888" t="s">
        <v>2214</v>
      </c>
      <c r="I37" s="888" t="s">
        <v>346</v>
      </c>
      <c r="J37" s="877" t="s">
        <v>319</v>
      </c>
      <c r="K37" s="162" t="s">
        <v>319</v>
      </c>
      <c r="L37" s="74"/>
      <c r="M37" s="74"/>
      <c r="N37" s="888" t="s">
        <v>346</v>
      </c>
      <c r="O37" s="888" t="s">
        <v>346</v>
      </c>
      <c r="P37" s="888" t="s">
        <v>346</v>
      </c>
      <c r="Q37" s="888" t="s">
        <v>346</v>
      </c>
      <c r="R37" s="162" t="s">
        <v>319</v>
      </c>
      <c r="S37" s="888" t="s">
        <v>346</v>
      </c>
      <c r="T37" s="888" t="s">
        <v>346</v>
      </c>
      <c r="U37" s="974" t="s">
        <v>2545</v>
      </c>
      <c r="V37" s="888" t="s">
        <v>346</v>
      </c>
      <c r="W37" s="888" t="s">
        <v>2209</v>
      </c>
      <c r="X37" s="888" t="s">
        <v>346</v>
      </c>
      <c r="Y37" s="888" t="s">
        <v>271</v>
      </c>
      <c r="Z37" s="888" t="s">
        <v>2041</v>
      </c>
      <c r="AA37" s="888" t="s">
        <v>347</v>
      </c>
      <c r="AB37" s="888" t="s">
        <v>346</v>
      </c>
      <c r="AC37" s="888" t="s">
        <v>2208</v>
      </c>
      <c r="AD37" s="845" t="s">
        <v>2395</v>
      </c>
      <c r="AE37" s="888" t="s">
        <v>346</v>
      </c>
      <c r="AF37" s="888" t="s">
        <v>348</v>
      </c>
      <c r="AG37" s="888" t="s">
        <v>346</v>
      </c>
      <c r="AH37" s="888" t="s">
        <v>346</v>
      </c>
      <c r="AI37" s="888" t="s">
        <v>346</v>
      </c>
      <c r="AJ37" s="888" t="s">
        <v>346</v>
      </c>
      <c r="AK37" s="888" t="s">
        <v>346</v>
      </c>
      <c r="AL37" s="888" t="s">
        <v>348</v>
      </c>
      <c r="AM37" s="888" t="s">
        <v>346</v>
      </c>
      <c r="AN37" s="888" t="s">
        <v>348</v>
      </c>
      <c r="AO37" s="397" t="s">
        <v>319</v>
      </c>
      <c r="AP37" s="888" t="s">
        <v>346</v>
      </c>
      <c r="AQ37" s="888" t="s">
        <v>346</v>
      </c>
      <c r="AR37" s="888" t="s">
        <v>346</v>
      </c>
      <c r="AS37" s="888" t="s">
        <v>346</v>
      </c>
      <c r="AT37" s="888" t="s">
        <v>346</v>
      </c>
      <c r="AU37" s="212"/>
      <c r="AV37" s="888" t="s">
        <v>346</v>
      </c>
      <c r="AW37" s="888" t="s">
        <v>346</v>
      </c>
      <c r="AX37" s="888" t="s">
        <v>346</v>
      </c>
      <c r="AY37" s="888" t="s">
        <v>346</v>
      </c>
      <c r="AZ37" s="888" t="s">
        <v>346</v>
      </c>
      <c r="BA37" s="888" t="s">
        <v>346</v>
      </c>
      <c r="BB37" s="888" t="s">
        <v>346</v>
      </c>
      <c r="BC37" s="195" t="s">
        <v>349</v>
      </c>
      <c r="BD37" s="888" t="s">
        <v>346</v>
      </c>
      <c r="BE37" s="888" t="s">
        <v>346</v>
      </c>
      <c r="BF37" s="888" t="s">
        <v>346</v>
      </c>
      <c r="BG37" s="888" t="s">
        <v>346</v>
      </c>
      <c r="BH37" s="163" t="s">
        <v>350</v>
      </c>
      <c r="BI37" s="163" t="s">
        <v>350</v>
      </c>
      <c r="BJ37" s="163" t="s">
        <v>350</v>
      </c>
      <c r="BK37" s="163" t="s">
        <v>350</v>
      </c>
      <c r="BL37" s="163" t="s">
        <v>351</v>
      </c>
      <c r="BM37" s="162" t="s">
        <v>319</v>
      </c>
      <c r="BN37" s="162" t="s">
        <v>319</v>
      </c>
      <c r="BO37" s="162" t="s">
        <v>319</v>
      </c>
      <c r="BP37" s="46"/>
      <c r="BQ37" s="62"/>
      <c r="BR37" s="68"/>
      <c r="BS37" s="160"/>
      <c r="BT37" s="174"/>
      <c r="BU37" s="160"/>
      <c r="BV37" s="160"/>
      <c r="BW37" s="160"/>
      <c r="BX37" s="160"/>
      <c r="BY37" s="68"/>
      <c r="BZ37" s="205"/>
      <c r="CA37" s="205"/>
      <c r="CB37" s="175"/>
      <c r="CC37" s="71"/>
      <c r="CD37" s="71"/>
      <c r="CE37" s="214"/>
      <c r="CF37" s="175"/>
      <c r="CL37" s="176"/>
    </row>
    <row r="38" spans="1:90" ht="30">
      <c r="A38" s="58" t="str">
        <f>HYPERLINK("https://wiki.atlnz.lc/awpwiki/index.php/Qualification_Transceiver_Inventory#AT-SPTX","AT-SPTX")</f>
        <v>AT-SPTX</v>
      </c>
      <c r="B38" s="59" t="s">
        <v>352</v>
      </c>
      <c r="C38" s="59"/>
      <c r="D38" s="42">
        <v>32</v>
      </c>
      <c r="E38" s="162" t="s">
        <v>165</v>
      </c>
      <c r="F38" s="162" t="s">
        <v>165</v>
      </c>
      <c r="G38" s="875" t="s">
        <v>165</v>
      </c>
      <c r="H38" s="888" t="s">
        <v>2214</v>
      </c>
      <c r="I38" s="888" t="s">
        <v>576</v>
      </c>
      <c r="J38" s="888" t="s">
        <v>2329</v>
      </c>
      <c r="K38" s="888" t="s">
        <v>2329</v>
      </c>
      <c r="L38" s="74"/>
      <c r="M38" s="74"/>
      <c r="N38" s="162" t="s">
        <v>165</v>
      </c>
      <c r="O38" s="46" t="s">
        <v>141</v>
      </c>
      <c r="P38" s="46" t="s">
        <v>141</v>
      </c>
      <c r="Q38" s="46" t="s">
        <v>138</v>
      </c>
      <c r="R38" s="46" t="s">
        <v>138</v>
      </c>
      <c r="S38" s="46" t="s">
        <v>142</v>
      </c>
      <c r="T38" s="46" t="s">
        <v>143</v>
      </c>
      <c r="U38" s="974" t="s">
        <v>2545</v>
      </c>
      <c r="V38" s="162" t="s">
        <v>319</v>
      </c>
      <c r="W38" s="916" t="s">
        <v>2280</v>
      </c>
      <c r="X38" s="43" t="s">
        <v>270</v>
      </c>
      <c r="Y38" s="163" t="s">
        <v>271</v>
      </c>
      <c r="Z38" s="147" t="s">
        <v>2041</v>
      </c>
      <c r="AA38" s="148" t="s">
        <v>272</v>
      </c>
      <c r="AB38" s="148" t="str">
        <f>HYPERLINK("https://intranet.atlnz.lc/systest/Reports/TestLink/SuiteExecC.php?plan=483426&amp;rep=F&amp;platform=225","Pass,2-7-18")</f>
        <v>Pass,2-7-18</v>
      </c>
      <c r="AC38" s="163" t="s">
        <v>2280</v>
      </c>
      <c r="AD38" s="845" t="s">
        <v>2395</v>
      </c>
      <c r="AE38" s="162" t="s">
        <v>165</v>
      </c>
      <c r="AF38" s="162" t="s">
        <v>165</v>
      </c>
      <c r="AG38" s="162" t="s">
        <v>165</v>
      </c>
      <c r="AH38" s="62" t="s">
        <v>273</v>
      </c>
      <c r="AI38" s="162" t="s">
        <v>165</v>
      </c>
      <c r="AJ38" s="215" t="str">
        <f>HYPERLINK("https://intranet.atlnz.lc/systest/Reports/TestLink/SuiteExecC.php?plan=486616&amp;rep=F&amp;platform=225","Pass, Oct'17")</f>
        <v>Pass, Oct'17</v>
      </c>
      <c r="AK38" s="215" t="str">
        <f>HYPERLINK("https://intranet.atlnz.lc/systest/Reports/TestLink/SuiteExecC.php?plan=490516&amp;rep=F&amp;platform=225","Pass, Oct 19")</f>
        <v>Pass, Oct 19</v>
      </c>
      <c r="AL38" s="216" t="s">
        <v>353</v>
      </c>
      <c r="AM38" s="216" t="s">
        <v>275</v>
      </c>
      <c r="AN38" s="216" t="s">
        <v>274</v>
      </c>
      <c r="AO38" s="888" t="s">
        <v>2360</v>
      </c>
      <c r="AP38" s="216" t="s">
        <v>354</v>
      </c>
      <c r="AQ38" s="216" t="s">
        <v>277</v>
      </c>
      <c r="AR38" s="217" t="s">
        <v>278</v>
      </c>
      <c r="AS38" s="216" t="s">
        <v>279</v>
      </c>
      <c r="AT38" s="218" t="s">
        <v>355</v>
      </c>
      <c r="AU38" s="212"/>
      <c r="AV38" s="162" t="s">
        <v>165</v>
      </c>
      <c r="AW38" s="162" t="s">
        <v>165</v>
      </c>
      <c r="AX38" s="162" t="s">
        <v>165</v>
      </c>
      <c r="AY38" s="162" t="s">
        <v>165</v>
      </c>
      <c r="AZ38" s="162" t="s">
        <v>165</v>
      </c>
      <c r="BA38" s="46" t="s">
        <v>356</v>
      </c>
      <c r="BB38" s="162" t="s">
        <v>165</v>
      </c>
      <c r="BC38" s="46" t="s">
        <v>357</v>
      </c>
      <c r="BD38" s="162" t="s">
        <v>165</v>
      </c>
      <c r="BE38" s="46" t="s">
        <v>282</v>
      </c>
      <c r="BF38" s="162" t="s">
        <v>165</v>
      </c>
      <c r="BG38" s="162" t="s">
        <v>165</v>
      </c>
      <c r="BH38" s="169" t="s">
        <v>358</v>
      </c>
      <c r="BI38" s="162" t="s">
        <v>165</v>
      </c>
      <c r="BJ38" s="162" t="s">
        <v>165</v>
      </c>
      <c r="BK38" s="46" t="s">
        <v>154</v>
      </c>
      <c r="BL38" s="219" t="s">
        <v>154</v>
      </c>
      <c r="BM38" s="76" t="s">
        <v>359</v>
      </c>
      <c r="BN38" s="162" t="s">
        <v>165</v>
      </c>
      <c r="BO38" s="168" t="s">
        <v>360</v>
      </c>
      <c r="BP38" s="66" t="s">
        <v>360</v>
      </c>
      <c r="BQ38" s="67" t="s">
        <v>360</v>
      </c>
      <c r="BR38" s="68"/>
      <c r="BS38" s="192" t="s">
        <v>361</v>
      </c>
      <c r="BT38" s="154"/>
      <c r="BU38" s="171" t="s">
        <v>295</v>
      </c>
      <c r="BV38" s="220" t="s">
        <v>159</v>
      </c>
      <c r="BW38" s="220" t="s">
        <v>159</v>
      </c>
      <c r="BX38" s="221" t="s">
        <v>159</v>
      </c>
      <c r="BY38" s="68"/>
      <c r="BZ38" s="172" t="s">
        <v>176</v>
      </c>
      <c r="CA38" s="222" t="s">
        <v>180</v>
      </c>
      <c r="CB38" s="223" t="s">
        <v>344</v>
      </c>
      <c r="CC38" s="223" t="s">
        <v>170</v>
      </c>
      <c r="CD38" s="223" t="s">
        <v>170</v>
      </c>
      <c r="CE38" s="72"/>
      <c r="CF38" s="223" t="s">
        <v>176</v>
      </c>
      <c r="CL38" s="160"/>
    </row>
    <row r="39" spans="1:90" ht="30">
      <c r="A39" s="58" t="str">
        <f>HYPERLINK("https://wiki.atlnz.lc/awpwiki/index.php/Qualification_Transceiver_Inventory#AT-SPTX_I","AT-SPTX/I")</f>
        <v>AT-SPTX/I</v>
      </c>
      <c r="B39" s="59" t="s">
        <v>163</v>
      </c>
      <c r="C39" s="59"/>
      <c r="D39" s="42">
        <v>33</v>
      </c>
      <c r="E39" s="207" t="s">
        <v>165</v>
      </c>
      <c r="F39" s="207" t="s">
        <v>165</v>
      </c>
      <c r="G39" s="226" t="s">
        <v>165</v>
      </c>
      <c r="H39" s="888" t="s">
        <v>2214</v>
      </c>
      <c r="I39" s="888" t="s">
        <v>576</v>
      </c>
      <c r="J39" s="888" t="s">
        <v>2329</v>
      </c>
      <c r="K39" s="888" t="s">
        <v>2329</v>
      </c>
      <c r="L39" s="74" t="s">
        <v>162</v>
      </c>
      <c r="M39" s="74" t="s">
        <v>162</v>
      </c>
      <c r="N39" s="207" t="s">
        <v>165</v>
      </c>
      <c r="O39" s="207" t="s">
        <v>165</v>
      </c>
      <c r="P39" s="207" t="s">
        <v>165</v>
      </c>
      <c r="Q39" s="60" t="s">
        <v>138</v>
      </c>
      <c r="R39" s="60" t="s">
        <v>138</v>
      </c>
      <c r="S39" s="207" t="s">
        <v>165</v>
      </c>
      <c r="T39" s="207" t="s">
        <v>165</v>
      </c>
      <c r="U39" s="974" t="s">
        <v>2545</v>
      </c>
      <c r="V39" s="162" t="s">
        <v>319</v>
      </c>
      <c r="W39" s="397" t="s">
        <v>319</v>
      </c>
      <c r="X39" s="209" t="s">
        <v>270</v>
      </c>
      <c r="Y39" s="207" t="s">
        <v>319</v>
      </c>
      <c r="Z39" s="147" t="s">
        <v>2041</v>
      </c>
      <c r="AA39" s="224" t="s">
        <v>362</v>
      </c>
      <c r="AB39" s="225" t="str">
        <f>HYPERLINK("https://intranet.atlnz.lc/systest/Reports/TestLink/SuiteExecC.php?plan=483426&amp;rep=F&amp;platform=1197","Pass,30-10-18")</f>
        <v>Pass,30-10-18</v>
      </c>
      <c r="AC39" s="397" t="s">
        <v>319</v>
      </c>
      <c r="AD39" s="845" t="s">
        <v>2395</v>
      </c>
      <c r="AE39" s="207" t="s">
        <v>165</v>
      </c>
      <c r="AF39" s="207" t="s">
        <v>165</v>
      </c>
      <c r="AG39" s="207" t="s">
        <v>165</v>
      </c>
      <c r="AH39" s="226" t="s">
        <v>165</v>
      </c>
      <c r="AI39" s="207" t="s">
        <v>165</v>
      </c>
      <c r="AJ39" s="227" t="str">
        <f>HYPERLINK("https://intranet.atlnz.lc/systest/Reports/TestLink/SuiteExecC.php?plan=486616&amp;rep=F&amp;platform=1197","Pass, Oct'17")</f>
        <v>Pass, Oct'17</v>
      </c>
      <c r="AK39" s="227" t="str">
        <f>HYPERLINK("https://intranet.atlnz.lc/systest/Reports/TestLink/SuiteExecC.php?plan=490516&amp;rep=F&amp;platform=1197","Pass, Oct 19")</f>
        <v>Pass, Oct 19</v>
      </c>
      <c r="AL39" s="228" t="s">
        <v>353</v>
      </c>
      <c r="AM39" s="207" t="s">
        <v>165</v>
      </c>
      <c r="AN39" s="228" t="s">
        <v>274</v>
      </c>
      <c r="AO39" s="888" t="s">
        <v>2379</v>
      </c>
      <c r="AP39" s="162" t="s">
        <v>165</v>
      </c>
      <c r="AQ39" s="162" t="s">
        <v>165</v>
      </c>
      <c r="AR39" s="217" t="s">
        <v>278</v>
      </c>
      <c r="AS39" s="216" t="s">
        <v>279</v>
      </c>
      <c r="AT39" s="162" t="s">
        <v>165</v>
      </c>
      <c r="AU39" s="212"/>
      <c r="AV39" s="60" t="s">
        <v>363</v>
      </c>
      <c r="AW39" s="229" t="s">
        <v>152</v>
      </c>
      <c r="AX39" s="60" t="s">
        <v>364</v>
      </c>
      <c r="AY39" s="207" t="s">
        <v>165</v>
      </c>
      <c r="AZ39" s="207" t="s">
        <v>165</v>
      </c>
      <c r="BA39" s="207" t="s">
        <v>165</v>
      </c>
      <c r="BB39" s="207" t="s">
        <v>165</v>
      </c>
      <c r="BC39" s="207" t="s">
        <v>165</v>
      </c>
      <c r="BD39" s="207" t="s">
        <v>165</v>
      </c>
      <c r="BE39" s="207" t="s">
        <v>165</v>
      </c>
      <c r="BF39" s="60" t="s">
        <v>365</v>
      </c>
      <c r="BG39" s="207" t="s">
        <v>165</v>
      </c>
      <c r="BH39" s="207" t="s">
        <v>165</v>
      </c>
      <c r="BI39" s="207" t="s">
        <v>165</v>
      </c>
      <c r="BJ39" s="207" t="s">
        <v>165</v>
      </c>
      <c r="BK39" s="207" t="s">
        <v>165</v>
      </c>
      <c r="BL39" s="207" t="s">
        <v>165</v>
      </c>
      <c r="BM39" s="162" t="s">
        <v>165</v>
      </c>
      <c r="BN39" s="162" t="s">
        <v>165</v>
      </c>
      <c r="BO39" s="162" t="s">
        <v>165</v>
      </c>
      <c r="BP39" s="162" t="s">
        <v>165</v>
      </c>
      <c r="BQ39" s="162" t="s">
        <v>165</v>
      </c>
      <c r="BR39" s="68"/>
      <c r="BS39" s="232"/>
      <c r="BT39" s="154"/>
      <c r="BU39" s="171"/>
      <c r="BV39" s="233"/>
      <c r="BW39" s="233"/>
      <c r="BX39" s="234"/>
      <c r="BY39" s="68"/>
      <c r="BZ39" s="172"/>
      <c r="CA39" s="222"/>
      <c r="CB39" s="223"/>
      <c r="CC39" s="223"/>
      <c r="CD39" s="223"/>
      <c r="CE39" s="72"/>
      <c r="CF39" s="223"/>
      <c r="CL39" s="160"/>
    </row>
    <row r="40" spans="1:90" ht="30">
      <c r="A40" s="937" t="str">
        <f>HYPERLINK("https://wiki.atlnz.lc/awpwiki/index.php/Qualification_Transceiver_Inventory#AT-SPTXa","AT-SPTXa")</f>
        <v>AT-SPTXa</v>
      </c>
      <c r="B40" s="59" t="s">
        <v>163</v>
      </c>
      <c r="C40" s="59"/>
      <c r="D40" s="187">
        <v>34</v>
      </c>
      <c r="E40" s="162" t="s">
        <v>165</v>
      </c>
      <c r="F40" s="162" t="s">
        <v>165</v>
      </c>
      <c r="G40" s="875" t="s">
        <v>165</v>
      </c>
      <c r="H40" s="888" t="s">
        <v>2214</v>
      </c>
      <c r="I40" s="888" t="s">
        <v>576</v>
      </c>
      <c r="J40" s="877" t="s">
        <v>319</v>
      </c>
      <c r="K40" s="162" t="s">
        <v>319</v>
      </c>
      <c r="L40" s="74" t="s">
        <v>162</v>
      </c>
      <c r="M40" s="74" t="s">
        <v>162</v>
      </c>
      <c r="N40" s="216" t="s">
        <v>277</v>
      </c>
      <c r="O40" s="216" t="s">
        <v>141</v>
      </c>
      <c r="P40" s="216" t="s">
        <v>141</v>
      </c>
      <c r="Q40" s="216" t="s">
        <v>138</v>
      </c>
      <c r="R40" s="216" t="s">
        <v>138</v>
      </c>
      <c r="S40" s="216" t="s">
        <v>142</v>
      </c>
      <c r="T40" s="216" t="s">
        <v>143</v>
      </c>
      <c r="U40" s="974" t="s">
        <v>2545</v>
      </c>
      <c r="V40" s="162" t="s">
        <v>165</v>
      </c>
      <c r="W40" s="916" t="s">
        <v>165</v>
      </c>
      <c r="X40" s="216" t="s">
        <v>270</v>
      </c>
      <c r="Y40" s="163" t="s">
        <v>271</v>
      </c>
      <c r="Z40" s="147" t="s">
        <v>2041</v>
      </c>
      <c r="AA40" s="215" t="s">
        <v>272</v>
      </c>
      <c r="AB40" s="215" t="str">
        <f>HYPERLINK("https://intranet.atlnz.lc/systest/Reports/TestLink/SuiteExecC.php?plan=483426&amp;rep=F&amp;platform=350","Pass,2-7-18")</f>
        <v>Pass,2-7-18</v>
      </c>
      <c r="AC40" s="397" t="s">
        <v>165</v>
      </c>
      <c r="AD40" s="845" t="s">
        <v>2395</v>
      </c>
      <c r="AE40" s="216" t="s">
        <v>291</v>
      </c>
      <c r="AF40" s="216" t="s">
        <v>308</v>
      </c>
      <c r="AG40" s="216" t="s">
        <v>299</v>
      </c>
      <c r="AH40" s="216" t="s">
        <v>273</v>
      </c>
      <c r="AI40" s="162" t="s">
        <v>165</v>
      </c>
      <c r="AJ40" s="215" t="str">
        <f>HYPERLINK("https://intranet.atlnz.lc/systest/Reports/TestLink/SuiteExecC.php?plan=486616&amp;rep=F&amp;platform=350","Pass, Oct'17")</f>
        <v>Pass, Oct'17</v>
      </c>
      <c r="AK40" s="215" t="str">
        <f>HYPERLINK("https://intranet.atlnz.lc/systest/Reports/TestLink/SuiteExecC.php?plan=490516&amp;rep=F&amp;platform=350","Pass, Oct'17")</f>
        <v>Pass, Oct'17</v>
      </c>
      <c r="AL40" s="216" t="s">
        <v>139</v>
      </c>
      <c r="AM40" s="216" t="s">
        <v>275</v>
      </c>
      <c r="AN40" s="216" t="s">
        <v>274</v>
      </c>
      <c r="AO40" s="397" t="s">
        <v>319</v>
      </c>
      <c r="AP40" s="216" t="s">
        <v>354</v>
      </c>
      <c r="AQ40" s="216" t="s">
        <v>277</v>
      </c>
      <c r="AR40" s="217" t="s">
        <v>278</v>
      </c>
      <c r="AS40" s="216" t="s">
        <v>279</v>
      </c>
      <c r="AT40" s="218" t="s">
        <v>366</v>
      </c>
      <c r="AU40" s="212"/>
      <c r="AV40" s="218" t="s">
        <v>303</v>
      </c>
      <c r="AW40" s="235" t="s">
        <v>152</v>
      </c>
      <c r="AX40" s="218" t="s">
        <v>303</v>
      </c>
      <c r="AY40" s="162" t="s">
        <v>165</v>
      </c>
      <c r="AZ40" s="218" t="s">
        <v>366</v>
      </c>
      <c r="BA40" s="216" t="s">
        <v>367</v>
      </c>
      <c r="BB40" s="162" t="s">
        <v>165</v>
      </c>
      <c r="BC40" s="216" t="s">
        <v>357</v>
      </c>
      <c r="BD40" s="162" t="s">
        <v>165</v>
      </c>
      <c r="BE40" s="216" t="s">
        <v>282</v>
      </c>
      <c r="BF40" s="218" t="s">
        <v>368</v>
      </c>
      <c r="BG40" s="218" t="s">
        <v>368</v>
      </c>
      <c r="BH40" s="218" t="s">
        <v>366</v>
      </c>
      <c r="BI40" s="162" t="s">
        <v>165</v>
      </c>
      <c r="BJ40" s="162" t="s">
        <v>165</v>
      </c>
      <c r="BK40" s="216" t="s">
        <v>367</v>
      </c>
      <c r="BL40" s="219" t="s">
        <v>367</v>
      </c>
      <c r="BM40" s="232" t="s">
        <v>366</v>
      </c>
      <c r="BN40" s="162" t="s">
        <v>165</v>
      </c>
      <c r="BO40" s="155" t="s">
        <v>367</v>
      </c>
      <c r="BP40" s="162" t="s">
        <v>165</v>
      </c>
      <c r="BQ40" s="237" t="s">
        <v>366</v>
      </c>
      <c r="BR40" s="68"/>
      <c r="BS40" s="181" t="s">
        <v>295</v>
      </c>
      <c r="BT40" s="154"/>
      <c r="BU40" s="171" t="s">
        <v>295</v>
      </c>
      <c r="BV40" s="233"/>
      <c r="BW40" s="233"/>
      <c r="BX40" s="234"/>
      <c r="BY40" s="68"/>
      <c r="BZ40" s="238"/>
      <c r="CA40" s="239"/>
      <c r="CB40" s="240"/>
      <c r="CC40" s="240"/>
      <c r="CD40" s="240"/>
      <c r="CE40" s="72"/>
      <c r="CF40" s="223"/>
      <c r="CL40" s="160"/>
    </row>
    <row r="41" spans="1:90" ht="30">
      <c r="A41" s="58" t="str">
        <f>HYPERLINK("https://wiki.atlnz.lc/awpwiki/index.php/Qualification_Transceiver_Inventory#AT-SPTXcA","AT-SPTXc")</f>
        <v>AT-SPTXc</v>
      </c>
      <c r="B41" s="59" t="s">
        <v>163</v>
      </c>
      <c r="C41" s="59"/>
      <c r="D41" s="187">
        <v>504</v>
      </c>
      <c r="E41" s="162" t="s">
        <v>165</v>
      </c>
      <c r="F41" s="162" t="s">
        <v>165</v>
      </c>
      <c r="G41" s="875" t="s">
        <v>165</v>
      </c>
      <c r="H41" s="888" t="s">
        <v>2214</v>
      </c>
      <c r="I41" s="888" t="s">
        <v>165</v>
      </c>
      <c r="J41" s="888" t="s">
        <v>2329</v>
      </c>
      <c r="K41" s="888" t="s">
        <v>2329</v>
      </c>
      <c r="L41" s="74" t="s">
        <v>162</v>
      </c>
      <c r="M41" s="74" t="s">
        <v>162</v>
      </c>
      <c r="N41" s="195" t="s">
        <v>2203</v>
      </c>
      <c r="O41" s="195" t="s">
        <v>2203</v>
      </c>
      <c r="P41" s="195" t="s">
        <v>2203</v>
      </c>
      <c r="Q41" s="163" t="s">
        <v>370</v>
      </c>
      <c r="R41" s="162" t="s">
        <v>165</v>
      </c>
      <c r="S41" s="195" t="s">
        <v>2203</v>
      </c>
      <c r="T41" s="195" t="s">
        <v>2203</v>
      </c>
      <c r="U41" s="974" t="s">
        <v>2545</v>
      </c>
      <c r="V41" s="163" t="s">
        <v>2185</v>
      </c>
      <c r="W41" s="917" t="s">
        <v>2207</v>
      </c>
      <c r="X41" s="195" t="s">
        <v>2203</v>
      </c>
      <c r="Y41" s="195" t="s">
        <v>2203</v>
      </c>
      <c r="Z41" s="195" t="s">
        <v>2203</v>
      </c>
      <c r="AA41" s="195" t="s">
        <v>2203</v>
      </c>
      <c r="AB41" s="195" t="s">
        <v>2203</v>
      </c>
      <c r="AC41" s="918" t="s">
        <v>2208</v>
      </c>
      <c r="AD41" s="845" t="s">
        <v>2395</v>
      </c>
      <c r="AE41" s="195" t="s">
        <v>2203</v>
      </c>
      <c r="AF41" s="195" t="s">
        <v>2203</v>
      </c>
      <c r="AG41" s="195" t="s">
        <v>2203</v>
      </c>
      <c r="AH41" s="195" t="s">
        <v>2203</v>
      </c>
      <c r="AI41" s="162" t="s">
        <v>165</v>
      </c>
      <c r="AJ41" s="195" t="s">
        <v>2203</v>
      </c>
      <c r="AK41" s="195" t="s">
        <v>2203</v>
      </c>
      <c r="AL41" s="195" t="s">
        <v>2203</v>
      </c>
      <c r="AM41" s="195" t="s">
        <v>2203</v>
      </c>
      <c r="AN41" s="195" t="s">
        <v>2203</v>
      </c>
      <c r="AO41" s="888" t="s">
        <v>2360</v>
      </c>
      <c r="AP41" s="195" t="s">
        <v>2203</v>
      </c>
      <c r="AQ41" s="195" t="s">
        <v>2203</v>
      </c>
      <c r="AR41" s="195" t="s">
        <v>2203</v>
      </c>
      <c r="AS41" s="195" t="s">
        <v>2203</v>
      </c>
      <c r="AT41" s="195" t="s">
        <v>2203</v>
      </c>
      <c r="AU41" s="212"/>
      <c r="AV41" s="162" t="s">
        <v>165</v>
      </c>
      <c r="AW41" s="162" t="s">
        <v>165</v>
      </c>
      <c r="AX41" s="162" t="s">
        <v>165</v>
      </c>
      <c r="AY41" s="162" t="s">
        <v>165</v>
      </c>
      <c r="AZ41" s="162" t="s">
        <v>165</v>
      </c>
      <c r="BA41" s="163" t="s">
        <v>370</v>
      </c>
      <c r="BB41" s="162" t="s">
        <v>165</v>
      </c>
      <c r="BC41" s="162" t="s">
        <v>165</v>
      </c>
      <c r="BD41" s="162" t="s">
        <v>165</v>
      </c>
      <c r="BE41" s="163" t="s">
        <v>370</v>
      </c>
      <c r="BF41" s="162" t="s">
        <v>165</v>
      </c>
      <c r="BG41" s="162" t="s">
        <v>165</v>
      </c>
      <c r="BH41" s="162" t="s">
        <v>165</v>
      </c>
      <c r="BI41" s="162" t="s">
        <v>165</v>
      </c>
      <c r="BJ41" s="162" t="s">
        <v>165</v>
      </c>
      <c r="BK41" s="162" t="s">
        <v>165</v>
      </c>
      <c r="BL41" s="162" t="s">
        <v>165</v>
      </c>
      <c r="BM41" s="232"/>
      <c r="BN41" s="162" t="s">
        <v>319</v>
      </c>
      <c r="BO41" s="155"/>
      <c r="BP41" s="162" t="s">
        <v>319</v>
      </c>
      <c r="BQ41" s="237"/>
      <c r="BR41" s="68"/>
      <c r="BS41" s="178"/>
      <c r="BT41" s="154"/>
      <c r="BU41" s="171"/>
      <c r="BV41" s="233"/>
      <c r="BW41" s="233"/>
      <c r="BX41" s="234"/>
      <c r="BY41" s="68"/>
      <c r="BZ41" s="238"/>
      <c r="CA41" s="239"/>
      <c r="CB41" s="240"/>
      <c r="CC41" s="240"/>
      <c r="CD41" s="240"/>
      <c r="CE41" s="72"/>
      <c r="CF41" s="223"/>
      <c r="CL41" s="160"/>
    </row>
    <row r="42" spans="1:90" ht="38.25">
      <c r="A42" s="937" t="str">
        <f>HYPERLINK("https://wiki.atlnz.lc/awpwiki/index.php/Qualification_Transceiver_Inventory#AT-SPTXcY4","AT-SPTXc")</f>
        <v>AT-SPTXc</v>
      </c>
      <c r="B42" s="59" t="s">
        <v>369</v>
      </c>
      <c r="C42" s="59"/>
      <c r="D42" s="187">
        <v>428</v>
      </c>
      <c r="E42" s="162" t="s">
        <v>165</v>
      </c>
      <c r="F42" s="162" t="s">
        <v>165</v>
      </c>
      <c r="G42" s="875" t="s">
        <v>165</v>
      </c>
      <c r="H42" s="888" t="s">
        <v>2214</v>
      </c>
      <c r="I42" s="888" t="s">
        <v>165</v>
      </c>
      <c r="J42" s="888" t="s">
        <v>165</v>
      </c>
      <c r="K42" s="888" t="s">
        <v>165</v>
      </c>
      <c r="L42" s="74"/>
      <c r="M42" s="74"/>
      <c r="N42" s="163" t="s">
        <v>370</v>
      </c>
      <c r="O42" s="163" t="s">
        <v>370</v>
      </c>
      <c r="P42" s="163" t="s">
        <v>370</v>
      </c>
      <c r="Q42" s="163" t="s">
        <v>370</v>
      </c>
      <c r="R42" s="162" t="s">
        <v>165</v>
      </c>
      <c r="S42" s="163" t="s">
        <v>370</v>
      </c>
      <c r="T42" s="163" t="s">
        <v>370</v>
      </c>
      <c r="U42" s="974" t="s">
        <v>2545</v>
      </c>
      <c r="V42" s="162" t="s">
        <v>319</v>
      </c>
      <c r="W42" s="163" t="s">
        <v>2280</v>
      </c>
      <c r="X42" s="163" t="s">
        <v>370</v>
      </c>
      <c r="Y42" s="163" t="s">
        <v>370</v>
      </c>
      <c r="Z42" s="163" t="s">
        <v>370</v>
      </c>
      <c r="AA42" s="163" t="s">
        <v>370</v>
      </c>
      <c r="AB42" s="163" t="s">
        <v>370</v>
      </c>
      <c r="AC42" s="918" t="s">
        <v>2280</v>
      </c>
      <c r="AD42" s="845" t="s">
        <v>2395</v>
      </c>
      <c r="AE42" s="888" t="s">
        <v>370</v>
      </c>
      <c r="AF42" s="888" t="s">
        <v>370</v>
      </c>
      <c r="AG42" s="888" t="s">
        <v>370</v>
      </c>
      <c r="AH42" s="888" t="s">
        <v>370</v>
      </c>
      <c r="AI42" s="162" t="s">
        <v>165</v>
      </c>
      <c r="AJ42" s="888" t="s">
        <v>370</v>
      </c>
      <c r="AK42" s="194" t="s">
        <v>333</v>
      </c>
      <c r="AL42" s="194" t="s">
        <v>333</v>
      </c>
      <c r="AM42" s="888" t="s">
        <v>370</v>
      </c>
      <c r="AN42" s="888" t="s">
        <v>370</v>
      </c>
      <c r="AO42" s="397" t="s">
        <v>319</v>
      </c>
      <c r="AP42" s="888" t="s">
        <v>371</v>
      </c>
      <c r="AQ42" s="888" t="s">
        <v>371</v>
      </c>
      <c r="AR42" s="888" t="s">
        <v>371</v>
      </c>
      <c r="AS42" s="888" t="s">
        <v>371</v>
      </c>
      <c r="AT42" s="888" t="s">
        <v>371</v>
      </c>
      <c r="AU42" s="212"/>
      <c r="AV42" s="162" t="s">
        <v>165</v>
      </c>
      <c r="AW42" s="162" t="s">
        <v>165</v>
      </c>
      <c r="AX42" s="162" t="s">
        <v>165</v>
      </c>
      <c r="AY42" s="162" t="s">
        <v>165</v>
      </c>
      <c r="AZ42" s="162" t="s">
        <v>165</v>
      </c>
      <c r="BA42" s="163" t="s">
        <v>370</v>
      </c>
      <c r="BB42" s="162" t="s">
        <v>165</v>
      </c>
      <c r="BC42" s="162" t="s">
        <v>165</v>
      </c>
      <c r="BD42" s="162" t="s">
        <v>165</v>
      </c>
      <c r="BE42" s="163" t="s">
        <v>370</v>
      </c>
      <c r="BF42" s="162" t="s">
        <v>165</v>
      </c>
      <c r="BG42" s="162" t="s">
        <v>165</v>
      </c>
      <c r="BH42" s="162" t="s">
        <v>165</v>
      </c>
      <c r="BI42" s="162" t="s">
        <v>165</v>
      </c>
      <c r="BJ42" s="162" t="s">
        <v>165</v>
      </c>
      <c r="BK42" s="162" t="s">
        <v>165</v>
      </c>
      <c r="BL42" s="162" t="s">
        <v>165</v>
      </c>
      <c r="BM42" s="232"/>
      <c r="BN42" s="162" t="s">
        <v>319</v>
      </c>
      <c r="BO42" s="155"/>
      <c r="BP42" s="162" t="s">
        <v>319</v>
      </c>
      <c r="BQ42" s="237"/>
      <c r="BR42" s="68"/>
      <c r="BS42" s="178"/>
      <c r="BT42" s="154"/>
      <c r="BU42" s="171"/>
      <c r="BV42" s="233"/>
      <c r="BW42" s="233"/>
      <c r="BX42" s="234"/>
      <c r="BY42" s="68"/>
      <c r="BZ42" s="238"/>
      <c r="CA42" s="239"/>
      <c r="CB42" s="240"/>
      <c r="CC42" s="240"/>
      <c r="CD42" s="240"/>
      <c r="CE42" s="72"/>
      <c r="CF42" s="223"/>
      <c r="CL42" s="160"/>
    </row>
    <row r="43" spans="1:90" ht="30">
      <c r="A43" s="58" t="str">
        <f>HYPERLINK("https://wiki.atlnz.lc/awpwiki/index.php/Qualification_Transceiver_Inventory#AT-SPZX120_I","AT-SPZX120/I")</f>
        <v>AT-SPZX120/I</v>
      </c>
      <c r="B43" s="59" t="s">
        <v>163</v>
      </c>
      <c r="C43" s="59"/>
      <c r="D43" s="187">
        <v>30</v>
      </c>
      <c r="E43" s="162" t="s">
        <v>319</v>
      </c>
      <c r="F43" s="162" t="s">
        <v>319</v>
      </c>
      <c r="G43" s="875" t="s">
        <v>319</v>
      </c>
      <c r="H43" s="888" t="s">
        <v>2214</v>
      </c>
      <c r="I43" s="888" t="s">
        <v>576</v>
      </c>
      <c r="J43" s="888" t="s">
        <v>2329</v>
      </c>
      <c r="K43" s="888" t="s">
        <v>2329</v>
      </c>
      <c r="L43" s="74" t="s">
        <v>162</v>
      </c>
      <c r="M43" s="74" t="s">
        <v>162</v>
      </c>
      <c r="N43" s="162" t="s">
        <v>319</v>
      </c>
      <c r="O43" s="162" t="s">
        <v>319</v>
      </c>
      <c r="P43" s="162" t="s">
        <v>319</v>
      </c>
      <c r="Q43" s="162" t="s">
        <v>319</v>
      </c>
      <c r="R43" s="162" t="s">
        <v>319</v>
      </c>
      <c r="S43" s="162" t="s">
        <v>319</v>
      </c>
      <c r="T43" s="162" t="s">
        <v>319</v>
      </c>
      <c r="U43" s="974" t="s">
        <v>2545</v>
      </c>
      <c r="V43" s="162" t="s">
        <v>319</v>
      </c>
      <c r="W43" s="397" t="s">
        <v>319</v>
      </c>
      <c r="X43" s="216" t="s">
        <v>270</v>
      </c>
      <c r="Y43" s="163" t="s">
        <v>271</v>
      </c>
      <c r="Z43" s="147" t="s">
        <v>2041</v>
      </c>
      <c r="AA43" s="215" t="s">
        <v>272</v>
      </c>
      <c r="AB43" s="215" t="str">
        <f>HYPERLINK("https://intranet.atlnz.lc/systest/Reports/TestLink/SuiteExecC.php?plan=483426&amp;rep=F&amp;platform=330","Pass,30-10-18")</f>
        <v>Pass,30-10-18</v>
      </c>
      <c r="AC43" s="918" t="s">
        <v>2208</v>
      </c>
      <c r="AD43" s="845" t="s">
        <v>2395</v>
      </c>
      <c r="AE43" s="162" t="s">
        <v>319</v>
      </c>
      <c r="AF43" s="162" t="s">
        <v>319</v>
      </c>
      <c r="AG43" s="162" t="s">
        <v>319</v>
      </c>
      <c r="AH43" s="162" t="s">
        <v>319</v>
      </c>
      <c r="AI43" s="216" t="s">
        <v>372</v>
      </c>
      <c r="AJ43" s="216" t="s">
        <v>373</v>
      </c>
      <c r="AK43" s="162" t="s">
        <v>319</v>
      </c>
      <c r="AL43" s="216" t="s">
        <v>139</v>
      </c>
      <c r="AM43" s="216" t="s">
        <v>373</v>
      </c>
      <c r="AN43" s="216" t="s">
        <v>274</v>
      </c>
      <c r="AO43" s="888" t="s">
        <v>2360</v>
      </c>
      <c r="AP43" s="216" t="s">
        <v>373</v>
      </c>
      <c r="AQ43" s="216" t="s">
        <v>374</v>
      </c>
      <c r="AR43" s="217" t="s">
        <v>278</v>
      </c>
      <c r="AS43" s="216" t="s">
        <v>279</v>
      </c>
      <c r="AT43" s="216" t="s">
        <v>373</v>
      </c>
      <c r="AU43" s="212"/>
      <c r="AV43" s="162" t="s">
        <v>319</v>
      </c>
      <c r="AW43" s="162" t="s">
        <v>319</v>
      </c>
      <c r="AX43" s="162" t="s">
        <v>319</v>
      </c>
      <c r="AY43" s="162" t="s">
        <v>319</v>
      </c>
      <c r="AZ43" s="162" t="s">
        <v>319</v>
      </c>
      <c r="BA43" s="162" t="s">
        <v>319</v>
      </c>
      <c r="BB43" s="162" t="s">
        <v>319</v>
      </c>
      <c r="BC43" s="162" t="s">
        <v>319</v>
      </c>
      <c r="BD43" s="162" t="s">
        <v>319</v>
      </c>
      <c r="BE43" s="162" t="s">
        <v>319</v>
      </c>
      <c r="BF43" s="162" t="s">
        <v>319</v>
      </c>
      <c r="BG43" s="162" t="s">
        <v>319</v>
      </c>
      <c r="BH43" s="162" t="s">
        <v>319</v>
      </c>
      <c r="BI43" s="162" t="s">
        <v>319</v>
      </c>
      <c r="BJ43" s="162" t="s">
        <v>319</v>
      </c>
      <c r="BK43" s="162" t="s">
        <v>319</v>
      </c>
      <c r="BL43" s="162" t="s">
        <v>319</v>
      </c>
      <c r="BM43" s="76"/>
      <c r="BN43" s="155"/>
      <c r="BO43" s="155"/>
      <c r="BP43" s="82"/>
      <c r="BQ43" s="67"/>
      <c r="BR43" s="68"/>
      <c r="BS43" s="160"/>
      <c r="BT43" s="154"/>
      <c r="BU43" s="155"/>
      <c r="BV43" s="155"/>
      <c r="BW43" s="155"/>
      <c r="BX43" s="67"/>
      <c r="BY43" s="68"/>
      <c r="BZ43" s="172"/>
      <c r="CA43" s="71"/>
      <c r="CB43" s="71"/>
      <c r="CC43" s="71"/>
      <c r="CD43" s="71"/>
      <c r="CE43" s="72"/>
      <c r="CF43" s="71"/>
      <c r="CL43" s="160"/>
    </row>
    <row r="44" spans="1:90" ht="30">
      <c r="A44" s="937" t="str">
        <f>HYPERLINK("https://wiki.atlnz.lc/awpwiki/index.php/Qualification_Transceiver_Inventory#AT-SPZX80","AT-SPZX80")</f>
        <v>AT-SPZX80</v>
      </c>
      <c r="B44" s="87" t="s">
        <v>161</v>
      </c>
      <c r="C44" s="87"/>
      <c r="D44" s="187">
        <v>31</v>
      </c>
      <c r="E44" s="216" t="str">
        <f>F44</f>
        <v>Pass, May 15</v>
      </c>
      <c r="F44" s="216" t="s">
        <v>269</v>
      </c>
      <c r="G44" s="876" t="s">
        <v>269</v>
      </c>
      <c r="H44" s="888" t="s">
        <v>2214</v>
      </c>
      <c r="I44" s="888" t="s">
        <v>576</v>
      </c>
      <c r="J44" s="877" t="s">
        <v>319</v>
      </c>
      <c r="K44" s="162" t="s">
        <v>319</v>
      </c>
      <c r="L44" s="74"/>
      <c r="M44" s="74"/>
      <c r="N44" s="162" t="s">
        <v>165</v>
      </c>
      <c r="O44" s="216" t="s">
        <v>141</v>
      </c>
      <c r="P44" s="216" t="s">
        <v>141</v>
      </c>
      <c r="Q44" s="216" t="s">
        <v>138</v>
      </c>
      <c r="R44" s="216" t="s">
        <v>138</v>
      </c>
      <c r="S44" s="216" t="s">
        <v>142</v>
      </c>
      <c r="T44" s="216" t="s">
        <v>143</v>
      </c>
      <c r="U44" s="974" t="s">
        <v>2545</v>
      </c>
      <c r="V44" s="162" t="s">
        <v>319</v>
      </c>
      <c r="W44" s="162" t="s">
        <v>319</v>
      </c>
      <c r="X44" s="216" t="s">
        <v>270</v>
      </c>
      <c r="Y44" s="163" t="s">
        <v>271</v>
      </c>
      <c r="Z44" s="147" t="s">
        <v>2041</v>
      </c>
      <c r="AA44" s="215" t="s">
        <v>362</v>
      </c>
      <c r="AB44" s="215" t="str">
        <f>HYPERLINK("https://intranet.atlnz.lc/systest/Reports/TestLink/SuiteExecC.php?plan=483426&amp;rep=F&amp;platform=186","Pass,2-7-18")</f>
        <v>Pass,2-7-18</v>
      </c>
      <c r="AC44" s="918" t="s">
        <v>2208</v>
      </c>
      <c r="AD44" s="845" t="s">
        <v>2395</v>
      </c>
      <c r="AE44" s="162" t="s">
        <v>165</v>
      </c>
      <c r="AF44" s="162" t="s">
        <v>165</v>
      </c>
      <c r="AG44" s="162" t="s">
        <v>165</v>
      </c>
      <c r="AH44" s="216" t="s">
        <v>273</v>
      </c>
      <c r="AI44" s="216" t="s">
        <v>144</v>
      </c>
      <c r="AJ44" s="215" t="str">
        <f>HYPERLINK("https://intranet.atlnz.lc/systest/Reports/TestLink/SuiteExecC.php?plan=486616&amp;rep=F&amp;platform=186","Pass, Oct'17")</f>
        <v>Pass, Oct'17</v>
      </c>
      <c r="AK44" s="215" t="str">
        <f>HYPERLINK("https://intranet.atlnz.lc/systest/Reports/TestLink/SuiteExecC.php?plan=490516&amp;rep=F&amp;platform=186","Pass, Jan'19")</f>
        <v>Pass, Jan'19</v>
      </c>
      <c r="AL44" s="216" t="s">
        <v>139</v>
      </c>
      <c r="AM44" s="216" t="s">
        <v>275</v>
      </c>
      <c r="AN44" s="216" t="s">
        <v>274</v>
      </c>
      <c r="AO44" s="397" t="s">
        <v>319</v>
      </c>
      <c r="AP44" s="216" t="s">
        <v>294</v>
      </c>
      <c r="AQ44" s="216" t="s">
        <v>277</v>
      </c>
      <c r="AR44" s="217" t="s">
        <v>278</v>
      </c>
      <c r="AS44" s="216" t="s">
        <v>279</v>
      </c>
      <c r="AT44" s="216" t="s">
        <v>375</v>
      </c>
      <c r="AU44" s="212"/>
      <c r="AV44" s="216" t="s">
        <v>276</v>
      </c>
      <c r="AW44" s="235" t="s">
        <v>152</v>
      </c>
      <c r="AX44" s="216" t="s">
        <v>276</v>
      </c>
      <c r="AY44" s="216" t="s">
        <v>146</v>
      </c>
      <c r="AZ44" s="218" t="s">
        <v>376</v>
      </c>
      <c r="BA44" s="216" t="s">
        <v>377</v>
      </c>
      <c r="BB44" s="216" t="s">
        <v>147</v>
      </c>
      <c r="BC44" s="162" t="s">
        <v>165</v>
      </c>
      <c r="BD44" s="216" t="s">
        <v>282</v>
      </c>
      <c r="BE44" s="216" t="s">
        <v>152</v>
      </c>
      <c r="BF44" s="216" t="s">
        <v>148</v>
      </c>
      <c r="BG44" s="216" t="s">
        <v>148</v>
      </c>
      <c r="BH44" s="216" t="s">
        <v>377</v>
      </c>
      <c r="BI44" s="218" t="s">
        <v>376</v>
      </c>
      <c r="BJ44" s="216" t="s">
        <v>377</v>
      </c>
      <c r="BK44" s="216" t="s">
        <v>377</v>
      </c>
      <c r="BL44" s="216" t="s">
        <v>377</v>
      </c>
      <c r="BM44" s="76" t="s">
        <v>377</v>
      </c>
      <c r="BN44" s="160" t="s">
        <v>377</v>
      </c>
      <c r="BO44" s="160" t="s">
        <v>377</v>
      </c>
      <c r="BP44" s="82" t="s">
        <v>377</v>
      </c>
      <c r="BQ44" s="67" t="s">
        <v>377</v>
      </c>
      <c r="BR44" s="68"/>
      <c r="BS44" s="160"/>
      <c r="BT44" s="154"/>
      <c r="BU44" s="155"/>
      <c r="BV44" s="155"/>
      <c r="BW44" s="155"/>
      <c r="BX44" s="67"/>
      <c r="BY44" s="68"/>
      <c r="BZ44" s="172"/>
      <c r="CA44" s="71"/>
      <c r="CB44" s="71"/>
      <c r="CC44" s="71"/>
      <c r="CD44" s="71"/>
      <c r="CE44" s="72"/>
      <c r="CF44" s="71"/>
      <c r="CL44" s="176"/>
    </row>
    <row r="45" spans="1:90">
      <c r="A45" s="86" t="str">
        <f>HYPERLINK("https://wiki.atlnz.lc/awpwiki/index.php/Qualification_Transceiver_Inventory#loopback","SFP LOOPBACK V2")</f>
        <v>SFP LOOPBACK V2</v>
      </c>
      <c r="B45" s="87">
        <v>1</v>
      </c>
      <c r="C45" s="87"/>
      <c r="D45" s="241">
        <v>214</v>
      </c>
      <c r="E45" s="228" t="s">
        <v>279</v>
      </c>
      <c r="F45" s="228" t="s">
        <v>279</v>
      </c>
      <c r="G45" s="228" t="s">
        <v>279</v>
      </c>
      <c r="H45" s="242" t="s">
        <v>162</v>
      </c>
      <c r="I45" s="242" t="s">
        <v>162</v>
      </c>
      <c r="J45" s="370" t="s">
        <v>2223</v>
      </c>
      <c r="K45" s="370" t="s">
        <v>2223</v>
      </c>
      <c r="L45" s="941"/>
      <c r="M45" s="941"/>
      <c r="N45" s="228" t="s">
        <v>279</v>
      </c>
      <c r="O45" s="228" t="s">
        <v>279</v>
      </c>
      <c r="P45" s="228" t="s">
        <v>279</v>
      </c>
      <c r="Q45" s="228" t="s">
        <v>279</v>
      </c>
      <c r="R45" s="228" t="s">
        <v>279</v>
      </c>
      <c r="S45" s="228" t="s">
        <v>279</v>
      </c>
      <c r="T45" s="228" t="s">
        <v>279</v>
      </c>
      <c r="U45" s="242" t="s">
        <v>162</v>
      </c>
      <c r="V45" s="242" t="s">
        <v>162</v>
      </c>
      <c r="W45" s="866" t="s">
        <v>162</v>
      </c>
      <c r="X45" s="242" t="s">
        <v>162</v>
      </c>
      <c r="Y45" s="242" t="s">
        <v>162</v>
      </c>
      <c r="Z45" s="61" t="s">
        <v>162</v>
      </c>
      <c r="AA45" s="242" t="s">
        <v>162</v>
      </c>
      <c r="AB45" s="228" t="s">
        <v>279</v>
      </c>
      <c r="AC45" s="866" t="s">
        <v>162</v>
      </c>
      <c r="AD45" s="954"/>
      <c r="AE45" s="228" t="s">
        <v>279</v>
      </c>
      <c r="AF45" s="242" t="s">
        <v>162</v>
      </c>
      <c r="AG45" s="228" t="s">
        <v>279</v>
      </c>
      <c r="AH45" s="228" t="s">
        <v>279</v>
      </c>
      <c r="AI45" s="228" t="s">
        <v>279</v>
      </c>
      <c r="AJ45" s="228" t="s">
        <v>279</v>
      </c>
      <c r="AK45" s="228" t="s">
        <v>279</v>
      </c>
      <c r="AL45" s="207"/>
      <c r="AM45" s="228" t="s">
        <v>279</v>
      </c>
      <c r="AN45" s="243"/>
      <c r="AO45" s="397" t="s">
        <v>319</v>
      </c>
      <c r="AP45" s="228" t="s">
        <v>279</v>
      </c>
      <c r="AQ45" s="228" t="s">
        <v>279</v>
      </c>
      <c r="AR45" s="228" t="s">
        <v>279</v>
      </c>
      <c r="AS45" s="228" t="s">
        <v>279</v>
      </c>
      <c r="AT45" s="228" t="s">
        <v>279</v>
      </c>
      <c r="AU45" s="244"/>
      <c r="AV45" s="228" t="s">
        <v>279</v>
      </c>
      <c r="AW45" s="245" t="s">
        <v>152</v>
      </c>
      <c r="AX45" s="228" t="s">
        <v>279</v>
      </c>
      <c r="AY45" s="228" t="s">
        <v>279</v>
      </c>
      <c r="AZ45" s="228" t="s">
        <v>279</v>
      </c>
      <c r="BA45" s="228" t="s">
        <v>279</v>
      </c>
      <c r="BB45" s="228" t="s">
        <v>279</v>
      </c>
      <c r="BC45" s="228" t="s">
        <v>279</v>
      </c>
      <c r="BD45" s="228" t="s">
        <v>279</v>
      </c>
      <c r="BE45" s="228" t="s">
        <v>279</v>
      </c>
      <c r="BF45" s="228" t="s">
        <v>279</v>
      </c>
      <c r="BG45" s="228" t="s">
        <v>279</v>
      </c>
      <c r="BH45" s="228" t="s">
        <v>279</v>
      </c>
      <c r="BI45" s="228" t="s">
        <v>279</v>
      </c>
      <c r="BJ45" s="228" t="s">
        <v>279</v>
      </c>
      <c r="BK45" s="228" t="s">
        <v>279</v>
      </c>
      <c r="BL45" s="228" t="s">
        <v>279</v>
      </c>
      <c r="BM45" s="162" t="s">
        <v>319</v>
      </c>
      <c r="BN45" s="162" t="s">
        <v>319</v>
      </c>
      <c r="BO45" s="162" t="s">
        <v>319</v>
      </c>
      <c r="BP45" s="60"/>
      <c r="BQ45" s="89"/>
      <c r="BR45" s="246"/>
      <c r="BS45" s="160"/>
      <c r="BT45" s="174"/>
      <c r="BU45" s="160"/>
      <c r="BV45" s="160"/>
      <c r="BW45" s="160"/>
      <c r="BX45" s="160"/>
      <c r="BY45" s="246"/>
      <c r="BZ45" s="205"/>
      <c r="CA45" s="205"/>
      <c r="CB45" s="175"/>
      <c r="CC45" s="175"/>
      <c r="CD45" s="175"/>
      <c r="CE45" s="247"/>
      <c r="CF45" s="175"/>
      <c r="CL45" s="176"/>
    </row>
    <row r="46" spans="1:90" s="250" customFormat="1" collapsed="1">
      <c r="A46" s="98" t="s">
        <v>378</v>
      </c>
      <c r="B46" s="99"/>
      <c r="C46" s="99"/>
      <c r="D46" s="100"/>
      <c r="E46" s="101"/>
      <c r="F46" s="101"/>
      <c r="G46" s="101"/>
      <c r="H46" s="101"/>
      <c r="I46" s="101"/>
      <c r="J46" s="101"/>
      <c r="K46" s="101"/>
      <c r="L46" s="101"/>
      <c r="M46" s="101"/>
      <c r="N46" s="101"/>
      <c r="O46" s="101"/>
      <c r="P46" s="101"/>
      <c r="Q46" s="101"/>
      <c r="R46" s="101"/>
      <c r="S46" s="101"/>
      <c r="T46" s="101"/>
      <c r="U46" s="101"/>
      <c r="V46" s="101"/>
      <c r="W46" s="101"/>
      <c r="X46" s="101"/>
      <c r="Y46" s="101"/>
      <c r="Z46" s="101"/>
      <c r="AA46" s="101"/>
      <c r="AB46" s="101"/>
      <c r="AC46" s="101"/>
      <c r="AD46" s="101"/>
      <c r="AE46" s="101"/>
      <c r="AF46" s="101"/>
      <c r="AG46" s="101"/>
      <c r="AH46" s="101"/>
      <c r="AI46" s="101"/>
      <c r="AJ46" s="101"/>
      <c r="AK46" s="101"/>
      <c r="AL46" s="101"/>
      <c r="AM46" s="101"/>
      <c r="AN46" s="101"/>
      <c r="AO46" s="101"/>
      <c r="AP46" s="101"/>
      <c r="AQ46" s="101"/>
      <c r="AR46" s="101"/>
      <c r="AS46" s="101"/>
      <c r="AT46" s="101"/>
      <c r="AU46" s="830"/>
      <c r="AV46" s="101"/>
      <c r="AW46" s="101"/>
      <c r="AX46" s="101"/>
      <c r="AY46" s="101"/>
      <c r="AZ46" s="101"/>
      <c r="BA46" s="101"/>
      <c r="BB46" s="101"/>
      <c r="BC46" s="101"/>
      <c r="BD46" s="101"/>
      <c r="BE46" s="101"/>
      <c r="BF46" s="101"/>
      <c r="BG46" s="101"/>
      <c r="BH46" s="101"/>
      <c r="BI46" s="101"/>
      <c r="BJ46" s="101"/>
      <c r="BK46" s="101"/>
      <c r="BL46" s="101"/>
      <c r="BM46" s="248"/>
      <c r="BN46" s="248"/>
      <c r="BO46" s="248"/>
      <c r="BP46" s="248"/>
      <c r="BQ46" s="248"/>
      <c r="BR46" s="834"/>
      <c r="BS46" s="248"/>
      <c r="BT46" s="248"/>
      <c r="BU46" s="248"/>
      <c r="BV46" s="248"/>
      <c r="BW46" s="248"/>
      <c r="BX46" s="248"/>
      <c r="BY46" s="834"/>
      <c r="BZ46" s="248"/>
      <c r="CA46" s="248"/>
      <c r="CB46" s="248"/>
      <c r="CC46" s="248"/>
      <c r="CD46" s="248"/>
      <c r="CE46" s="834"/>
      <c r="CF46" s="249"/>
      <c r="CG46" s="841"/>
    </row>
    <row r="47" spans="1:90" ht="15" hidden="1" customHeight="1" outlineLevel="1">
      <c r="A47" s="251" t="s">
        <v>379</v>
      </c>
      <c r="B47" s="252"/>
      <c r="C47" s="252"/>
      <c r="D47" s="100"/>
      <c r="E47" s="253"/>
      <c r="F47" s="254"/>
      <c r="G47" s="254"/>
      <c r="H47" s="254"/>
      <c r="I47" s="254"/>
      <c r="J47" s="254"/>
      <c r="K47" s="254"/>
      <c r="L47" s="254"/>
      <c r="M47" s="254"/>
      <c r="N47" s="254"/>
      <c r="O47" s="254"/>
      <c r="P47" s="254"/>
      <c r="Q47" s="254"/>
      <c r="R47" s="254"/>
      <c r="S47" s="254"/>
      <c r="T47" s="254"/>
      <c r="U47" s="254"/>
      <c r="V47" s="254"/>
      <c r="W47" s="254"/>
      <c r="X47" s="254"/>
      <c r="Y47" s="254"/>
      <c r="Z47" s="254"/>
      <c r="AA47" s="254"/>
      <c r="AB47" s="254"/>
      <c r="AC47" s="254"/>
      <c r="AD47" s="254"/>
      <c r="AE47" s="254"/>
      <c r="AF47" s="254"/>
      <c r="AG47" s="254"/>
      <c r="AH47" s="254"/>
      <c r="AI47" s="254"/>
      <c r="AJ47" s="254"/>
      <c r="AK47" s="254"/>
      <c r="AL47" s="254"/>
      <c r="AM47" s="254"/>
      <c r="AN47" s="254"/>
      <c r="AO47" s="254"/>
      <c r="AP47" s="254"/>
      <c r="AQ47" s="254"/>
      <c r="AR47" s="254"/>
      <c r="AS47" s="254"/>
      <c r="AT47" s="254"/>
      <c r="AU47" s="831"/>
      <c r="AV47" s="254"/>
      <c r="AW47" s="254"/>
      <c r="AX47" s="254"/>
      <c r="AY47" s="254"/>
      <c r="AZ47" s="254" t="s">
        <v>295</v>
      </c>
      <c r="BA47" s="254" t="s">
        <v>295</v>
      </c>
      <c r="BB47" s="254"/>
      <c r="BC47" s="254"/>
      <c r="BD47" s="254"/>
      <c r="BE47" s="254"/>
      <c r="BF47" s="254"/>
      <c r="BG47" s="254"/>
      <c r="BH47" s="254"/>
      <c r="BI47" s="254" t="s">
        <v>295</v>
      </c>
      <c r="BJ47" s="255" t="s">
        <v>155</v>
      </c>
      <c r="BK47" s="255" t="s">
        <v>154</v>
      </c>
      <c r="BL47" s="255" t="s">
        <v>285</v>
      </c>
      <c r="BM47" s="256" t="s">
        <v>295</v>
      </c>
      <c r="BN47" s="257" t="s">
        <v>295</v>
      </c>
      <c r="BO47" s="257" t="s">
        <v>295</v>
      </c>
      <c r="BP47" s="257" t="s">
        <v>295</v>
      </c>
      <c r="BQ47" s="258"/>
      <c r="BR47" s="835"/>
      <c r="BS47" s="256" t="s">
        <v>319</v>
      </c>
      <c r="BT47" s="257" t="s">
        <v>319</v>
      </c>
      <c r="BU47" s="257" t="s">
        <v>319</v>
      </c>
      <c r="BV47" s="257" t="s">
        <v>319</v>
      </c>
      <c r="BW47" s="257" t="s">
        <v>319</v>
      </c>
      <c r="BX47" s="258" t="s">
        <v>319</v>
      </c>
      <c r="BY47" s="835"/>
      <c r="BZ47" s="256" t="s">
        <v>319</v>
      </c>
      <c r="CA47" s="257" t="s">
        <v>319</v>
      </c>
      <c r="CB47" s="257" t="s">
        <v>319</v>
      </c>
      <c r="CC47" s="257" t="s">
        <v>319</v>
      </c>
      <c r="CD47" s="257" t="s">
        <v>319</v>
      </c>
      <c r="CE47" s="838"/>
      <c r="CF47" s="257" t="s">
        <v>319</v>
      </c>
      <c r="CG47" s="842"/>
    </row>
    <row r="48" spans="1:90" ht="15" hidden="1" customHeight="1" outlineLevel="1">
      <c r="A48" s="259" t="s">
        <v>380</v>
      </c>
      <c r="B48" s="260"/>
      <c r="C48" s="260"/>
      <c r="D48" s="100"/>
      <c r="E48" s="261"/>
      <c r="F48" s="262"/>
      <c r="G48" s="262"/>
      <c r="H48" s="262"/>
      <c r="I48" s="262"/>
      <c r="J48" s="262"/>
      <c r="K48" s="262"/>
      <c r="L48" s="262"/>
      <c r="M48" s="262"/>
      <c r="N48" s="262"/>
      <c r="O48" s="262"/>
      <c r="P48" s="262"/>
      <c r="Q48" s="262"/>
      <c r="R48" s="262"/>
      <c r="S48" s="262"/>
      <c r="T48" s="262"/>
      <c r="U48" s="262"/>
      <c r="V48" s="262"/>
      <c r="W48" s="262"/>
      <c r="X48" s="262"/>
      <c r="Y48" s="262"/>
      <c r="Z48" s="262"/>
      <c r="AA48" s="262"/>
      <c r="AB48" s="262"/>
      <c r="AC48" s="262"/>
      <c r="AD48" s="262"/>
      <c r="AE48" s="262"/>
      <c r="AF48" s="262"/>
      <c r="AG48" s="262"/>
      <c r="AH48" s="262"/>
      <c r="AI48" s="262"/>
      <c r="AJ48" s="262"/>
      <c r="AK48" s="262"/>
      <c r="AL48" s="262"/>
      <c r="AM48" s="262"/>
      <c r="AN48" s="262"/>
      <c r="AO48" s="262"/>
      <c r="AP48" s="262"/>
      <c r="AQ48" s="262"/>
      <c r="AR48" s="262"/>
      <c r="AS48" s="262"/>
      <c r="AT48" s="263"/>
      <c r="AU48" s="832"/>
      <c r="AV48" s="262"/>
      <c r="AW48" s="262"/>
      <c r="AX48" s="262"/>
      <c r="AY48" s="262"/>
      <c r="AZ48" s="262"/>
      <c r="BA48" s="262"/>
      <c r="BB48" s="262"/>
      <c r="BC48" s="262"/>
      <c r="BD48" s="262"/>
      <c r="BE48" s="262"/>
      <c r="BF48" s="262"/>
      <c r="BG48" s="262"/>
      <c r="BH48" s="262"/>
      <c r="BI48" s="262"/>
      <c r="BJ48" s="263"/>
      <c r="BK48" s="263"/>
      <c r="BL48" s="262"/>
      <c r="BM48" s="264"/>
      <c r="BN48" s="262"/>
      <c r="BO48" s="263"/>
      <c r="BP48" s="265"/>
      <c r="BQ48" s="266"/>
      <c r="BR48" s="836"/>
      <c r="BS48" s="264"/>
      <c r="BT48" s="262"/>
      <c r="BU48" s="265"/>
      <c r="BV48" s="262"/>
      <c r="BW48" s="265"/>
      <c r="BX48" s="263"/>
      <c r="BY48" s="836"/>
      <c r="BZ48" s="261"/>
      <c r="CA48" s="262"/>
      <c r="CB48" s="262"/>
      <c r="CC48" s="265"/>
      <c r="CD48" s="265"/>
      <c r="CE48" s="838"/>
      <c r="CF48" s="262"/>
      <c r="CG48" s="842"/>
    </row>
    <row r="49" spans="1:85" ht="15" hidden="1" customHeight="1" outlineLevel="1">
      <c r="A49" s="259" t="s">
        <v>381</v>
      </c>
      <c r="B49" s="260"/>
      <c r="C49" s="260"/>
      <c r="D49" s="100"/>
      <c r="E49" s="261"/>
      <c r="F49" s="262"/>
      <c r="G49" s="262"/>
      <c r="H49" s="262"/>
      <c r="I49" s="262"/>
      <c r="J49" s="262"/>
      <c r="K49" s="262"/>
      <c r="L49" s="262"/>
      <c r="M49" s="262"/>
      <c r="N49" s="262"/>
      <c r="O49" s="262"/>
      <c r="P49" s="262"/>
      <c r="Q49" s="262"/>
      <c r="R49" s="262"/>
      <c r="S49" s="262"/>
      <c r="T49" s="262"/>
      <c r="U49" s="262"/>
      <c r="V49" s="262"/>
      <c r="W49" s="262"/>
      <c r="X49" s="262"/>
      <c r="Y49" s="262"/>
      <c r="Z49" s="262"/>
      <c r="AA49" s="262"/>
      <c r="AB49" s="262"/>
      <c r="AC49" s="262"/>
      <c r="AD49" s="262"/>
      <c r="AE49" s="262"/>
      <c r="AF49" s="262"/>
      <c r="AG49" s="262"/>
      <c r="AH49" s="262"/>
      <c r="AI49" s="262"/>
      <c r="AJ49" s="262"/>
      <c r="AK49" s="262"/>
      <c r="AL49" s="262"/>
      <c r="AM49" s="262"/>
      <c r="AN49" s="262"/>
      <c r="AO49" s="262"/>
      <c r="AP49" s="262"/>
      <c r="AQ49" s="262"/>
      <c r="AR49" s="262"/>
      <c r="AS49" s="262"/>
      <c r="AT49" s="263"/>
      <c r="AU49" s="832"/>
      <c r="AV49" s="262"/>
      <c r="AW49" s="262"/>
      <c r="AX49" s="262"/>
      <c r="AY49" s="262"/>
      <c r="AZ49" s="262"/>
      <c r="BA49" s="262"/>
      <c r="BB49" s="262"/>
      <c r="BC49" s="262"/>
      <c r="BD49" s="262"/>
      <c r="BE49" s="262"/>
      <c r="BF49" s="262"/>
      <c r="BG49" s="262"/>
      <c r="BH49" s="262"/>
      <c r="BI49" s="262"/>
      <c r="BJ49" s="263"/>
      <c r="BK49" s="263"/>
      <c r="BL49" s="262"/>
      <c r="BM49" s="264"/>
      <c r="BN49" s="262"/>
      <c r="BO49" s="263"/>
      <c r="BP49" s="265"/>
      <c r="BQ49" s="266"/>
      <c r="BR49" s="836"/>
      <c r="BS49" s="264"/>
      <c r="BT49" s="262"/>
      <c r="BU49" s="265"/>
      <c r="BV49" s="262"/>
      <c r="BW49" s="265"/>
      <c r="BX49" s="263"/>
      <c r="BY49" s="836"/>
      <c r="BZ49" s="261"/>
      <c r="CA49" s="262"/>
      <c r="CB49" s="262"/>
      <c r="CC49" s="265"/>
      <c r="CD49" s="265"/>
      <c r="CE49" s="839"/>
      <c r="CF49" s="262"/>
      <c r="CG49" s="842"/>
    </row>
    <row r="50" spans="1:85" ht="15" hidden="1" customHeight="1" outlineLevel="1">
      <c r="A50" s="259" t="s">
        <v>382</v>
      </c>
      <c r="B50" s="260"/>
      <c r="C50" s="260"/>
      <c r="D50" s="100"/>
      <c r="E50" s="261"/>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3"/>
      <c r="AU50" s="832"/>
      <c r="AV50" s="262"/>
      <c r="AW50" s="262"/>
      <c r="AX50" s="262"/>
      <c r="AY50" s="262"/>
      <c r="AZ50" s="262"/>
      <c r="BA50" s="262"/>
      <c r="BB50" s="262"/>
      <c r="BC50" s="262"/>
      <c r="BD50" s="262"/>
      <c r="BE50" s="262"/>
      <c r="BF50" s="262"/>
      <c r="BG50" s="262"/>
      <c r="BH50" s="262"/>
      <c r="BI50" s="262"/>
      <c r="BJ50" s="263"/>
      <c r="BK50" s="263"/>
      <c r="BL50" s="262"/>
      <c r="BM50" s="264"/>
      <c r="BN50" s="262"/>
      <c r="BO50" s="263"/>
      <c r="BP50" s="265"/>
      <c r="BQ50" s="266"/>
      <c r="BR50" s="836"/>
      <c r="BS50" s="264"/>
      <c r="BT50" s="262"/>
      <c r="BU50" s="265"/>
      <c r="BV50" s="262"/>
      <c r="BW50" s="265"/>
      <c r="BX50" s="263"/>
      <c r="BY50" s="836"/>
      <c r="BZ50" s="261"/>
      <c r="CA50" s="262"/>
      <c r="CB50" s="262"/>
      <c r="CC50" s="265"/>
      <c r="CD50" s="265"/>
      <c r="CE50" s="839"/>
      <c r="CF50" s="262"/>
      <c r="CG50" s="842"/>
    </row>
    <row r="51" spans="1:85" ht="15" hidden="1" customHeight="1" outlineLevel="1">
      <c r="A51" s="259" t="s">
        <v>383</v>
      </c>
      <c r="B51" s="260"/>
      <c r="C51" s="260"/>
      <c r="D51" s="100"/>
      <c r="E51" s="261"/>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2"/>
      <c r="AH51" s="262"/>
      <c r="AI51" s="262"/>
      <c r="AJ51" s="262"/>
      <c r="AK51" s="262"/>
      <c r="AL51" s="262"/>
      <c r="AM51" s="262"/>
      <c r="AN51" s="262"/>
      <c r="AO51" s="262"/>
      <c r="AP51" s="262"/>
      <c r="AQ51" s="262"/>
      <c r="AR51" s="262"/>
      <c r="AS51" s="262"/>
      <c r="AT51" s="263"/>
      <c r="AU51" s="832"/>
      <c r="AV51" s="262"/>
      <c r="AW51" s="262"/>
      <c r="AX51" s="262"/>
      <c r="AY51" s="262"/>
      <c r="AZ51" s="262"/>
      <c r="BA51" s="262"/>
      <c r="BB51" s="262"/>
      <c r="BC51" s="262"/>
      <c r="BD51" s="262"/>
      <c r="BE51" s="262"/>
      <c r="BF51" s="262"/>
      <c r="BG51" s="262"/>
      <c r="BH51" s="262"/>
      <c r="BI51" s="262"/>
      <c r="BJ51" s="263"/>
      <c r="BK51" s="263"/>
      <c r="BL51" s="262"/>
      <c r="BM51" s="264"/>
      <c r="BN51" s="262"/>
      <c r="BO51" s="263"/>
      <c r="BP51" s="265"/>
      <c r="BQ51" s="266"/>
      <c r="BR51" s="836"/>
      <c r="BS51" s="264"/>
      <c r="BT51" s="262"/>
      <c r="BU51" s="265"/>
      <c r="BV51" s="262"/>
      <c r="BW51" s="265"/>
      <c r="BX51" s="263"/>
      <c r="BY51" s="836"/>
      <c r="BZ51" s="261"/>
      <c r="CA51" s="262"/>
      <c r="CB51" s="262"/>
      <c r="CC51" s="265"/>
      <c r="CD51" s="265"/>
      <c r="CE51" s="839"/>
      <c r="CF51" s="262"/>
      <c r="CG51" s="842"/>
    </row>
    <row r="52" spans="1:85" ht="15" hidden="1" customHeight="1" outlineLevel="1">
      <c r="A52" s="259" t="s">
        <v>384</v>
      </c>
      <c r="B52" s="260"/>
      <c r="C52" s="260"/>
      <c r="D52" s="100"/>
      <c r="E52" s="261"/>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3"/>
      <c r="AU52" s="832"/>
      <c r="AV52" s="262"/>
      <c r="AW52" s="262"/>
      <c r="AX52" s="262"/>
      <c r="AY52" s="262"/>
      <c r="AZ52" s="262"/>
      <c r="BA52" s="262"/>
      <c r="BB52" s="262"/>
      <c r="BC52" s="262"/>
      <c r="BD52" s="262"/>
      <c r="BE52" s="262"/>
      <c r="BF52" s="262"/>
      <c r="BG52" s="262"/>
      <c r="BH52" s="262"/>
      <c r="BI52" s="262"/>
      <c r="BJ52" s="263"/>
      <c r="BK52" s="263"/>
      <c r="BL52" s="262"/>
      <c r="BM52" s="264"/>
      <c r="BN52" s="262"/>
      <c r="BO52" s="263"/>
      <c r="BP52" s="265"/>
      <c r="BQ52" s="266"/>
      <c r="BR52" s="836"/>
      <c r="BS52" s="264"/>
      <c r="BT52" s="262"/>
      <c r="BU52" s="265"/>
      <c r="BV52" s="262"/>
      <c r="BW52" s="265"/>
      <c r="BX52" s="263"/>
      <c r="BY52" s="836"/>
      <c r="BZ52" s="261"/>
      <c r="CA52" s="262"/>
      <c r="CB52" s="262"/>
      <c r="CC52" s="265"/>
      <c r="CD52" s="265"/>
      <c r="CE52" s="839"/>
      <c r="CF52" s="262"/>
      <c r="CG52" s="842"/>
    </row>
    <row r="53" spans="1:85" ht="15" hidden="1" customHeight="1" outlineLevel="1">
      <c r="A53" s="259" t="s">
        <v>385</v>
      </c>
      <c r="B53" s="260"/>
      <c r="C53" s="260"/>
      <c r="D53" s="100"/>
      <c r="E53" s="261"/>
      <c r="F53" s="262"/>
      <c r="G53" s="262"/>
      <c r="H53" s="262"/>
      <c r="I53" s="262"/>
      <c r="J53" s="262"/>
      <c r="K53" s="262"/>
      <c r="L53" s="262"/>
      <c r="M53" s="262"/>
      <c r="N53" s="262"/>
      <c r="O53" s="262"/>
      <c r="P53" s="262"/>
      <c r="Q53" s="262"/>
      <c r="R53" s="262"/>
      <c r="S53" s="262"/>
      <c r="T53" s="262"/>
      <c r="U53" s="262"/>
      <c r="V53" s="262"/>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3"/>
      <c r="AU53" s="832"/>
      <c r="AV53" s="262"/>
      <c r="AW53" s="262"/>
      <c r="AX53" s="262"/>
      <c r="AY53" s="262"/>
      <c r="AZ53" s="262"/>
      <c r="BA53" s="262"/>
      <c r="BB53" s="262"/>
      <c r="BC53" s="262"/>
      <c r="BD53" s="262"/>
      <c r="BE53" s="262"/>
      <c r="BF53" s="262"/>
      <c r="BG53" s="262"/>
      <c r="BH53" s="262"/>
      <c r="BI53" s="262"/>
      <c r="BJ53" s="263"/>
      <c r="BK53" s="263"/>
      <c r="BL53" s="262"/>
      <c r="BM53" s="264"/>
      <c r="BN53" s="262"/>
      <c r="BO53" s="263"/>
      <c r="BP53" s="265"/>
      <c r="BQ53" s="266"/>
      <c r="BR53" s="836"/>
      <c r="BS53" s="264"/>
      <c r="BT53" s="262"/>
      <c r="BU53" s="265"/>
      <c r="BV53" s="262"/>
      <c r="BW53" s="265"/>
      <c r="BX53" s="263"/>
      <c r="BY53" s="836"/>
      <c r="BZ53" s="261"/>
      <c r="CA53" s="262"/>
      <c r="CB53" s="262"/>
      <c r="CC53" s="265"/>
      <c r="CD53" s="265"/>
      <c r="CE53" s="839"/>
      <c r="CF53" s="262"/>
      <c r="CG53" s="842"/>
    </row>
    <row r="54" spans="1:85" ht="15" hidden="1" customHeight="1" outlineLevel="1">
      <c r="A54" s="259" t="s">
        <v>386</v>
      </c>
      <c r="B54" s="260"/>
      <c r="C54" s="260"/>
      <c r="D54" s="100"/>
      <c r="E54" s="261"/>
      <c r="F54" s="262"/>
      <c r="G54" s="262"/>
      <c r="H54" s="262"/>
      <c r="I54" s="262"/>
      <c r="J54" s="262"/>
      <c r="K54" s="262"/>
      <c r="L54" s="262"/>
      <c r="M54" s="262"/>
      <c r="N54" s="262"/>
      <c r="O54" s="262"/>
      <c r="P54" s="262"/>
      <c r="Q54" s="262"/>
      <c r="R54" s="262"/>
      <c r="S54" s="262"/>
      <c r="T54" s="262"/>
      <c r="U54" s="262"/>
      <c r="V54" s="262"/>
      <c r="W54" s="262"/>
      <c r="X54" s="262"/>
      <c r="Y54" s="262"/>
      <c r="Z54" s="262"/>
      <c r="AA54" s="262"/>
      <c r="AB54" s="262"/>
      <c r="AC54" s="262"/>
      <c r="AD54" s="262"/>
      <c r="AE54" s="262"/>
      <c r="AF54" s="262"/>
      <c r="AG54" s="262"/>
      <c r="AH54" s="262"/>
      <c r="AI54" s="262"/>
      <c r="AJ54" s="262"/>
      <c r="AK54" s="262"/>
      <c r="AL54" s="262"/>
      <c r="AM54" s="262"/>
      <c r="AN54" s="262"/>
      <c r="AO54" s="262"/>
      <c r="AP54" s="262"/>
      <c r="AQ54" s="262"/>
      <c r="AR54" s="262"/>
      <c r="AS54" s="262"/>
      <c r="AT54" s="263"/>
      <c r="AU54" s="832"/>
      <c r="AV54" s="262"/>
      <c r="AW54" s="262"/>
      <c r="AX54" s="262"/>
      <c r="AY54" s="262"/>
      <c r="AZ54" s="262"/>
      <c r="BA54" s="262"/>
      <c r="BB54" s="262"/>
      <c r="BC54" s="262"/>
      <c r="BD54" s="262"/>
      <c r="BE54" s="262"/>
      <c r="BF54" s="262"/>
      <c r="BG54" s="262"/>
      <c r="BH54" s="262"/>
      <c r="BI54" s="262"/>
      <c r="BJ54" s="263"/>
      <c r="BK54" s="263"/>
      <c r="BL54" s="262"/>
      <c r="BM54" s="264"/>
      <c r="BN54" s="262"/>
      <c r="BO54" s="263"/>
      <c r="BP54" s="265"/>
      <c r="BQ54" s="266"/>
      <c r="BR54" s="836"/>
      <c r="BS54" s="264"/>
      <c r="BT54" s="262"/>
      <c r="BU54" s="265"/>
      <c r="BV54" s="262"/>
      <c r="BW54" s="265"/>
      <c r="BX54" s="263"/>
      <c r="BY54" s="836"/>
      <c r="BZ54" s="261"/>
      <c r="CA54" s="262"/>
      <c r="CB54" s="262"/>
      <c r="CC54" s="265"/>
      <c r="CD54" s="265"/>
      <c r="CE54" s="839"/>
      <c r="CF54" s="262"/>
      <c r="CG54" s="842"/>
    </row>
    <row r="55" spans="1:85" ht="15" hidden="1" customHeight="1" outlineLevel="1">
      <c r="A55" s="259" t="s">
        <v>387</v>
      </c>
      <c r="B55" s="260"/>
      <c r="C55" s="260"/>
      <c r="D55" s="100"/>
      <c r="E55" s="261"/>
      <c r="F55" s="262"/>
      <c r="G55" s="262"/>
      <c r="H55" s="262"/>
      <c r="I55" s="262"/>
      <c r="J55" s="262"/>
      <c r="K55" s="262"/>
      <c r="L55" s="262"/>
      <c r="M55" s="262"/>
      <c r="N55" s="262"/>
      <c r="O55" s="262"/>
      <c r="P55" s="262"/>
      <c r="Q55" s="262"/>
      <c r="R55" s="262"/>
      <c r="S55" s="262"/>
      <c r="T55" s="262"/>
      <c r="U55" s="262"/>
      <c r="V55" s="262"/>
      <c r="W55" s="262"/>
      <c r="X55" s="262"/>
      <c r="Y55" s="262"/>
      <c r="Z55" s="262"/>
      <c r="AA55" s="262"/>
      <c r="AB55" s="262"/>
      <c r="AC55" s="262"/>
      <c r="AD55" s="262"/>
      <c r="AE55" s="262"/>
      <c r="AF55" s="262"/>
      <c r="AG55" s="262"/>
      <c r="AH55" s="262"/>
      <c r="AI55" s="262"/>
      <c r="AJ55" s="262"/>
      <c r="AK55" s="262"/>
      <c r="AL55" s="262"/>
      <c r="AM55" s="262"/>
      <c r="AN55" s="262"/>
      <c r="AO55" s="262"/>
      <c r="AP55" s="262"/>
      <c r="AQ55" s="262"/>
      <c r="AR55" s="262"/>
      <c r="AS55" s="262"/>
      <c r="AT55" s="263"/>
      <c r="AU55" s="832"/>
      <c r="AV55" s="262"/>
      <c r="AW55" s="262"/>
      <c r="AX55" s="262"/>
      <c r="AY55" s="262"/>
      <c r="AZ55" s="262"/>
      <c r="BA55" s="262"/>
      <c r="BB55" s="262"/>
      <c r="BC55" s="262"/>
      <c r="BD55" s="262"/>
      <c r="BE55" s="262"/>
      <c r="BF55" s="262"/>
      <c r="BG55" s="262"/>
      <c r="BH55" s="262"/>
      <c r="BI55" s="262"/>
      <c r="BJ55" s="263"/>
      <c r="BK55" s="263"/>
      <c r="BL55" s="262"/>
      <c r="BM55" s="264"/>
      <c r="BN55" s="262"/>
      <c r="BO55" s="263"/>
      <c r="BP55" s="265"/>
      <c r="BQ55" s="266"/>
      <c r="BR55" s="836"/>
      <c r="BS55" s="264"/>
      <c r="BT55" s="262"/>
      <c r="BU55" s="265"/>
      <c r="BV55" s="262"/>
      <c r="BW55" s="265"/>
      <c r="BX55" s="263"/>
      <c r="BY55" s="836"/>
      <c r="BZ55" s="261"/>
      <c r="CA55" s="262"/>
      <c r="CB55" s="262"/>
      <c r="CC55" s="265"/>
      <c r="CD55" s="265"/>
      <c r="CE55" s="839"/>
      <c r="CF55" s="262"/>
      <c r="CG55" s="842"/>
    </row>
    <row r="56" spans="1:85" ht="15" hidden="1" customHeight="1" outlineLevel="1">
      <c r="A56" s="267" t="s">
        <v>388</v>
      </c>
      <c r="B56" s="268"/>
      <c r="C56" s="268"/>
      <c r="D56" s="100"/>
      <c r="E56" s="264"/>
      <c r="F56" s="265"/>
      <c r="G56" s="265"/>
      <c r="H56" s="265"/>
      <c r="I56" s="265"/>
      <c r="J56" s="265"/>
      <c r="K56" s="265"/>
      <c r="L56" s="265"/>
      <c r="M56" s="265"/>
      <c r="N56" s="265"/>
      <c r="O56" s="265"/>
      <c r="P56" s="265"/>
      <c r="Q56" s="265"/>
      <c r="R56" s="265"/>
      <c r="S56" s="265"/>
      <c r="T56" s="265"/>
      <c r="U56" s="265"/>
      <c r="V56" s="265"/>
      <c r="W56" s="265"/>
      <c r="X56" s="265"/>
      <c r="Y56" s="265"/>
      <c r="Z56" s="265"/>
      <c r="AA56" s="265"/>
      <c r="AB56" s="265"/>
      <c r="AC56" s="265"/>
      <c r="AD56" s="265"/>
      <c r="AE56" s="265"/>
      <c r="AF56" s="265"/>
      <c r="AG56" s="265"/>
      <c r="AH56" s="265"/>
      <c r="AI56" s="265"/>
      <c r="AJ56" s="265"/>
      <c r="AK56" s="265"/>
      <c r="AL56" s="265"/>
      <c r="AM56" s="265"/>
      <c r="AN56" s="265"/>
      <c r="AO56" s="265"/>
      <c r="AP56" s="265"/>
      <c r="AQ56" s="265"/>
      <c r="AR56" s="265"/>
      <c r="AS56" s="265"/>
      <c r="AT56" s="266"/>
      <c r="AU56" s="832"/>
      <c r="AV56" s="265"/>
      <c r="AW56" s="265"/>
      <c r="AX56" s="265"/>
      <c r="AY56" s="265"/>
      <c r="AZ56" s="265"/>
      <c r="BA56" s="265"/>
      <c r="BB56" s="265"/>
      <c r="BC56" s="265"/>
      <c r="BD56" s="265"/>
      <c r="BE56" s="265"/>
      <c r="BF56" s="265"/>
      <c r="BG56" s="265"/>
      <c r="BH56" s="265"/>
      <c r="BI56" s="265"/>
      <c r="BJ56" s="266"/>
      <c r="BK56" s="266"/>
      <c r="BL56" s="265"/>
      <c r="BM56" s="264"/>
      <c r="BN56" s="265"/>
      <c r="BO56" s="269"/>
      <c r="BP56" s="265"/>
      <c r="BQ56" s="266"/>
      <c r="BR56" s="836"/>
      <c r="BS56" s="264"/>
      <c r="BT56" s="265"/>
      <c r="BU56" s="265"/>
      <c r="BV56" s="265"/>
      <c r="BW56" s="265"/>
      <c r="BX56" s="266"/>
      <c r="BY56" s="836"/>
      <c r="BZ56" s="264"/>
      <c r="CA56" s="265"/>
      <c r="CB56" s="265"/>
      <c r="CC56" s="265"/>
      <c r="CD56" s="265"/>
      <c r="CE56" s="839"/>
      <c r="CF56" s="265"/>
      <c r="CG56" s="842"/>
    </row>
    <row r="57" spans="1:85" ht="15" hidden="1" customHeight="1" outlineLevel="1">
      <c r="A57" s="267" t="s">
        <v>389</v>
      </c>
      <c r="B57" s="268"/>
      <c r="C57" s="268"/>
      <c r="D57" s="100"/>
      <c r="E57" s="264"/>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5"/>
      <c r="AI57" s="265"/>
      <c r="AJ57" s="265"/>
      <c r="AK57" s="265"/>
      <c r="AL57" s="265"/>
      <c r="AM57" s="265"/>
      <c r="AN57" s="265"/>
      <c r="AO57" s="265"/>
      <c r="AP57" s="265"/>
      <c r="AQ57" s="265"/>
      <c r="AR57" s="265"/>
      <c r="AS57" s="265"/>
      <c r="AT57" s="266"/>
      <c r="AU57" s="832"/>
      <c r="AV57" s="265"/>
      <c r="AW57" s="265"/>
      <c r="AX57" s="265"/>
      <c r="AY57" s="265"/>
      <c r="AZ57" s="265"/>
      <c r="BA57" s="265"/>
      <c r="BB57" s="265"/>
      <c r="BC57" s="265"/>
      <c r="BD57" s="265"/>
      <c r="BE57" s="265"/>
      <c r="BF57" s="265"/>
      <c r="BG57" s="265"/>
      <c r="BH57" s="265"/>
      <c r="BI57" s="265"/>
      <c r="BJ57" s="266"/>
      <c r="BK57" s="266"/>
      <c r="BL57" s="265"/>
      <c r="BM57" s="264"/>
      <c r="BN57" s="265"/>
      <c r="BO57" s="269"/>
      <c r="BP57" s="265"/>
      <c r="BQ57" s="266"/>
      <c r="BR57" s="836"/>
      <c r="BS57" s="264"/>
      <c r="BT57" s="265"/>
      <c r="BU57" s="265"/>
      <c r="BV57" s="265"/>
      <c r="BW57" s="265"/>
      <c r="BX57" s="266"/>
      <c r="BY57" s="836"/>
      <c r="BZ57" s="264"/>
      <c r="CA57" s="265"/>
      <c r="CB57" s="265"/>
      <c r="CC57" s="265"/>
      <c r="CD57" s="265"/>
      <c r="CE57" s="839"/>
      <c r="CF57" s="265"/>
      <c r="CG57" s="842"/>
    </row>
    <row r="58" spans="1:85" ht="15" hidden="1" customHeight="1" outlineLevel="1">
      <c r="A58" s="267" t="s">
        <v>390</v>
      </c>
      <c r="B58" s="268"/>
      <c r="C58" s="268"/>
      <c r="D58" s="100"/>
      <c r="E58" s="264"/>
      <c r="F58" s="265"/>
      <c r="G58" s="265"/>
      <c r="H58" s="265"/>
      <c r="I58" s="265"/>
      <c r="J58" s="265"/>
      <c r="K58" s="265"/>
      <c r="L58" s="265"/>
      <c r="M58" s="265"/>
      <c r="N58" s="265"/>
      <c r="O58" s="265"/>
      <c r="P58" s="265"/>
      <c r="Q58" s="265"/>
      <c r="R58" s="265"/>
      <c r="S58" s="265"/>
      <c r="T58" s="265"/>
      <c r="U58" s="265"/>
      <c r="V58" s="265"/>
      <c r="W58" s="265"/>
      <c r="X58" s="265"/>
      <c r="Y58" s="265"/>
      <c r="Z58" s="265"/>
      <c r="AA58" s="265"/>
      <c r="AB58" s="265"/>
      <c r="AC58" s="265"/>
      <c r="AD58" s="265"/>
      <c r="AE58" s="265"/>
      <c r="AF58" s="265"/>
      <c r="AG58" s="265"/>
      <c r="AH58" s="265"/>
      <c r="AI58" s="265"/>
      <c r="AJ58" s="265"/>
      <c r="AK58" s="265"/>
      <c r="AL58" s="265"/>
      <c r="AM58" s="265"/>
      <c r="AN58" s="265"/>
      <c r="AO58" s="265"/>
      <c r="AP58" s="265"/>
      <c r="AQ58" s="265"/>
      <c r="AR58" s="265"/>
      <c r="AS58" s="265"/>
      <c r="AT58" s="266"/>
      <c r="AU58" s="832"/>
      <c r="AV58" s="265"/>
      <c r="AW58" s="265"/>
      <c r="AX58" s="265"/>
      <c r="AY58" s="265"/>
      <c r="AZ58" s="265"/>
      <c r="BA58" s="265"/>
      <c r="BB58" s="265"/>
      <c r="BC58" s="265"/>
      <c r="BD58" s="265"/>
      <c r="BE58" s="265"/>
      <c r="BF58" s="265"/>
      <c r="BG58" s="265"/>
      <c r="BH58" s="265"/>
      <c r="BI58" s="265"/>
      <c r="BJ58" s="266"/>
      <c r="BK58" s="266"/>
      <c r="BL58" s="265"/>
      <c r="BM58" s="264"/>
      <c r="BN58" s="265"/>
      <c r="BO58" s="269"/>
      <c r="BP58" s="265"/>
      <c r="BQ58" s="266"/>
      <c r="BR58" s="836"/>
      <c r="BS58" s="264"/>
      <c r="BT58" s="265"/>
      <c r="BU58" s="265"/>
      <c r="BV58" s="265"/>
      <c r="BW58" s="265"/>
      <c r="BX58" s="266"/>
      <c r="BY58" s="836"/>
      <c r="BZ58" s="264"/>
      <c r="CA58" s="265"/>
      <c r="CB58" s="265"/>
      <c r="CC58" s="265"/>
      <c r="CD58" s="265"/>
      <c r="CE58" s="839"/>
      <c r="CF58" s="265"/>
      <c r="CG58" s="842"/>
    </row>
    <row r="59" spans="1:85" ht="15" hidden="1" customHeight="1" outlineLevel="1">
      <c r="A59" s="267" t="s">
        <v>391</v>
      </c>
      <c r="B59" s="268"/>
      <c r="C59" s="268"/>
      <c r="D59" s="100"/>
      <c r="E59" s="264"/>
      <c r="F59" s="265"/>
      <c r="G59" s="265"/>
      <c r="H59" s="265"/>
      <c r="I59" s="265"/>
      <c r="J59" s="265"/>
      <c r="K59" s="265"/>
      <c r="L59" s="265"/>
      <c r="M59" s="265"/>
      <c r="N59" s="265"/>
      <c r="O59" s="265"/>
      <c r="P59" s="265"/>
      <c r="Q59" s="265"/>
      <c r="R59" s="265"/>
      <c r="S59" s="265"/>
      <c r="T59" s="265"/>
      <c r="U59" s="265"/>
      <c r="V59" s="265"/>
      <c r="W59" s="265"/>
      <c r="X59" s="265"/>
      <c r="Y59" s="265"/>
      <c r="Z59" s="265"/>
      <c r="AA59" s="265"/>
      <c r="AB59" s="265"/>
      <c r="AC59" s="265"/>
      <c r="AD59" s="265"/>
      <c r="AE59" s="265"/>
      <c r="AF59" s="265"/>
      <c r="AG59" s="265"/>
      <c r="AH59" s="265"/>
      <c r="AI59" s="265"/>
      <c r="AJ59" s="265"/>
      <c r="AK59" s="265"/>
      <c r="AL59" s="265"/>
      <c r="AM59" s="265"/>
      <c r="AN59" s="265"/>
      <c r="AO59" s="265"/>
      <c r="AP59" s="265"/>
      <c r="AQ59" s="265"/>
      <c r="AR59" s="265"/>
      <c r="AS59" s="265"/>
      <c r="AT59" s="266"/>
      <c r="AU59" s="832"/>
      <c r="AV59" s="265"/>
      <c r="AW59" s="265"/>
      <c r="AX59" s="265"/>
      <c r="AY59" s="265"/>
      <c r="AZ59" s="265"/>
      <c r="BA59" s="265"/>
      <c r="BB59" s="265"/>
      <c r="BC59" s="265"/>
      <c r="BD59" s="265"/>
      <c r="BE59" s="265"/>
      <c r="BF59" s="265"/>
      <c r="BG59" s="265"/>
      <c r="BH59" s="265"/>
      <c r="BI59" s="265"/>
      <c r="BJ59" s="266"/>
      <c r="BK59" s="266"/>
      <c r="BL59" s="265"/>
      <c r="BM59" s="264"/>
      <c r="BN59" s="265"/>
      <c r="BO59" s="269"/>
      <c r="BP59" s="265"/>
      <c r="BQ59" s="266"/>
      <c r="BR59" s="836"/>
      <c r="BS59" s="264"/>
      <c r="BT59" s="265"/>
      <c r="BU59" s="265"/>
      <c r="BV59" s="265"/>
      <c r="BW59" s="265"/>
      <c r="BX59" s="266"/>
      <c r="BY59" s="836"/>
      <c r="BZ59" s="264"/>
      <c r="CA59" s="265"/>
      <c r="CB59" s="265"/>
      <c r="CC59" s="265"/>
      <c r="CD59" s="265"/>
      <c r="CE59" s="839"/>
      <c r="CF59" s="265"/>
      <c r="CG59" s="842"/>
    </row>
    <row r="60" spans="1:85" ht="15" hidden="1" customHeight="1" outlineLevel="1">
      <c r="A60" s="259" t="s">
        <v>392</v>
      </c>
      <c r="B60" s="260"/>
      <c r="C60" s="260"/>
      <c r="D60" s="100"/>
      <c r="E60" s="270"/>
      <c r="F60" s="271"/>
      <c r="G60" s="271"/>
      <c r="H60" s="271"/>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1"/>
      <c r="AI60" s="271"/>
      <c r="AJ60" s="271"/>
      <c r="AK60" s="271"/>
      <c r="AL60" s="271"/>
      <c r="AM60" s="271"/>
      <c r="AN60" s="271"/>
      <c r="AO60" s="271"/>
      <c r="AP60" s="271"/>
      <c r="AQ60" s="271"/>
      <c r="AR60" s="271"/>
      <c r="AS60" s="271"/>
      <c r="AT60" s="272"/>
      <c r="AU60" s="832"/>
      <c r="AV60" s="271"/>
      <c r="AW60" s="271"/>
      <c r="AX60" s="271"/>
      <c r="AY60" s="271"/>
      <c r="AZ60" s="271"/>
      <c r="BA60" s="271"/>
      <c r="BB60" s="271"/>
      <c r="BC60" s="271"/>
      <c r="BD60" s="271"/>
      <c r="BE60" s="271"/>
      <c r="BF60" s="271"/>
      <c r="BG60" s="271"/>
      <c r="BH60" s="271"/>
      <c r="BI60" s="271"/>
      <c r="BJ60" s="272"/>
      <c r="BK60" s="272"/>
      <c r="BL60" s="271"/>
      <c r="BM60" s="270"/>
      <c r="BN60" s="271"/>
      <c r="BO60" s="274"/>
      <c r="BP60" s="271"/>
      <c r="BQ60" s="272"/>
      <c r="BR60" s="836"/>
      <c r="BS60" s="270"/>
      <c r="BT60" s="271"/>
      <c r="BU60" s="271"/>
      <c r="BV60" s="271"/>
      <c r="BW60" s="271"/>
      <c r="BX60" s="272"/>
      <c r="BY60" s="836"/>
      <c r="BZ60" s="270"/>
      <c r="CA60" s="271"/>
      <c r="CB60" s="271"/>
      <c r="CC60" s="271"/>
      <c r="CD60" s="271"/>
      <c r="CE60" s="839"/>
      <c r="CF60" s="271"/>
      <c r="CG60" s="842"/>
    </row>
    <row r="61" spans="1:85" ht="15" hidden="1" customHeight="1" outlineLevel="1">
      <c r="A61" s="259" t="s">
        <v>393</v>
      </c>
      <c r="B61" s="260"/>
      <c r="C61" s="260"/>
      <c r="D61" s="100"/>
      <c r="E61" s="270"/>
      <c r="F61" s="271"/>
      <c r="G61" s="271"/>
      <c r="H61" s="271"/>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1"/>
      <c r="AI61" s="271"/>
      <c r="AJ61" s="271"/>
      <c r="AK61" s="271"/>
      <c r="AL61" s="271"/>
      <c r="AM61" s="271"/>
      <c r="AN61" s="271"/>
      <c r="AO61" s="271"/>
      <c r="AP61" s="271"/>
      <c r="AQ61" s="271"/>
      <c r="AR61" s="271"/>
      <c r="AS61" s="271"/>
      <c r="AT61" s="272"/>
      <c r="AU61" s="832"/>
      <c r="AV61" s="271"/>
      <c r="AW61" s="271"/>
      <c r="AX61" s="271"/>
      <c r="AY61" s="271"/>
      <c r="AZ61" s="271"/>
      <c r="BA61" s="271"/>
      <c r="BB61" s="271"/>
      <c r="BC61" s="271"/>
      <c r="BD61" s="271"/>
      <c r="BE61" s="271"/>
      <c r="BF61" s="271"/>
      <c r="BG61" s="271"/>
      <c r="BH61" s="271"/>
      <c r="BI61" s="271"/>
      <c r="BJ61" s="272"/>
      <c r="BK61" s="272"/>
      <c r="BL61" s="271"/>
      <c r="BM61" s="270"/>
      <c r="BN61" s="271"/>
      <c r="BO61" s="274"/>
      <c r="BP61" s="271"/>
      <c r="BQ61" s="272"/>
      <c r="BR61" s="836"/>
      <c r="BS61" s="270"/>
      <c r="BT61" s="271"/>
      <c r="BU61" s="271"/>
      <c r="BV61" s="271"/>
      <c r="BW61" s="271"/>
      <c r="BX61" s="272"/>
      <c r="BY61" s="836"/>
      <c r="BZ61" s="270"/>
      <c r="CA61" s="271"/>
      <c r="CB61" s="271"/>
      <c r="CC61" s="271"/>
      <c r="CD61" s="271"/>
      <c r="CE61" s="839"/>
      <c r="CF61" s="271"/>
      <c r="CG61" s="842"/>
    </row>
    <row r="62" spans="1:85" ht="15" hidden="1" customHeight="1" outlineLevel="1">
      <c r="A62" s="259" t="s">
        <v>390</v>
      </c>
      <c r="B62" s="260"/>
      <c r="C62" s="260"/>
      <c r="D62" s="100"/>
      <c r="E62" s="270"/>
      <c r="F62" s="271"/>
      <c r="G62" s="271"/>
      <c r="H62" s="271"/>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c r="AI62" s="271"/>
      <c r="AJ62" s="271"/>
      <c r="AK62" s="271"/>
      <c r="AL62" s="271"/>
      <c r="AM62" s="271"/>
      <c r="AN62" s="271"/>
      <c r="AO62" s="271"/>
      <c r="AP62" s="271"/>
      <c r="AQ62" s="271"/>
      <c r="AR62" s="271"/>
      <c r="AS62" s="271"/>
      <c r="AT62" s="272"/>
      <c r="AU62" s="832"/>
      <c r="AV62" s="271"/>
      <c r="AW62" s="271"/>
      <c r="AX62" s="271"/>
      <c r="AY62" s="271"/>
      <c r="AZ62" s="271"/>
      <c r="BA62" s="271"/>
      <c r="BB62" s="271"/>
      <c r="BC62" s="271"/>
      <c r="BD62" s="271"/>
      <c r="BE62" s="271"/>
      <c r="BF62" s="271"/>
      <c r="BG62" s="271"/>
      <c r="BH62" s="271"/>
      <c r="BI62" s="271"/>
      <c r="BJ62" s="272"/>
      <c r="BK62" s="272"/>
      <c r="BL62" s="271"/>
      <c r="BM62" s="270"/>
      <c r="BN62" s="271"/>
      <c r="BO62" s="274"/>
      <c r="BP62" s="271"/>
      <c r="BQ62" s="272"/>
      <c r="BR62" s="836"/>
      <c r="BS62" s="270"/>
      <c r="BT62" s="271"/>
      <c r="BU62" s="271"/>
      <c r="BV62" s="271"/>
      <c r="BW62" s="271"/>
      <c r="BX62" s="272"/>
      <c r="BY62" s="836"/>
      <c r="BZ62" s="270"/>
      <c r="CA62" s="271"/>
      <c r="CB62" s="271"/>
      <c r="CC62" s="271"/>
      <c r="CD62" s="271"/>
      <c r="CE62" s="839"/>
      <c r="CF62" s="271"/>
      <c r="CG62" s="842"/>
    </row>
    <row r="63" spans="1:85" ht="15" hidden="1" customHeight="1" outlineLevel="1">
      <c r="A63" s="259" t="s">
        <v>391</v>
      </c>
      <c r="B63" s="260"/>
      <c r="C63" s="260"/>
      <c r="D63" s="100"/>
      <c r="E63" s="270"/>
      <c r="F63" s="271"/>
      <c r="G63" s="271"/>
      <c r="H63" s="271"/>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c r="AI63" s="271"/>
      <c r="AJ63" s="271"/>
      <c r="AK63" s="271"/>
      <c r="AL63" s="271"/>
      <c r="AM63" s="271"/>
      <c r="AN63" s="271"/>
      <c r="AO63" s="271"/>
      <c r="AP63" s="271"/>
      <c r="AQ63" s="271"/>
      <c r="AR63" s="271"/>
      <c r="AS63" s="271"/>
      <c r="AT63" s="272"/>
      <c r="AU63" s="832"/>
      <c r="AV63" s="271"/>
      <c r="AW63" s="271"/>
      <c r="AX63" s="271"/>
      <c r="AY63" s="271"/>
      <c r="AZ63" s="271"/>
      <c r="BA63" s="271"/>
      <c r="BB63" s="271"/>
      <c r="BC63" s="271"/>
      <c r="BD63" s="271"/>
      <c r="BE63" s="271"/>
      <c r="BF63" s="271"/>
      <c r="BG63" s="271"/>
      <c r="BH63" s="271"/>
      <c r="BI63" s="271"/>
      <c r="BJ63" s="272"/>
      <c r="BK63" s="272"/>
      <c r="BL63" s="271"/>
      <c r="BM63" s="270"/>
      <c r="BN63" s="271"/>
      <c r="BO63" s="274"/>
      <c r="BP63" s="271"/>
      <c r="BQ63" s="272"/>
      <c r="BR63" s="836"/>
      <c r="BS63" s="270"/>
      <c r="BT63" s="271"/>
      <c r="BU63" s="271"/>
      <c r="BV63" s="271"/>
      <c r="BW63" s="271"/>
      <c r="BX63" s="272"/>
      <c r="BY63" s="836"/>
      <c r="BZ63" s="270"/>
      <c r="CA63" s="271"/>
      <c r="CB63" s="271"/>
      <c r="CC63" s="271"/>
      <c r="CD63" s="271"/>
      <c r="CE63" s="839"/>
      <c r="CF63" s="271"/>
      <c r="CG63" s="842"/>
    </row>
    <row r="64" spans="1:85" ht="15" hidden="1" customHeight="1" outlineLevel="1">
      <c r="A64" s="259" t="s">
        <v>394</v>
      </c>
      <c r="B64" s="260"/>
      <c r="C64" s="260"/>
      <c r="D64" s="100"/>
      <c r="E64" s="270"/>
      <c r="F64" s="271"/>
      <c r="G64" s="271"/>
      <c r="H64" s="271"/>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1"/>
      <c r="AG64" s="271"/>
      <c r="AH64" s="271"/>
      <c r="AI64" s="271"/>
      <c r="AJ64" s="271"/>
      <c r="AK64" s="271"/>
      <c r="AL64" s="271"/>
      <c r="AM64" s="271"/>
      <c r="AN64" s="271"/>
      <c r="AO64" s="271"/>
      <c r="AP64" s="271"/>
      <c r="AQ64" s="271"/>
      <c r="AR64" s="271"/>
      <c r="AS64" s="271"/>
      <c r="AT64" s="272"/>
      <c r="AU64" s="832"/>
      <c r="AV64" s="271"/>
      <c r="AW64" s="271"/>
      <c r="AX64" s="271"/>
      <c r="AY64" s="271"/>
      <c r="AZ64" s="271"/>
      <c r="BA64" s="271"/>
      <c r="BB64" s="271"/>
      <c r="BC64" s="271"/>
      <c r="BD64" s="271"/>
      <c r="BE64" s="271"/>
      <c r="BF64" s="271"/>
      <c r="BG64" s="271"/>
      <c r="BH64" s="271"/>
      <c r="BI64" s="271"/>
      <c r="BJ64" s="272"/>
      <c r="BK64" s="272"/>
      <c r="BL64" s="271"/>
      <c r="BM64" s="270"/>
      <c r="BN64" s="271"/>
      <c r="BO64" s="274"/>
      <c r="BP64" s="271"/>
      <c r="BQ64" s="272"/>
      <c r="BR64" s="836"/>
      <c r="BS64" s="270"/>
      <c r="BT64" s="271"/>
      <c r="BU64" s="271"/>
      <c r="BV64" s="271"/>
      <c r="BW64" s="271"/>
      <c r="BX64" s="272"/>
      <c r="BY64" s="836"/>
      <c r="BZ64" s="270"/>
      <c r="CA64" s="271"/>
      <c r="CB64" s="271"/>
      <c r="CC64" s="271"/>
      <c r="CD64" s="271"/>
      <c r="CE64" s="839"/>
      <c r="CF64" s="271"/>
      <c r="CG64" s="842"/>
    </row>
    <row r="65" spans="1:90" ht="15" hidden="1" customHeight="1" outlineLevel="1">
      <c r="A65" s="259" t="s">
        <v>395</v>
      </c>
      <c r="B65" s="260"/>
      <c r="C65" s="260"/>
      <c r="D65" s="100"/>
      <c r="E65" s="270"/>
      <c r="F65" s="271"/>
      <c r="G65" s="271"/>
      <c r="H65" s="271"/>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1"/>
      <c r="AG65" s="271"/>
      <c r="AH65" s="271"/>
      <c r="AI65" s="271"/>
      <c r="AJ65" s="271"/>
      <c r="AK65" s="271"/>
      <c r="AL65" s="271"/>
      <c r="AM65" s="271"/>
      <c r="AN65" s="271"/>
      <c r="AO65" s="271"/>
      <c r="AP65" s="271"/>
      <c r="AQ65" s="271"/>
      <c r="AR65" s="271"/>
      <c r="AS65" s="271"/>
      <c r="AT65" s="272"/>
      <c r="AU65" s="832"/>
      <c r="AV65" s="271"/>
      <c r="AW65" s="271"/>
      <c r="AX65" s="271"/>
      <c r="AY65" s="271"/>
      <c r="AZ65" s="271"/>
      <c r="BA65" s="271"/>
      <c r="BB65" s="271"/>
      <c r="BC65" s="271"/>
      <c r="BD65" s="271"/>
      <c r="BE65" s="271"/>
      <c r="BF65" s="271"/>
      <c r="BG65" s="271"/>
      <c r="BH65" s="271"/>
      <c r="BI65" s="271"/>
      <c r="BJ65" s="272"/>
      <c r="BK65" s="272"/>
      <c r="BL65" s="271"/>
      <c r="BM65" s="270"/>
      <c r="BN65" s="271"/>
      <c r="BO65" s="274"/>
      <c r="BP65" s="271"/>
      <c r="BQ65" s="272"/>
      <c r="BR65" s="836"/>
      <c r="BS65" s="270"/>
      <c r="BT65" s="271"/>
      <c r="BU65" s="271"/>
      <c r="BV65" s="271"/>
      <c r="BW65" s="271"/>
      <c r="BX65" s="272"/>
      <c r="BY65" s="836"/>
      <c r="BZ65" s="270"/>
      <c r="CA65" s="271"/>
      <c r="CB65" s="271"/>
      <c r="CC65" s="271"/>
      <c r="CD65" s="271"/>
      <c r="CE65" s="839"/>
      <c r="CF65" s="271"/>
      <c r="CG65" s="842"/>
    </row>
    <row r="66" spans="1:90" ht="15" hidden="1" customHeight="1" outlineLevel="1">
      <c r="A66" s="259" t="s">
        <v>396</v>
      </c>
      <c r="B66" s="260"/>
      <c r="C66" s="260"/>
      <c r="D66" s="100"/>
      <c r="E66" s="270"/>
      <c r="F66" s="271"/>
      <c r="G66" s="271"/>
      <c r="H66" s="271"/>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c r="AI66" s="271"/>
      <c r="AJ66" s="271"/>
      <c r="AK66" s="271"/>
      <c r="AL66" s="271"/>
      <c r="AM66" s="271"/>
      <c r="AN66" s="271"/>
      <c r="AO66" s="271"/>
      <c r="AP66" s="271"/>
      <c r="AQ66" s="271"/>
      <c r="AR66" s="271"/>
      <c r="AS66" s="271"/>
      <c r="AT66" s="272"/>
      <c r="AU66" s="832"/>
      <c r="AV66" s="271"/>
      <c r="AW66" s="271"/>
      <c r="AX66" s="271"/>
      <c r="AY66" s="271"/>
      <c r="AZ66" s="271"/>
      <c r="BA66" s="271"/>
      <c r="BB66" s="271"/>
      <c r="BC66" s="271"/>
      <c r="BD66" s="271"/>
      <c r="BE66" s="271"/>
      <c r="BF66" s="271"/>
      <c r="BG66" s="271"/>
      <c r="BH66" s="271"/>
      <c r="BI66" s="271"/>
      <c r="BJ66" s="272"/>
      <c r="BK66" s="272"/>
      <c r="BL66" s="271"/>
      <c r="BM66" s="270"/>
      <c r="BN66" s="271"/>
      <c r="BO66" s="274"/>
      <c r="BP66" s="271"/>
      <c r="BQ66" s="272"/>
      <c r="BR66" s="836"/>
      <c r="BS66" s="270"/>
      <c r="BT66" s="271"/>
      <c r="BU66" s="271"/>
      <c r="BV66" s="271"/>
      <c r="BW66" s="271"/>
      <c r="BX66" s="272"/>
      <c r="BY66" s="836"/>
      <c r="BZ66" s="270"/>
      <c r="CA66" s="271"/>
      <c r="CB66" s="271"/>
      <c r="CC66" s="271"/>
      <c r="CD66" s="271"/>
      <c r="CE66" s="839"/>
      <c r="CF66" s="271"/>
      <c r="CG66" s="842"/>
    </row>
    <row r="67" spans="1:90" ht="15" hidden="1" customHeight="1" outlineLevel="1">
      <c r="A67" s="259" t="s">
        <v>397</v>
      </c>
      <c r="B67" s="275"/>
      <c r="C67" s="275"/>
      <c r="D67" s="100"/>
      <c r="E67" s="270"/>
      <c r="F67" s="271"/>
      <c r="G67" s="271"/>
      <c r="H67" s="271"/>
      <c r="I67" s="271"/>
      <c r="J67" s="271"/>
      <c r="K67" s="271"/>
      <c r="L67" s="271"/>
      <c r="M67" s="271"/>
      <c r="N67" s="271"/>
      <c r="O67" s="271"/>
      <c r="P67" s="271"/>
      <c r="Q67" s="271"/>
      <c r="R67" s="271"/>
      <c r="S67" s="271"/>
      <c r="T67" s="271"/>
      <c r="U67" s="271"/>
      <c r="V67" s="271"/>
      <c r="W67" s="271"/>
      <c r="X67" s="271"/>
      <c r="Y67" s="271"/>
      <c r="Z67" s="271"/>
      <c r="AA67" s="271"/>
      <c r="AB67" s="271"/>
      <c r="AC67" s="271"/>
      <c r="AD67" s="271"/>
      <c r="AE67" s="271"/>
      <c r="AF67" s="271"/>
      <c r="AG67" s="271"/>
      <c r="AH67" s="271"/>
      <c r="AI67" s="271"/>
      <c r="AJ67" s="271"/>
      <c r="AK67" s="271"/>
      <c r="AL67" s="271"/>
      <c r="AM67" s="271"/>
      <c r="AN67" s="271"/>
      <c r="AO67" s="271"/>
      <c r="AP67" s="271"/>
      <c r="AQ67" s="271"/>
      <c r="AR67" s="271"/>
      <c r="AS67" s="271"/>
      <c r="AT67" s="272"/>
      <c r="AU67" s="832"/>
      <c r="AV67" s="271"/>
      <c r="AW67" s="271"/>
      <c r="AX67" s="271"/>
      <c r="AY67" s="271"/>
      <c r="AZ67" s="271"/>
      <c r="BA67" s="271"/>
      <c r="BB67" s="271"/>
      <c r="BC67" s="271"/>
      <c r="BD67" s="271"/>
      <c r="BE67" s="271"/>
      <c r="BF67" s="271"/>
      <c r="BG67" s="271"/>
      <c r="BH67" s="271"/>
      <c r="BI67" s="271"/>
      <c r="BJ67" s="272"/>
      <c r="BK67" s="272"/>
      <c r="BL67" s="271"/>
      <c r="BM67" s="270" t="s">
        <v>344</v>
      </c>
      <c r="BN67" s="271" t="s">
        <v>344</v>
      </c>
      <c r="BO67" s="274" t="s">
        <v>344</v>
      </c>
      <c r="BP67" s="271" t="s">
        <v>344</v>
      </c>
      <c r="BQ67" s="272"/>
      <c r="BR67" s="836"/>
      <c r="BS67" s="276" t="s">
        <v>159</v>
      </c>
      <c r="BT67" s="277" t="s">
        <v>159</v>
      </c>
      <c r="BU67" s="277" t="s">
        <v>159</v>
      </c>
      <c r="BV67" s="277" t="s">
        <v>159</v>
      </c>
      <c r="BW67" s="277" t="s">
        <v>159</v>
      </c>
      <c r="BX67" s="278" t="s">
        <v>159</v>
      </c>
      <c r="BY67" s="836"/>
      <c r="BZ67" s="270" t="s">
        <v>344</v>
      </c>
      <c r="CA67" s="277" t="s">
        <v>159</v>
      </c>
      <c r="CB67" s="277" t="s">
        <v>159</v>
      </c>
      <c r="CC67" s="277" t="s">
        <v>159</v>
      </c>
      <c r="CD67" s="277" t="s">
        <v>159</v>
      </c>
      <c r="CE67" s="839"/>
      <c r="CF67" s="271" t="s">
        <v>344</v>
      </c>
      <c r="CG67" s="842"/>
    </row>
    <row r="68" spans="1:90" ht="15" hidden="1" customHeight="1" outlineLevel="1">
      <c r="A68" s="259" t="s">
        <v>398</v>
      </c>
      <c r="B68" s="275"/>
      <c r="C68" s="275"/>
      <c r="D68" s="100"/>
      <c r="E68" s="270"/>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1"/>
      <c r="AJ68" s="271"/>
      <c r="AK68" s="271"/>
      <c r="AL68" s="271"/>
      <c r="AM68" s="271"/>
      <c r="AN68" s="271"/>
      <c r="AO68" s="271"/>
      <c r="AP68" s="271"/>
      <c r="AQ68" s="271"/>
      <c r="AR68" s="271"/>
      <c r="AS68" s="271"/>
      <c r="AT68" s="272"/>
      <c r="AU68" s="832"/>
      <c r="AV68" s="271"/>
      <c r="AW68" s="271"/>
      <c r="AX68" s="271"/>
      <c r="AY68" s="271"/>
      <c r="AZ68" s="271"/>
      <c r="BA68" s="271"/>
      <c r="BB68" s="271"/>
      <c r="BC68" s="271"/>
      <c r="BD68" s="271"/>
      <c r="BE68" s="271"/>
      <c r="BF68" s="271"/>
      <c r="BG68" s="271"/>
      <c r="BH68" s="271"/>
      <c r="BI68" s="271"/>
      <c r="BJ68" s="272"/>
      <c r="BK68" s="272"/>
      <c r="BL68" s="271"/>
      <c r="BM68" s="270" t="s">
        <v>344</v>
      </c>
      <c r="BN68" s="271" t="s">
        <v>344</v>
      </c>
      <c r="BO68" s="274" t="s">
        <v>344</v>
      </c>
      <c r="BP68" s="271" t="s">
        <v>344</v>
      </c>
      <c r="BQ68" s="272"/>
      <c r="BR68" s="836"/>
      <c r="BS68" s="276" t="s">
        <v>159</v>
      </c>
      <c r="BT68" s="277" t="s">
        <v>159</v>
      </c>
      <c r="BU68" s="277" t="s">
        <v>159</v>
      </c>
      <c r="BV68" s="277" t="s">
        <v>159</v>
      </c>
      <c r="BW68" s="277" t="s">
        <v>159</v>
      </c>
      <c r="BX68" s="278" t="s">
        <v>159</v>
      </c>
      <c r="BY68" s="836"/>
      <c r="BZ68" s="270" t="s">
        <v>344</v>
      </c>
      <c r="CA68" s="277" t="s">
        <v>159</v>
      </c>
      <c r="CB68" s="277" t="s">
        <v>159</v>
      </c>
      <c r="CC68" s="277" t="s">
        <v>159</v>
      </c>
      <c r="CD68" s="277" t="s">
        <v>159</v>
      </c>
      <c r="CE68" s="839"/>
      <c r="CF68" s="271" t="s">
        <v>344</v>
      </c>
      <c r="CG68" s="842"/>
    </row>
    <row r="69" spans="1:90" ht="15" hidden="1" customHeight="1" outlineLevel="1">
      <c r="A69" s="279" t="s">
        <v>399</v>
      </c>
      <c r="B69" s="280"/>
      <c r="C69" s="280"/>
      <c r="D69" s="100"/>
      <c r="E69" s="121"/>
      <c r="F69" s="119"/>
      <c r="G69" s="119"/>
      <c r="H69" s="119"/>
      <c r="I69" s="119"/>
      <c r="J69" s="119"/>
      <c r="K69" s="119"/>
      <c r="L69" s="119"/>
      <c r="M69" s="119"/>
      <c r="N69" s="119"/>
      <c r="O69" s="119"/>
      <c r="P69" s="119"/>
      <c r="Q69" s="119"/>
      <c r="R69" s="119"/>
      <c r="S69" s="119"/>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119"/>
      <c r="AT69" s="120"/>
      <c r="AU69" s="832"/>
      <c r="AV69" s="119"/>
      <c r="AW69" s="119"/>
      <c r="AX69" s="119"/>
      <c r="AY69" s="119"/>
      <c r="AZ69" s="119"/>
      <c r="BA69" s="119"/>
      <c r="BB69" s="119"/>
      <c r="BC69" s="119"/>
      <c r="BD69" s="119"/>
      <c r="BE69" s="119"/>
      <c r="BF69" s="119"/>
      <c r="BG69" s="119"/>
      <c r="BH69" s="119"/>
      <c r="BI69" s="119"/>
      <c r="BJ69" s="120"/>
      <c r="BK69" s="120"/>
      <c r="BL69" s="119"/>
      <c r="BM69" s="121"/>
      <c r="BN69" s="119"/>
      <c r="BO69" s="122"/>
      <c r="BP69" s="119"/>
      <c r="BQ69" s="120"/>
      <c r="BR69" s="836"/>
      <c r="BS69" s="121"/>
      <c r="BT69" s="119"/>
      <c r="BU69" s="119"/>
      <c r="BV69" s="119"/>
      <c r="BW69" s="119"/>
      <c r="BX69" s="120" t="s">
        <v>159</v>
      </c>
      <c r="BY69" s="836"/>
      <c r="BZ69" s="121"/>
      <c r="CA69" s="119"/>
      <c r="CB69" s="119"/>
      <c r="CC69" s="119"/>
      <c r="CD69" s="119"/>
      <c r="CE69" s="839"/>
      <c r="CF69" s="119"/>
      <c r="CG69" s="842"/>
    </row>
    <row r="70" spans="1:90" ht="15" hidden="1" customHeight="1" outlineLevel="1">
      <c r="A70" s="281"/>
      <c r="B70" s="282"/>
      <c r="C70" s="282"/>
      <c r="D70" s="100"/>
      <c r="E70" s="283"/>
      <c r="F70" s="284"/>
      <c r="G70" s="284"/>
      <c r="H70" s="284"/>
      <c r="I70" s="284"/>
      <c r="J70" s="284"/>
      <c r="K70" s="284"/>
      <c r="L70" s="284"/>
      <c r="M70" s="284"/>
      <c r="N70" s="284"/>
      <c r="O70" s="284"/>
      <c r="P70" s="284"/>
      <c r="Q70" s="284"/>
      <c r="R70" s="284"/>
      <c r="S70" s="284"/>
      <c r="T70" s="284"/>
      <c r="U70" s="284"/>
      <c r="V70" s="284"/>
      <c r="W70" s="284"/>
      <c r="X70" s="284"/>
      <c r="Y70" s="284"/>
      <c r="Z70" s="284"/>
      <c r="AA70" s="284"/>
      <c r="AB70" s="284"/>
      <c r="AC70" s="284"/>
      <c r="AD70" s="284"/>
      <c r="AE70" s="284"/>
      <c r="AF70" s="284"/>
      <c r="AG70" s="284"/>
      <c r="AH70" s="284"/>
      <c r="AI70" s="284"/>
      <c r="AJ70" s="284"/>
      <c r="AK70" s="284"/>
      <c r="AL70" s="284"/>
      <c r="AM70" s="284"/>
      <c r="AN70" s="284"/>
      <c r="AO70" s="284"/>
      <c r="AP70" s="284"/>
      <c r="AQ70" s="284"/>
      <c r="AR70" s="284"/>
      <c r="AS70" s="284"/>
      <c r="AT70" s="285"/>
      <c r="AU70" s="832"/>
      <c r="AV70" s="284"/>
      <c r="AW70" s="284"/>
      <c r="AX70" s="284"/>
      <c r="AY70" s="284"/>
      <c r="AZ70" s="284"/>
      <c r="BA70" s="284"/>
      <c r="BB70" s="284"/>
      <c r="BC70" s="284"/>
      <c r="BD70" s="284"/>
      <c r="BE70" s="284"/>
      <c r="BF70" s="284"/>
      <c r="BG70" s="284"/>
      <c r="BH70" s="284"/>
      <c r="BI70" s="284"/>
      <c r="BJ70" s="285"/>
      <c r="BK70" s="285"/>
      <c r="BL70" s="284"/>
      <c r="BM70" s="283"/>
      <c r="BN70" s="284"/>
      <c r="BO70" s="286"/>
      <c r="BP70" s="284"/>
      <c r="BQ70" s="285"/>
      <c r="BR70" s="836"/>
      <c r="BS70" s="283"/>
      <c r="BT70" s="284"/>
      <c r="BU70" s="284" t="s">
        <v>179</v>
      </c>
      <c r="BV70" s="284"/>
      <c r="BW70" s="284"/>
      <c r="BX70" s="285" t="s">
        <v>159</v>
      </c>
      <c r="BY70" s="836"/>
      <c r="BZ70" s="283"/>
      <c r="CA70" s="284"/>
      <c r="CB70" s="284"/>
      <c r="CC70" s="284" t="s">
        <v>179</v>
      </c>
      <c r="CD70" s="284" t="s">
        <v>179</v>
      </c>
      <c r="CE70" s="839"/>
      <c r="CF70" s="284"/>
      <c r="CG70" s="842"/>
    </row>
    <row r="71" spans="1:90" ht="15" hidden="1" customHeight="1" outlineLevel="1">
      <c r="A71" s="281"/>
      <c r="B71" s="282"/>
      <c r="C71" s="282"/>
      <c r="D71" s="100"/>
      <c r="E71" s="283"/>
      <c r="F71" s="284"/>
      <c r="G71" s="284"/>
      <c r="H71" s="284"/>
      <c r="I71" s="284"/>
      <c r="J71" s="284"/>
      <c r="K71" s="284"/>
      <c r="L71" s="284"/>
      <c r="M71" s="284"/>
      <c r="N71" s="284"/>
      <c r="O71" s="284"/>
      <c r="P71" s="284"/>
      <c r="Q71" s="284"/>
      <c r="R71" s="284"/>
      <c r="S71" s="284"/>
      <c r="T71" s="284"/>
      <c r="U71" s="284"/>
      <c r="V71" s="284"/>
      <c r="W71" s="284"/>
      <c r="X71" s="284"/>
      <c r="Y71" s="284"/>
      <c r="Z71" s="284"/>
      <c r="AA71" s="284"/>
      <c r="AB71" s="284"/>
      <c r="AC71" s="284"/>
      <c r="AD71" s="284"/>
      <c r="AE71" s="284"/>
      <c r="AF71" s="284"/>
      <c r="AG71" s="284"/>
      <c r="AH71" s="284"/>
      <c r="AI71" s="284"/>
      <c r="AJ71" s="284"/>
      <c r="AK71" s="284"/>
      <c r="AL71" s="284"/>
      <c r="AM71" s="284"/>
      <c r="AN71" s="284"/>
      <c r="AO71" s="284"/>
      <c r="AP71" s="284"/>
      <c r="AQ71" s="284"/>
      <c r="AR71" s="284"/>
      <c r="AS71" s="284"/>
      <c r="AT71" s="285"/>
      <c r="AU71" s="832"/>
      <c r="AV71" s="284"/>
      <c r="AW71" s="284"/>
      <c r="AX71" s="284"/>
      <c r="AY71" s="284"/>
      <c r="AZ71" s="284"/>
      <c r="BA71" s="284"/>
      <c r="BB71" s="284"/>
      <c r="BC71" s="284"/>
      <c r="BD71" s="284"/>
      <c r="BE71" s="284"/>
      <c r="BF71" s="284"/>
      <c r="BG71" s="284"/>
      <c r="BH71" s="284"/>
      <c r="BI71" s="284"/>
      <c r="BJ71" s="285"/>
      <c r="BK71" s="285"/>
      <c r="BL71" s="284"/>
      <c r="BM71" s="283"/>
      <c r="BN71" s="284"/>
      <c r="BO71" s="286"/>
      <c r="BP71" s="284"/>
      <c r="BQ71" s="285"/>
      <c r="BR71" s="836"/>
      <c r="BS71" s="283"/>
      <c r="BT71" s="284"/>
      <c r="BU71" s="284" t="s">
        <v>179</v>
      </c>
      <c r="BV71" s="284"/>
      <c r="BW71" s="284"/>
      <c r="BX71" s="285" t="s">
        <v>159</v>
      </c>
      <c r="BY71" s="836"/>
      <c r="BZ71" s="283"/>
      <c r="CA71" s="284"/>
      <c r="CB71" s="284"/>
      <c r="CC71" s="284" t="s">
        <v>179</v>
      </c>
      <c r="CD71" s="284" t="s">
        <v>179</v>
      </c>
      <c r="CE71" s="839"/>
      <c r="CF71" s="284"/>
      <c r="CG71" s="842"/>
    </row>
    <row r="72" spans="1:90" ht="15" hidden="1" customHeight="1" outlineLevel="1">
      <c r="A72" s="281"/>
      <c r="B72" s="282"/>
      <c r="C72" s="282"/>
      <c r="D72" s="100"/>
      <c r="E72" s="283"/>
      <c r="F72" s="284"/>
      <c r="G72" s="284"/>
      <c r="H72" s="284"/>
      <c r="I72" s="284"/>
      <c r="J72" s="284"/>
      <c r="K72" s="284"/>
      <c r="L72" s="284"/>
      <c r="M72" s="284"/>
      <c r="N72" s="284"/>
      <c r="O72" s="284"/>
      <c r="P72" s="284"/>
      <c r="Q72" s="284"/>
      <c r="R72" s="284"/>
      <c r="S72" s="284"/>
      <c r="T72" s="284"/>
      <c r="U72" s="284"/>
      <c r="V72" s="284"/>
      <c r="W72" s="284"/>
      <c r="X72" s="284"/>
      <c r="Y72" s="284"/>
      <c r="Z72" s="284"/>
      <c r="AA72" s="284"/>
      <c r="AB72" s="284"/>
      <c r="AC72" s="284"/>
      <c r="AD72" s="284"/>
      <c r="AE72" s="284"/>
      <c r="AF72" s="284"/>
      <c r="AG72" s="284"/>
      <c r="AH72" s="284"/>
      <c r="AI72" s="284"/>
      <c r="AJ72" s="284"/>
      <c r="AK72" s="284"/>
      <c r="AL72" s="284"/>
      <c r="AM72" s="284"/>
      <c r="AN72" s="284"/>
      <c r="AO72" s="284"/>
      <c r="AP72" s="284"/>
      <c r="AQ72" s="284"/>
      <c r="AR72" s="284"/>
      <c r="AS72" s="284"/>
      <c r="AT72" s="285"/>
      <c r="AU72" s="832"/>
      <c r="AV72" s="284"/>
      <c r="AW72" s="284"/>
      <c r="AX72" s="284"/>
      <c r="AY72" s="284"/>
      <c r="AZ72" s="284"/>
      <c r="BA72" s="284"/>
      <c r="BB72" s="284"/>
      <c r="BC72" s="284"/>
      <c r="BD72" s="284"/>
      <c r="BE72" s="284"/>
      <c r="BF72" s="284"/>
      <c r="BG72" s="284"/>
      <c r="BH72" s="284"/>
      <c r="BI72" s="284"/>
      <c r="BJ72" s="285"/>
      <c r="BK72" s="285"/>
      <c r="BL72" s="284"/>
      <c r="BM72" s="283" t="s">
        <v>173</v>
      </c>
      <c r="BN72" s="284"/>
      <c r="BO72" s="286"/>
      <c r="BP72" s="284" t="s">
        <v>173</v>
      </c>
      <c r="BQ72" s="285"/>
      <c r="BR72" s="836"/>
      <c r="BS72" s="283"/>
      <c r="BT72" s="284"/>
      <c r="BU72" s="284" t="s">
        <v>179</v>
      </c>
      <c r="BV72" s="284"/>
      <c r="BW72" s="284"/>
      <c r="BX72" s="285" t="s">
        <v>159</v>
      </c>
      <c r="BY72" s="836"/>
      <c r="BZ72" s="283"/>
      <c r="CA72" s="284"/>
      <c r="CB72" s="284"/>
      <c r="CC72" s="284" t="s">
        <v>179</v>
      </c>
      <c r="CD72" s="284" t="s">
        <v>179</v>
      </c>
      <c r="CE72" s="839"/>
      <c r="CF72" s="284"/>
      <c r="CG72" s="842"/>
    </row>
    <row r="73" spans="1:90" ht="15" hidden="1" customHeight="1" outlineLevel="1">
      <c r="A73" s="287"/>
      <c r="B73" s="288"/>
      <c r="C73" s="288"/>
      <c r="D73" s="100"/>
      <c r="E73" s="289"/>
      <c r="F73" s="290"/>
      <c r="G73" s="290"/>
      <c r="H73" s="290"/>
      <c r="I73" s="290"/>
      <c r="J73" s="290"/>
      <c r="K73" s="290"/>
      <c r="L73" s="290"/>
      <c r="M73" s="290"/>
      <c r="N73" s="290"/>
      <c r="O73" s="290"/>
      <c r="P73" s="290"/>
      <c r="Q73" s="290"/>
      <c r="R73" s="290"/>
      <c r="S73" s="290"/>
      <c r="T73" s="290"/>
      <c r="U73" s="290"/>
      <c r="V73" s="290"/>
      <c r="W73" s="290"/>
      <c r="X73" s="290"/>
      <c r="Y73" s="290"/>
      <c r="Z73" s="290"/>
      <c r="AA73" s="290"/>
      <c r="AB73" s="290"/>
      <c r="AC73" s="290"/>
      <c r="AD73" s="290"/>
      <c r="AE73" s="290"/>
      <c r="AF73" s="290"/>
      <c r="AG73" s="290"/>
      <c r="AH73" s="290"/>
      <c r="AI73" s="290"/>
      <c r="AJ73" s="290"/>
      <c r="AK73" s="290"/>
      <c r="AL73" s="290"/>
      <c r="AM73" s="290"/>
      <c r="AN73" s="290"/>
      <c r="AO73" s="290"/>
      <c r="AP73" s="290"/>
      <c r="AQ73" s="290"/>
      <c r="AR73" s="290"/>
      <c r="AS73" s="290"/>
      <c r="AT73" s="291"/>
      <c r="AU73" s="833"/>
      <c r="AV73" s="290"/>
      <c r="AW73" s="290"/>
      <c r="AX73" s="290"/>
      <c r="AY73" s="290"/>
      <c r="AZ73" s="290"/>
      <c r="BA73" s="290"/>
      <c r="BB73" s="290"/>
      <c r="BC73" s="290"/>
      <c r="BD73" s="290"/>
      <c r="BE73" s="290"/>
      <c r="BF73" s="290"/>
      <c r="BG73" s="290"/>
      <c r="BH73" s="290"/>
      <c r="BI73" s="290"/>
      <c r="BJ73" s="291"/>
      <c r="BK73" s="291"/>
      <c r="BL73" s="290"/>
      <c r="BM73" s="289" t="s">
        <v>173</v>
      </c>
      <c r="BN73" s="290"/>
      <c r="BO73" s="292"/>
      <c r="BP73" s="290" t="s">
        <v>173</v>
      </c>
      <c r="BQ73" s="291"/>
      <c r="BR73" s="837"/>
      <c r="BS73" s="289"/>
      <c r="BT73" s="290"/>
      <c r="BU73" s="290" t="s">
        <v>179</v>
      </c>
      <c r="BV73" s="290"/>
      <c r="BW73" s="290"/>
      <c r="BX73" s="291" t="s">
        <v>159</v>
      </c>
      <c r="BY73" s="837"/>
      <c r="BZ73" s="289"/>
      <c r="CA73" s="290"/>
      <c r="CB73" s="290"/>
      <c r="CC73" s="290" t="s">
        <v>179</v>
      </c>
      <c r="CD73" s="290" t="s">
        <v>179</v>
      </c>
      <c r="CE73" s="840"/>
      <c r="CF73" s="290"/>
      <c r="CG73" s="842"/>
    </row>
    <row r="74" spans="1:90" collapsed="1">
      <c r="A74" s="98" t="s">
        <v>400</v>
      </c>
      <c r="B74" s="99"/>
      <c r="C74" s="99"/>
      <c r="D74" s="100"/>
      <c r="E74" s="101"/>
      <c r="F74" s="101"/>
      <c r="G74" s="101"/>
      <c r="H74" s="101"/>
      <c r="I74" s="101"/>
      <c r="J74" s="101"/>
      <c r="K74" s="101"/>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01"/>
      <c r="AL74" s="101"/>
      <c r="AM74" s="101"/>
      <c r="AN74" s="101"/>
      <c r="AO74" s="101"/>
      <c r="AP74" s="101"/>
      <c r="AQ74" s="101"/>
      <c r="AR74" s="101"/>
      <c r="AS74" s="101"/>
      <c r="AT74" s="101"/>
      <c r="AU74" s="101"/>
      <c r="AV74" s="101"/>
      <c r="AW74" s="101"/>
      <c r="AX74" s="101"/>
      <c r="AY74" s="101"/>
      <c r="AZ74" s="101"/>
      <c r="BA74" s="101"/>
      <c r="BB74" s="101"/>
      <c r="BC74" s="101"/>
      <c r="BD74" s="101"/>
      <c r="BE74" s="101"/>
      <c r="BF74" s="101"/>
      <c r="BG74" s="101"/>
      <c r="BH74" s="101"/>
      <c r="BI74" s="101"/>
      <c r="BJ74" s="101"/>
      <c r="BK74" s="101"/>
      <c r="BL74" s="101"/>
      <c r="BM74" s="248"/>
      <c r="BN74" s="248"/>
      <c r="BO74" s="248"/>
      <c r="BP74" s="248"/>
      <c r="BQ74" s="248"/>
      <c r="BR74" s="248"/>
      <c r="BS74" s="248"/>
      <c r="BT74" s="248"/>
      <c r="BU74" s="248"/>
      <c r="BV74" s="248"/>
      <c r="BW74" s="248"/>
      <c r="BX74" s="248"/>
      <c r="BY74" s="248"/>
      <c r="BZ74" s="248"/>
      <c r="CA74" s="248"/>
      <c r="CB74" s="248"/>
      <c r="CC74" s="248"/>
      <c r="CD74" s="248"/>
      <c r="CE74" s="248"/>
      <c r="CF74" s="102"/>
    </row>
    <row r="75" spans="1:90" ht="30" hidden="1" outlineLevel="1" collapsed="1">
      <c r="A75" s="937" t="str">
        <f>HYPERLINK("https://wiki.atlnz.lc/awpwiki/index.php/Qualification_Transceiver_Inventory#AT-SPSX_E","AT-SPSX")</f>
        <v>AT-SPSX</v>
      </c>
      <c r="B75" s="59" t="s">
        <v>324</v>
      </c>
      <c r="C75" s="59"/>
      <c r="D75" s="42">
        <v>25</v>
      </c>
      <c r="E75" s="161" t="str">
        <f>F75</f>
        <v>Pass, May 15</v>
      </c>
      <c r="F75" s="46" t="s">
        <v>269</v>
      </c>
      <c r="G75" s="62" t="s">
        <v>269</v>
      </c>
      <c r="H75" s="888" t="s">
        <v>2214</v>
      </c>
      <c r="I75" s="888" t="s">
        <v>576</v>
      </c>
      <c r="J75" s="877" t="s">
        <v>319</v>
      </c>
      <c r="K75" s="162" t="s">
        <v>319</v>
      </c>
      <c r="L75" s="74"/>
      <c r="M75" s="74"/>
      <c r="N75" s="46" t="s">
        <v>277</v>
      </c>
      <c r="O75" s="46" t="s">
        <v>141</v>
      </c>
      <c r="P75" s="46" t="s">
        <v>141</v>
      </c>
      <c r="Q75" s="46" t="s">
        <v>138</v>
      </c>
      <c r="R75" s="46" t="s">
        <v>138</v>
      </c>
      <c r="S75" s="46" t="s">
        <v>142</v>
      </c>
      <c r="T75" s="46" t="s">
        <v>143</v>
      </c>
      <c r="U75" s="242" t="s">
        <v>162</v>
      </c>
      <c r="V75" s="162" t="s">
        <v>319</v>
      </c>
      <c r="W75" s="397" t="s">
        <v>319</v>
      </c>
      <c r="X75" s="43" t="s">
        <v>270</v>
      </c>
      <c r="Y75" s="163" t="s">
        <v>271</v>
      </c>
      <c r="Z75" s="147" t="s">
        <v>2041</v>
      </c>
      <c r="AA75" s="148" t="s">
        <v>272</v>
      </c>
      <c r="AB75" s="71" t="str">
        <f>HYPERLINK("https://intranet.atlnz.lc/systest/Reports/TestLink/SuiteExecC.php?plan=483426&amp;rep=F&amp;platform=181","Pass,2-7-18")</f>
        <v>Pass,2-7-18</v>
      </c>
      <c r="AC75" s="397" t="s">
        <v>319</v>
      </c>
      <c r="AD75" s="845" t="s">
        <v>2395</v>
      </c>
      <c r="AE75" s="46" t="s">
        <v>291</v>
      </c>
      <c r="AF75" s="43" t="s">
        <v>308</v>
      </c>
      <c r="AG75" s="46" t="s">
        <v>299</v>
      </c>
      <c r="AH75" s="162" t="s">
        <v>165</v>
      </c>
      <c r="AI75" s="46" t="s">
        <v>144</v>
      </c>
      <c r="AJ75" s="164" t="str">
        <f>HYPERLINK("https://intranet.atlnz.lc/systest/Reports/TestLink/SuiteExecC.php?plan=486616&amp;rep=F&amp;platform=181","Pass, Oct'17")</f>
        <v>Pass, Oct'17</v>
      </c>
      <c r="AK75" s="198" t="s">
        <v>325</v>
      </c>
      <c r="AL75" s="46" t="s">
        <v>139</v>
      </c>
      <c r="AM75" s="46" t="s">
        <v>275</v>
      </c>
      <c r="AN75" s="46" t="s">
        <v>274</v>
      </c>
      <c r="AO75" s="397" t="s">
        <v>319</v>
      </c>
      <c r="AP75" s="46" t="s">
        <v>294</v>
      </c>
      <c r="AQ75" s="46" t="s">
        <v>277</v>
      </c>
      <c r="AR75" s="165" t="s">
        <v>278</v>
      </c>
      <c r="AS75" s="43" t="s">
        <v>279</v>
      </c>
      <c r="AT75" s="62" t="s">
        <v>280</v>
      </c>
      <c r="AU75" s="63"/>
      <c r="AV75" s="169" t="s">
        <v>303</v>
      </c>
      <c r="AW75" s="166" t="s">
        <v>152</v>
      </c>
      <c r="AX75" s="169" t="s">
        <v>303</v>
      </c>
      <c r="AY75" s="46" t="s">
        <v>146</v>
      </c>
      <c r="AZ75" s="46" t="s">
        <v>281</v>
      </c>
      <c r="BA75" s="46" t="s">
        <v>150</v>
      </c>
      <c r="BB75" s="46" t="s">
        <v>147</v>
      </c>
      <c r="BC75" s="46" t="s">
        <v>304</v>
      </c>
      <c r="BD75" s="46" t="s">
        <v>282</v>
      </c>
      <c r="BE75" s="46" t="s">
        <v>152</v>
      </c>
      <c r="BF75" s="46" t="s">
        <v>148</v>
      </c>
      <c r="BG75" s="46" t="s">
        <v>148</v>
      </c>
      <c r="BH75" s="46" t="s">
        <v>280</v>
      </c>
      <c r="BI75" s="167" t="s">
        <v>280</v>
      </c>
      <c r="BJ75" s="46" t="s">
        <v>326</v>
      </c>
      <c r="BK75" s="46" t="s">
        <v>154</v>
      </c>
      <c r="BL75" s="200" t="s">
        <v>327</v>
      </c>
      <c r="BM75" s="76" t="s">
        <v>328</v>
      </c>
      <c r="BN75" s="168" t="s">
        <v>326</v>
      </c>
      <c r="BO75" s="168" t="s">
        <v>326</v>
      </c>
      <c r="BP75" s="66" t="s">
        <v>327</v>
      </c>
      <c r="BQ75" s="67" t="s">
        <v>328</v>
      </c>
      <c r="BR75" s="68"/>
      <c r="BS75" s="76" t="s">
        <v>328</v>
      </c>
      <c r="BT75" s="154"/>
      <c r="BU75" s="155" t="s">
        <v>326</v>
      </c>
      <c r="BV75" s="155" t="s">
        <v>329</v>
      </c>
      <c r="BW75" s="155" t="s">
        <v>328</v>
      </c>
      <c r="BX75" s="182" t="s">
        <v>295</v>
      </c>
      <c r="BY75" s="68"/>
      <c r="BZ75" s="69"/>
      <c r="CA75" s="70"/>
      <c r="CB75" s="71" t="s">
        <v>328</v>
      </c>
      <c r="CC75" s="84"/>
      <c r="CD75" s="84"/>
      <c r="CE75" s="72"/>
      <c r="CF75" s="70"/>
      <c r="CL75" s="201"/>
    </row>
    <row r="76" spans="1:90" ht="25.5" hidden="1" customHeight="1" outlineLevel="1">
      <c r="A76" s="39" t="str">
        <f>HYPERLINK("https://wiki.atlnz.lc/awpwiki/index.php/Qualification_Transceiver_Inventory#AT-SPEX_B","AT-SPEX")</f>
        <v>AT-SPEX</v>
      </c>
      <c r="B76" s="41" t="s">
        <v>161</v>
      </c>
      <c r="C76" s="41" t="s">
        <v>161</v>
      </c>
      <c r="D76" s="42">
        <v>95</v>
      </c>
      <c r="E76" s="145" t="s">
        <v>308</v>
      </c>
      <c r="F76" s="43" t="s">
        <v>308</v>
      </c>
      <c r="G76" s="43" t="s">
        <v>308</v>
      </c>
      <c r="H76" s="43"/>
      <c r="I76" s="43" t="s">
        <v>139</v>
      </c>
      <c r="J76" s="73"/>
      <c r="K76" s="73"/>
      <c r="L76" s="649"/>
      <c r="M76" s="649"/>
      <c r="N76" s="43" t="s">
        <v>308</v>
      </c>
      <c r="O76" s="43" t="s">
        <v>308</v>
      </c>
      <c r="P76" s="43" t="s">
        <v>308</v>
      </c>
      <c r="Q76" s="43" t="s">
        <v>308</v>
      </c>
      <c r="R76" s="81" t="s">
        <v>402</v>
      </c>
      <c r="S76" s="43" t="s">
        <v>308</v>
      </c>
      <c r="T76" s="43" t="s">
        <v>308</v>
      </c>
      <c r="U76" s="43"/>
      <c r="V76" s="43"/>
      <c r="W76" s="43"/>
      <c r="X76" s="43" t="s">
        <v>270</v>
      </c>
      <c r="Y76" s="147" t="s">
        <v>271</v>
      </c>
      <c r="Z76" s="43"/>
      <c r="AA76" s="148" t="s">
        <v>272</v>
      </c>
      <c r="AB76" s="43" t="s">
        <v>308</v>
      </c>
      <c r="AC76" s="43"/>
      <c r="AD76" s="43"/>
      <c r="AE76" s="43" t="s">
        <v>308</v>
      </c>
      <c r="AF76" s="43" t="s">
        <v>308</v>
      </c>
      <c r="AG76" s="43" t="s">
        <v>308</v>
      </c>
      <c r="AH76" s="43" t="s">
        <v>308</v>
      </c>
      <c r="AI76" s="43" t="s">
        <v>308</v>
      </c>
      <c r="AJ76" s="43" t="s">
        <v>308</v>
      </c>
      <c r="AK76" s="44" t="s">
        <v>401</v>
      </c>
      <c r="AL76" s="44" t="s">
        <v>274</v>
      </c>
      <c r="AM76" s="44" t="s">
        <v>401</v>
      </c>
      <c r="AN76" s="43" t="s">
        <v>274</v>
      </c>
      <c r="AO76" s="44" t="s">
        <v>401</v>
      </c>
      <c r="AP76" s="43" t="s">
        <v>308</v>
      </c>
      <c r="AQ76" s="43" t="s">
        <v>308</v>
      </c>
      <c r="AR76" s="149" t="s">
        <v>308</v>
      </c>
      <c r="AS76" s="43" t="s">
        <v>308</v>
      </c>
      <c r="AT76" s="44" t="s">
        <v>308</v>
      </c>
      <c r="AU76" s="108"/>
      <c r="AV76" s="43" t="s">
        <v>308</v>
      </c>
      <c r="AW76" s="43" t="s">
        <v>308</v>
      </c>
      <c r="AX76" s="43" t="s">
        <v>308</v>
      </c>
      <c r="AY76" s="43" t="s">
        <v>308</v>
      </c>
      <c r="AZ76" s="43" t="s">
        <v>308</v>
      </c>
      <c r="BA76" s="43" t="s">
        <v>308</v>
      </c>
      <c r="BB76" s="43" t="s">
        <v>308</v>
      </c>
      <c r="BC76" s="43" t="s">
        <v>308</v>
      </c>
      <c r="BD76" s="43" t="s">
        <v>308</v>
      </c>
      <c r="BE76" s="43" t="s">
        <v>308</v>
      </c>
      <c r="BF76" s="43" t="s">
        <v>308</v>
      </c>
      <c r="BG76" s="43" t="s">
        <v>308</v>
      </c>
      <c r="BH76" s="43" t="s">
        <v>308</v>
      </c>
      <c r="BI76" s="43" t="s">
        <v>308</v>
      </c>
      <c r="BJ76" s="43" t="s">
        <v>308</v>
      </c>
      <c r="BK76" s="43" t="s">
        <v>308</v>
      </c>
      <c r="BL76" s="44" t="s">
        <v>401</v>
      </c>
      <c r="BM76" s="293"/>
      <c r="BN76" s="294"/>
      <c r="BO76" s="294"/>
      <c r="BP76" s="43"/>
      <c r="BQ76" s="44"/>
      <c r="BR76" s="295"/>
      <c r="BS76" s="160"/>
      <c r="BT76" s="174"/>
      <c r="BU76" s="160"/>
      <c r="BV76" s="160"/>
      <c r="BW76" s="160"/>
      <c r="BX76" s="160"/>
      <c r="BY76" s="296"/>
      <c r="BZ76" s="297"/>
      <c r="CA76" s="298"/>
      <c r="CB76" s="298"/>
      <c r="CC76" s="298"/>
      <c r="CD76" s="298"/>
      <c r="CE76" s="158"/>
      <c r="CF76" s="299"/>
      <c r="CL76" s="176"/>
    </row>
    <row r="77" spans="1:90" ht="25.5" hidden="1" customHeight="1" outlineLevel="1">
      <c r="A77" s="58" t="str">
        <f>HYPERLINK("https://wiki.atlnz.lc/awpwiki/index.php/Qualification_Transceiver_Inventory#AT-SPTXcX7","AT-SPTXc")</f>
        <v>AT-SPTXc</v>
      </c>
      <c r="B77" s="59" t="s">
        <v>403</v>
      </c>
      <c r="C77" s="59" t="s">
        <v>403</v>
      </c>
      <c r="D77" s="42">
        <v>225</v>
      </c>
      <c r="E77" s="162" t="s">
        <v>165</v>
      </c>
      <c r="F77" s="162" t="s">
        <v>165</v>
      </c>
      <c r="G77" s="162" t="s">
        <v>165</v>
      </c>
      <c r="H77" s="162"/>
      <c r="I77" s="73" t="s">
        <v>404</v>
      </c>
      <c r="J77" s="73"/>
      <c r="K77" s="73"/>
      <c r="L77" s="73"/>
      <c r="M77" s="73"/>
      <c r="N77" s="73" t="s">
        <v>404</v>
      </c>
      <c r="O77" s="73" t="s">
        <v>404</v>
      </c>
      <c r="P77" s="73" t="s">
        <v>404</v>
      </c>
      <c r="Q77" s="73" t="s">
        <v>404</v>
      </c>
      <c r="R77" s="213" t="s">
        <v>340</v>
      </c>
      <c r="S77" s="73" t="s">
        <v>404</v>
      </c>
      <c r="T77" s="73" t="s">
        <v>404</v>
      </c>
      <c r="U77" s="73"/>
      <c r="V77" s="73"/>
      <c r="W77" s="73"/>
      <c r="X77" s="73" t="s">
        <v>404</v>
      </c>
      <c r="Y77" s="213" t="s">
        <v>340</v>
      </c>
      <c r="Z77" s="300"/>
      <c r="AA77" s="148" t="s">
        <v>272</v>
      </c>
      <c r="AB77" s="73" t="s">
        <v>404</v>
      </c>
      <c r="AC77" s="73"/>
      <c r="AD77" s="73"/>
      <c r="AE77" s="73" t="s">
        <v>404</v>
      </c>
      <c r="AF77" s="73" t="s">
        <v>404</v>
      </c>
      <c r="AG77" s="73" t="s">
        <v>404</v>
      </c>
      <c r="AH77" s="73" t="s">
        <v>404</v>
      </c>
      <c r="AI77" s="162" t="s">
        <v>165</v>
      </c>
      <c r="AJ77" s="73" t="s">
        <v>404</v>
      </c>
      <c r="AK77" s="73" t="s">
        <v>404</v>
      </c>
      <c r="AL77" s="73" t="s">
        <v>404</v>
      </c>
      <c r="AM77" s="73" t="s">
        <v>404</v>
      </c>
      <c r="AN77" s="73" t="s">
        <v>404</v>
      </c>
      <c r="AO77" s="73" t="s">
        <v>404</v>
      </c>
      <c r="AP77" s="73" t="s">
        <v>404</v>
      </c>
      <c r="AQ77" s="73" t="s">
        <v>404</v>
      </c>
      <c r="AR77" s="73" t="s">
        <v>404</v>
      </c>
      <c r="AS77" s="73" t="s">
        <v>404</v>
      </c>
      <c r="AT77" s="73" t="s">
        <v>404</v>
      </c>
      <c r="AU77" s="63"/>
      <c r="AV77" s="162" t="s">
        <v>165</v>
      </c>
      <c r="AW77" s="162" t="s">
        <v>165</v>
      </c>
      <c r="AX77" s="73" t="s">
        <v>404</v>
      </c>
      <c r="AY77" s="231" t="s">
        <v>156</v>
      </c>
      <c r="AZ77" s="231" t="s">
        <v>156</v>
      </c>
      <c r="BA77" s="231" t="s">
        <v>156</v>
      </c>
      <c r="BB77" s="162" t="s">
        <v>165</v>
      </c>
      <c r="BC77" s="162" t="s">
        <v>165</v>
      </c>
      <c r="BD77" s="162" t="s">
        <v>165</v>
      </c>
      <c r="BE77" s="73" t="s">
        <v>404</v>
      </c>
      <c r="BF77" s="213" t="s">
        <v>340</v>
      </c>
      <c r="BG77" s="162" t="s">
        <v>165</v>
      </c>
      <c r="BH77" s="73" t="s">
        <v>404</v>
      </c>
      <c r="BI77" s="162" t="s">
        <v>165</v>
      </c>
      <c r="BJ77" s="162" t="s">
        <v>165</v>
      </c>
      <c r="BK77" s="162" t="s">
        <v>165</v>
      </c>
      <c r="BL77" s="162" t="s">
        <v>165</v>
      </c>
      <c r="BM77" s="232"/>
      <c r="BN77" s="170"/>
      <c r="BO77" s="155"/>
      <c r="BP77" s="236"/>
      <c r="BQ77" s="237"/>
      <c r="BR77" s="68"/>
      <c r="BS77" s="178"/>
      <c r="BT77" s="154"/>
      <c r="BU77" s="171"/>
      <c r="BV77" s="233"/>
      <c r="BW77" s="233"/>
      <c r="BX77" s="234"/>
      <c r="BY77" s="68"/>
      <c r="BZ77" s="238"/>
      <c r="CA77" s="239"/>
      <c r="CB77" s="240"/>
      <c r="CC77" s="240"/>
      <c r="CD77" s="240"/>
      <c r="CE77" s="72"/>
      <c r="CF77" s="223"/>
      <c r="CL77" s="160"/>
    </row>
    <row r="78" spans="1:90" ht="15" hidden="1" customHeight="1" outlineLevel="1">
      <c r="A78" s="58" t="str">
        <f>HYPERLINK("https://wiki.atlnz.lc/awpwiki/index.php/Qualification_Transceiver_Inventory#AT-SPSX_F_180520","AT-SPSX")</f>
        <v>AT-SPSX</v>
      </c>
      <c r="B78" s="59" t="s">
        <v>330</v>
      </c>
      <c r="C78" s="59" t="s">
        <v>330</v>
      </c>
      <c r="D78" s="42">
        <v>26</v>
      </c>
      <c r="E78" s="161" t="s">
        <v>339</v>
      </c>
      <c r="F78" s="46" t="s">
        <v>315</v>
      </c>
      <c r="G78" s="46" t="s">
        <v>339</v>
      </c>
      <c r="H78" s="46"/>
      <c r="I78" s="46" t="s">
        <v>139</v>
      </c>
      <c r="J78" s="73"/>
      <c r="K78" s="73"/>
      <c r="L78" s="649"/>
      <c r="M78" s="649"/>
      <c r="N78" s="167" t="s">
        <v>339</v>
      </c>
      <c r="O78" s="167" t="s">
        <v>405</v>
      </c>
      <c r="P78" s="167" t="s">
        <v>405</v>
      </c>
      <c r="Q78" s="46" t="s">
        <v>341</v>
      </c>
      <c r="R78" s="46" t="s">
        <v>152</v>
      </c>
      <c r="S78" s="167" t="s">
        <v>405</v>
      </c>
      <c r="T78" s="167" t="s">
        <v>405</v>
      </c>
      <c r="U78" s="167"/>
      <c r="V78" s="46"/>
      <c r="W78" s="46"/>
      <c r="X78" s="43" t="s">
        <v>270</v>
      </c>
      <c r="Y78" s="43" t="s">
        <v>406</v>
      </c>
      <c r="Z78" s="167"/>
      <c r="AA78" s="164" t="s">
        <v>362</v>
      </c>
      <c r="AB78" s="148" t="str">
        <f>HYPERLINK("https://intranet.atlnz.lc/systest/Reports/TestLink/SuiteExecC.php?plan=483426&amp;rep=F&amp;platform=1274","Pass,30-10-18")</f>
        <v>Pass,30-10-18</v>
      </c>
      <c r="AC78" s="43"/>
      <c r="AD78" s="43"/>
      <c r="AE78" s="46" t="s">
        <v>339</v>
      </c>
      <c r="AF78" s="43" t="s">
        <v>308</v>
      </c>
      <c r="AG78" s="46" t="s">
        <v>405</v>
      </c>
      <c r="AH78" s="46" t="s">
        <v>341</v>
      </c>
      <c r="AI78" s="46" t="s">
        <v>341</v>
      </c>
      <c r="AJ78" s="164" t="s">
        <v>407</v>
      </c>
      <c r="AK78" s="198" t="str">
        <f>HYPERLINK("https://intranet.atlnz.lc/systest/Reports/TestLink/SuiteExecC.php?plan=490516&amp;rep=F&amp;platform=1274","Pass, Jan'19")</f>
        <v>Pass, Jan'19</v>
      </c>
      <c r="AL78" s="46" t="s">
        <v>139</v>
      </c>
      <c r="AM78" s="46" t="s">
        <v>339</v>
      </c>
      <c r="AN78" s="46" t="s">
        <v>274</v>
      </c>
      <c r="AO78" s="46" t="s">
        <v>339</v>
      </c>
      <c r="AP78" s="46" t="s">
        <v>405</v>
      </c>
      <c r="AQ78" s="46" t="s">
        <v>405</v>
      </c>
      <c r="AR78" s="165" t="s">
        <v>278</v>
      </c>
      <c r="AS78" s="43" t="s">
        <v>279</v>
      </c>
      <c r="AT78" s="301" t="s">
        <v>341</v>
      </c>
      <c r="AU78" s="63"/>
      <c r="AV78" s="46" t="s">
        <v>341</v>
      </c>
      <c r="AW78" s="166" t="s">
        <v>152</v>
      </c>
      <c r="AX78" s="46" t="s">
        <v>341</v>
      </c>
      <c r="AY78" s="46" t="s">
        <v>341</v>
      </c>
      <c r="AZ78" s="167" t="s">
        <v>341</v>
      </c>
      <c r="BA78" s="167" t="s">
        <v>341</v>
      </c>
      <c r="BB78" s="167" t="s">
        <v>339</v>
      </c>
      <c r="BC78" s="167" t="s">
        <v>341</v>
      </c>
      <c r="BD78" s="167" t="s">
        <v>339</v>
      </c>
      <c r="BE78" s="167" t="s">
        <v>339</v>
      </c>
      <c r="BF78" s="46" t="s">
        <v>341</v>
      </c>
      <c r="BG78" s="46" t="s">
        <v>341</v>
      </c>
      <c r="BH78" s="167" t="s">
        <v>341</v>
      </c>
      <c r="BI78" s="167" t="s">
        <v>405</v>
      </c>
      <c r="BJ78" s="46" t="s">
        <v>341</v>
      </c>
      <c r="BK78" s="167" t="s">
        <v>341</v>
      </c>
      <c r="BL78" s="200" t="s">
        <v>341</v>
      </c>
      <c r="BM78" s="76" t="s">
        <v>339</v>
      </c>
      <c r="BN78" s="202" t="s">
        <v>340</v>
      </c>
      <c r="BO78" s="202" t="s">
        <v>340</v>
      </c>
      <c r="BP78" s="66" t="s">
        <v>341</v>
      </c>
      <c r="BQ78" s="203" t="s">
        <v>340</v>
      </c>
      <c r="BR78" s="68"/>
      <c r="BS78" s="76"/>
      <c r="BT78" s="154"/>
      <c r="BU78" s="155"/>
      <c r="BV78" s="155"/>
      <c r="BW78" s="155"/>
      <c r="BX78" s="182"/>
      <c r="BY78" s="68"/>
      <c r="BZ78" s="69"/>
      <c r="CA78" s="70"/>
      <c r="CB78" s="71"/>
      <c r="CC78" s="84"/>
      <c r="CD78" s="84"/>
      <c r="CE78" s="72"/>
      <c r="CF78" s="70"/>
      <c r="CL78" s="160"/>
    </row>
    <row r="79" spans="1:90" ht="25.5" hidden="1" customHeight="1" outlineLevel="1">
      <c r="A79" s="58" t="str">
        <f>HYPERLINK("https://wiki.atlnz.lc/awpwiki/index.php/Qualification_Transceiver_Inventory#AT-SPLX10a_X1","AT-SPLX10a")</f>
        <v>AT-SPLX10a</v>
      </c>
      <c r="B79" s="59" t="s">
        <v>408</v>
      </c>
      <c r="C79" s="59" t="s">
        <v>408</v>
      </c>
      <c r="D79" s="42">
        <v>233</v>
      </c>
      <c r="E79" s="161" t="s">
        <v>315</v>
      </c>
      <c r="F79" s="46" t="s">
        <v>315</v>
      </c>
      <c r="G79" s="194" t="s">
        <v>316</v>
      </c>
      <c r="H79" s="194"/>
      <c r="I79" s="194" t="s">
        <v>316</v>
      </c>
      <c r="J79" s="73"/>
      <c r="K79" s="73"/>
      <c r="L79" s="649"/>
      <c r="M79" s="649"/>
      <c r="N79" s="194" t="s">
        <v>316</v>
      </c>
      <c r="O79" s="194" t="s">
        <v>316</v>
      </c>
      <c r="P79" s="194" t="s">
        <v>316</v>
      </c>
      <c r="Q79" s="194" t="s">
        <v>318</v>
      </c>
      <c r="R79" s="162" t="s">
        <v>319</v>
      </c>
      <c r="S79" s="194" t="s">
        <v>316</v>
      </c>
      <c r="T79" s="194" t="s">
        <v>316</v>
      </c>
      <c r="U79" s="194"/>
      <c r="V79" s="194"/>
      <c r="W79" s="194"/>
      <c r="X79" s="195" t="s">
        <v>316</v>
      </c>
      <c r="Y79" s="163" t="s">
        <v>271</v>
      </c>
      <c r="Z79" s="195"/>
      <c r="AA79" s="148" t="s">
        <v>272</v>
      </c>
      <c r="AB79" s="195" t="s">
        <v>316</v>
      </c>
      <c r="AC79" s="195"/>
      <c r="AD79" s="195"/>
      <c r="AE79" s="194" t="s">
        <v>316</v>
      </c>
      <c r="AF79" s="194" t="s">
        <v>316</v>
      </c>
      <c r="AG79" s="194" t="s">
        <v>316</v>
      </c>
      <c r="AH79" s="194" t="s">
        <v>316</v>
      </c>
      <c r="AI79" s="194" t="s">
        <v>316</v>
      </c>
      <c r="AJ79" s="194" t="s">
        <v>316</v>
      </c>
      <c r="AK79" s="196" t="s">
        <v>316</v>
      </c>
      <c r="AL79" s="194" t="s">
        <v>316</v>
      </c>
      <c r="AM79" s="194" t="s">
        <v>316</v>
      </c>
      <c r="AN79" s="194" t="s">
        <v>316</v>
      </c>
      <c r="AO79" s="194" t="s">
        <v>316</v>
      </c>
      <c r="AP79" s="194" t="s">
        <v>316</v>
      </c>
      <c r="AQ79" s="194" t="s">
        <v>316</v>
      </c>
      <c r="AR79" s="194" t="s">
        <v>316</v>
      </c>
      <c r="AS79" s="195" t="s">
        <v>316</v>
      </c>
      <c r="AT79" s="196" t="s">
        <v>316</v>
      </c>
      <c r="AU79" s="45"/>
      <c r="AV79" s="194" t="s">
        <v>316</v>
      </c>
      <c r="AW79" s="163" t="s">
        <v>317</v>
      </c>
      <c r="AX79" s="194" t="s">
        <v>316</v>
      </c>
      <c r="AY79" s="194" t="s">
        <v>316</v>
      </c>
      <c r="AZ79" s="194" t="s">
        <v>316</v>
      </c>
      <c r="BA79" s="194" t="s">
        <v>316</v>
      </c>
      <c r="BB79" s="194" t="s">
        <v>316</v>
      </c>
      <c r="BC79" s="194" t="s">
        <v>320</v>
      </c>
      <c r="BD79" s="194" t="s">
        <v>316</v>
      </c>
      <c r="BE79" s="194" t="s">
        <v>316</v>
      </c>
      <c r="BF79" s="194" t="s">
        <v>316</v>
      </c>
      <c r="BG79" s="194" t="s">
        <v>316</v>
      </c>
      <c r="BH79" s="194" t="s">
        <v>316</v>
      </c>
      <c r="BI79" s="194" t="s">
        <v>316</v>
      </c>
      <c r="BJ79" s="194" t="s">
        <v>318</v>
      </c>
      <c r="BK79" s="194" t="s">
        <v>318</v>
      </c>
      <c r="BL79" s="197" t="s">
        <v>321</v>
      </c>
      <c r="BM79" s="76"/>
      <c r="BN79" s="168"/>
      <c r="BO79" s="168"/>
      <c r="BP79" s="77"/>
      <c r="BQ79" s="67"/>
      <c r="BR79" s="51"/>
      <c r="BS79" s="76"/>
      <c r="BT79" s="154"/>
      <c r="BU79" s="155"/>
      <c r="BV79" s="155"/>
      <c r="BW79" s="155"/>
      <c r="BX79" s="67"/>
      <c r="BY79" s="51"/>
      <c r="BZ79" s="172"/>
      <c r="CA79" s="172"/>
      <c r="CB79" s="172"/>
      <c r="CC79" s="172"/>
      <c r="CD79" s="172"/>
      <c r="CE79" s="97"/>
      <c r="CF79" s="172"/>
      <c r="CL79" s="160"/>
    </row>
    <row r="80" spans="1:90" ht="15" hidden="1" customHeight="1" outlineLevel="1">
      <c r="A80" s="302" t="s">
        <v>409</v>
      </c>
      <c r="B80" s="303"/>
      <c r="C80" s="303"/>
      <c r="D80" s="118"/>
      <c r="E80" s="161" t="str">
        <f>F80</f>
        <v>Pass, May 15</v>
      </c>
      <c r="F80" s="46" t="s">
        <v>269</v>
      </c>
      <c r="G80" s="46" t="s">
        <v>269</v>
      </c>
      <c r="H80" s="46"/>
      <c r="I80" s="169" t="s">
        <v>303</v>
      </c>
      <c r="J80" s="73"/>
      <c r="K80" s="73"/>
      <c r="L80" s="73"/>
      <c r="M80" s="73"/>
      <c r="N80" s="162" t="s">
        <v>165</v>
      </c>
      <c r="O80" s="46" t="s">
        <v>141</v>
      </c>
      <c r="P80" s="46" t="s">
        <v>141</v>
      </c>
      <c r="Q80" s="46" t="s">
        <v>138</v>
      </c>
      <c r="R80" s="46" t="s">
        <v>152</v>
      </c>
      <c r="S80" s="46" t="s">
        <v>142</v>
      </c>
      <c r="T80" s="46" t="s">
        <v>143</v>
      </c>
      <c r="U80" s="46"/>
      <c r="V80" s="169"/>
      <c r="W80" s="169"/>
      <c r="X80" s="46"/>
      <c r="Y80" s="46"/>
      <c r="Z80" s="46"/>
      <c r="AA80" s="46"/>
      <c r="AB80" s="46" t="s">
        <v>410</v>
      </c>
      <c r="AC80" s="169"/>
      <c r="AD80" s="169"/>
      <c r="AE80" s="231" t="s">
        <v>156</v>
      </c>
      <c r="AF80" s="162" t="s">
        <v>165</v>
      </c>
      <c r="AG80" s="162" t="s">
        <v>165</v>
      </c>
      <c r="AH80" s="46" t="s">
        <v>273</v>
      </c>
      <c r="AI80" s="46" t="s">
        <v>144</v>
      </c>
      <c r="AJ80" s="164" t="str">
        <f>HYPERLINK("https://intranet.atlnz.lc/systest/Reports/TestLink/SuiteExecC.php?plan=486616&amp;rep=F&amp;platform=187","Pass, Oct'17")</f>
        <v>Pass, Oct'17</v>
      </c>
      <c r="AK80" s="46"/>
      <c r="AL80" s="46" t="s">
        <v>148</v>
      </c>
      <c r="AM80" s="46" t="s">
        <v>275</v>
      </c>
      <c r="AN80" s="46" t="s">
        <v>275</v>
      </c>
      <c r="AO80" s="46" t="s">
        <v>275</v>
      </c>
      <c r="AP80" s="46" t="s">
        <v>294</v>
      </c>
      <c r="AQ80" s="46" t="s">
        <v>277</v>
      </c>
      <c r="AR80" s="46"/>
      <c r="AS80" s="46"/>
      <c r="AT80" s="62" t="s">
        <v>280</v>
      </c>
      <c r="AU80" s="45"/>
      <c r="AV80" s="169" t="s">
        <v>303</v>
      </c>
      <c r="AW80" s="169" t="s">
        <v>303</v>
      </c>
      <c r="AX80" s="169" t="s">
        <v>303</v>
      </c>
      <c r="AY80" s="46" t="s">
        <v>146</v>
      </c>
      <c r="AZ80" s="46" t="s">
        <v>281</v>
      </c>
      <c r="BA80" s="46" t="s">
        <v>150</v>
      </c>
      <c r="BB80" s="46" t="s">
        <v>147</v>
      </c>
      <c r="BC80" s="162" t="s">
        <v>165</v>
      </c>
      <c r="BD80" s="46" t="s">
        <v>282</v>
      </c>
      <c r="BE80" s="46" t="s">
        <v>152</v>
      </c>
      <c r="BF80" s="46" t="s">
        <v>148</v>
      </c>
      <c r="BG80" s="162" t="s">
        <v>165</v>
      </c>
      <c r="BH80" s="46" t="s">
        <v>284</v>
      </c>
      <c r="BI80" s="46" t="s">
        <v>149</v>
      </c>
      <c r="BJ80" s="46" t="s">
        <v>149</v>
      </c>
      <c r="BK80" s="46" t="s">
        <v>149</v>
      </c>
      <c r="BL80" s="46" t="s">
        <v>285</v>
      </c>
      <c r="BM80" s="76" t="s">
        <v>149</v>
      </c>
      <c r="BN80" s="155" t="s">
        <v>411</v>
      </c>
      <c r="BO80" s="155" t="s">
        <v>157</v>
      </c>
      <c r="BP80" s="304" t="s">
        <v>412</v>
      </c>
      <c r="BQ80" s="67" t="s">
        <v>157</v>
      </c>
      <c r="BR80" s="51"/>
      <c r="BS80" s="76" t="s">
        <v>157</v>
      </c>
      <c r="BT80" s="154"/>
      <c r="BU80" s="171" t="s">
        <v>295</v>
      </c>
      <c r="BV80" s="155" t="s">
        <v>157</v>
      </c>
      <c r="BW80" s="171" t="s">
        <v>295</v>
      </c>
      <c r="BX80" s="67" t="s">
        <v>306</v>
      </c>
      <c r="BY80" s="51"/>
      <c r="BZ80" s="172" t="s">
        <v>344</v>
      </c>
      <c r="CA80" s="84" t="s">
        <v>344</v>
      </c>
      <c r="CB80" s="84" t="s">
        <v>344</v>
      </c>
      <c r="CC80" s="84" t="s">
        <v>170</v>
      </c>
      <c r="CD80" s="71" t="s">
        <v>170</v>
      </c>
      <c r="CE80" s="97"/>
      <c r="CF80" s="84" t="s">
        <v>344</v>
      </c>
    </row>
    <row r="81" spans="1:90" ht="15" hidden="1" customHeight="1" outlineLevel="1">
      <c r="A81" s="302" t="s">
        <v>413</v>
      </c>
      <c r="B81" s="303"/>
      <c r="C81" s="303"/>
      <c r="D81" s="118"/>
      <c r="E81" s="161" t="str">
        <f>F81</f>
        <v>Pass, May 15</v>
      </c>
      <c r="F81" s="46" t="s">
        <v>269</v>
      </c>
      <c r="G81" s="46" t="s">
        <v>269</v>
      </c>
      <c r="H81" s="46"/>
      <c r="I81" s="169" t="s">
        <v>303</v>
      </c>
      <c r="J81" s="73"/>
      <c r="K81" s="73"/>
      <c r="L81" s="73"/>
      <c r="M81" s="73"/>
      <c r="N81" s="162" t="s">
        <v>165</v>
      </c>
      <c r="O81" s="46" t="s">
        <v>141</v>
      </c>
      <c r="P81" s="46" t="s">
        <v>141</v>
      </c>
      <c r="Q81" s="46" t="s">
        <v>138</v>
      </c>
      <c r="R81" s="46" t="s">
        <v>152</v>
      </c>
      <c r="S81" s="46" t="s">
        <v>142</v>
      </c>
      <c r="T81" s="46" t="s">
        <v>143</v>
      </c>
      <c r="U81" s="46"/>
      <c r="V81" s="169"/>
      <c r="W81" s="169"/>
      <c r="X81" s="46"/>
      <c r="Y81" s="46"/>
      <c r="Z81" s="46"/>
      <c r="AA81" s="46"/>
      <c r="AB81" s="46" t="s">
        <v>410</v>
      </c>
      <c r="AC81" s="169"/>
      <c r="AD81" s="169"/>
      <c r="AE81" s="231" t="s">
        <v>156</v>
      </c>
      <c r="AF81" s="162" t="s">
        <v>165</v>
      </c>
      <c r="AG81" s="162" t="s">
        <v>165</v>
      </c>
      <c r="AH81" s="46" t="s">
        <v>273</v>
      </c>
      <c r="AI81" s="46" t="s">
        <v>144</v>
      </c>
      <c r="AJ81" s="164" t="str">
        <f>HYPERLINK("https://intranet.atlnz.lc/systest/Reports/TestLink/SuiteExecC.php?plan=486616&amp;rep=F&amp;platform=187","Pass, Oct'17")</f>
        <v>Pass, Oct'17</v>
      </c>
      <c r="AK81" s="46"/>
      <c r="AL81" s="46" t="s">
        <v>148</v>
      </c>
      <c r="AM81" s="46" t="s">
        <v>275</v>
      </c>
      <c r="AN81" s="46" t="s">
        <v>275</v>
      </c>
      <c r="AO81" s="46" t="s">
        <v>275</v>
      </c>
      <c r="AP81" s="46" t="s">
        <v>294</v>
      </c>
      <c r="AQ81" s="46" t="s">
        <v>277</v>
      </c>
      <c r="AR81" s="46"/>
      <c r="AS81" s="46"/>
      <c r="AT81" s="62" t="s">
        <v>280</v>
      </c>
      <c r="AU81" s="45"/>
      <c r="AV81" s="169" t="s">
        <v>303</v>
      </c>
      <c r="AW81" s="169" t="s">
        <v>303</v>
      </c>
      <c r="AX81" s="169" t="s">
        <v>303</v>
      </c>
      <c r="AY81" s="46" t="s">
        <v>146</v>
      </c>
      <c r="AZ81" s="46" t="s">
        <v>281</v>
      </c>
      <c r="BA81" s="46" t="s">
        <v>150</v>
      </c>
      <c r="BB81" s="46" t="s">
        <v>147</v>
      </c>
      <c r="BC81" s="162" t="s">
        <v>165</v>
      </c>
      <c r="BD81" s="46" t="s">
        <v>282</v>
      </c>
      <c r="BE81" s="46" t="s">
        <v>152</v>
      </c>
      <c r="BF81" s="46" t="s">
        <v>148</v>
      </c>
      <c r="BG81" s="162" t="s">
        <v>165</v>
      </c>
      <c r="BH81" s="46" t="s">
        <v>284</v>
      </c>
      <c r="BI81" s="46" t="s">
        <v>149</v>
      </c>
      <c r="BJ81" s="46" t="s">
        <v>149</v>
      </c>
      <c r="BK81" s="46" t="s">
        <v>149</v>
      </c>
      <c r="BL81" s="46" t="s">
        <v>285</v>
      </c>
      <c r="BM81" s="76" t="s">
        <v>149</v>
      </c>
      <c r="BN81" s="155" t="s">
        <v>411</v>
      </c>
      <c r="BO81" s="155" t="s">
        <v>157</v>
      </c>
      <c r="BP81" s="82" t="s">
        <v>412</v>
      </c>
      <c r="BQ81" s="67" t="s">
        <v>157</v>
      </c>
      <c r="BR81" s="51"/>
      <c r="BS81" s="76" t="s">
        <v>157</v>
      </c>
      <c r="BT81" s="154"/>
      <c r="BU81" s="171" t="s">
        <v>295</v>
      </c>
      <c r="BV81" s="155" t="s">
        <v>157</v>
      </c>
      <c r="BW81" s="171" t="s">
        <v>295</v>
      </c>
      <c r="BX81" s="67" t="s">
        <v>306</v>
      </c>
      <c r="BY81" s="51"/>
      <c r="BZ81" s="172" t="s">
        <v>344</v>
      </c>
      <c r="CA81" s="84" t="s">
        <v>344</v>
      </c>
      <c r="CB81" s="84" t="s">
        <v>344</v>
      </c>
      <c r="CC81" s="84" t="s">
        <v>170</v>
      </c>
      <c r="CD81" s="71" t="s">
        <v>170</v>
      </c>
      <c r="CE81" s="97"/>
      <c r="CF81" s="84" t="s">
        <v>344</v>
      </c>
    </row>
    <row r="82" spans="1:90" ht="15" hidden="1" customHeight="1" outlineLevel="1">
      <c r="A82" s="302" t="s">
        <v>414</v>
      </c>
      <c r="B82" s="305"/>
      <c r="C82" s="305"/>
      <c r="D82" s="306"/>
      <c r="E82" s="121"/>
      <c r="F82" s="119"/>
      <c r="G82" s="119"/>
      <c r="H82" s="119"/>
      <c r="I82" s="119"/>
      <c r="J82" s="116"/>
      <c r="K82" s="116"/>
      <c r="L82" s="116"/>
      <c r="M82" s="116"/>
      <c r="N82" s="119"/>
      <c r="O82" s="119"/>
      <c r="P82" s="119"/>
      <c r="Q82" s="119"/>
      <c r="R82" s="119"/>
      <c r="S82" s="119"/>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119"/>
      <c r="AT82" s="120"/>
      <c r="AU82" s="273"/>
      <c r="AV82" s="119"/>
      <c r="AW82" s="119"/>
      <c r="AX82" s="119"/>
      <c r="AY82" s="119"/>
      <c r="AZ82" s="119"/>
      <c r="BA82" s="119"/>
      <c r="BB82" s="119"/>
      <c r="BC82" s="119"/>
      <c r="BD82" s="119"/>
      <c r="BE82" s="119"/>
      <c r="BF82" s="119"/>
      <c r="BG82" s="119"/>
      <c r="BH82" s="119"/>
      <c r="BI82" s="119"/>
      <c r="BJ82" s="120"/>
      <c r="BK82" s="120"/>
      <c r="BL82" s="119"/>
      <c r="BM82" s="307" t="s">
        <v>159</v>
      </c>
      <c r="BN82" s="119"/>
      <c r="BO82" s="122"/>
      <c r="BP82" s="308" t="s">
        <v>159</v>
      </c>
      <c r="BQ82" s="309"/>
      <c r="BR82" s="123"/>
      <c r="BS82" s="121"/>
      <c r="BT82" s="119" t="s">
        <v>415</v>
      </c>
      <c r="BU82" s="119" t="s">
        <v>177</v>
      </c>
      <c r="BV82" s="119"/>
      <c r="BW82" s="119"/>
      <c r="BX82" s="120" t="s">
        <v>159</v>
      </c>
      <c r="BY82" s="123"/>
      <c r="BZ82" s="121"/>
      <c r="CA82" s="119" t="s">
        <v>415</v>
      </c>
      <c r="CB82" s="119" t="s">
        <v>177</v>
      </c>
      <c r="CC82" s="119" t="s">
        <v>177</v>
      </c>
      <c r="CD82" s="119" t="s">
        <v>177</v>
      </c>
      <c r="CE82" s="97"/>
      <c r="CF82" s="119" t="s">
        <v>177</v>
      </c>
    </row>
    <row r="83" spans="1:90" ht="15" hidden="1" customHeight="1" outlineLevel="1">
      <c r="A83" s="302" t="s">
        <v>416</v>
      </c>
      <c r="B83" s="310"/>
      <c r="C83" s="310"/>
      <c r="D83" s="306"/>
      <c r="E83" s="121"/>
      <c r="F83" s="119"/>
      <c r="G83" s="119"/>
      <c r="H83" s="119"/>
      <c r="I83" s="119"/>
      <c r="J83" s="116"/>
      <c r="K83" s="116"/>
      <c r="L83" s="116"/>
      <c r="M83" s="116"/>
      <c r="N83" s="119"/>
      <c r="O83" s="119"/>
      <c r="P83" s="119"/>
      <c r="Q83" s="119"/>
      <c r="R83" s="119"/>
      <c r="S83" s="119"/>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119"/>
      <c r="AT83" s="120"/>
      <c r="AU83" s="273"/>
      <c r="AV83" s="119"/>
      <c r="AW83" s="119"/>
      <c r="AX83" s="119"/>
      <c r="AY83" s="119"/>
      <c r="AZ83" s="119"/>
      <c r="BA83" s="119"/>
      <c r="BB83" s="119"/>
      <c r="BC83" s="119"/>
      <c r="BD83" s="119"/>
      <c r="BE83" s="119"/>
      <c r="BF83" s="119"/>
      <c r="BG83" s="119"/>
      <c r="BH83" s="119"/>
      <c r="BI83" s="119"/>
      <c r="BJ83" s="120"/>
      <c r="BK83" s="120"/>
      <c r="BL83" s="119"/>
      <c r="BM83" s="307" t="s">
        <v>159</v>
      </c>
      <c r="BN83" s="119"/>
      <c r="BO83" s="122"/>
      <c r="BP83" s="308" t="s">
        <v>159</v>
      </c>
      <c r="BQ83" s="309"/>
      <c r="BR83" s="123"/>
      <c r="BS83" s="121"/>
      <c r="BT83" s="119" t="s">
        <v>415</v>
      </c>
      <c r="BU83" s="119" t="s">
        <v>177</v>
      </c>
      <c r="BV83" s="119"/>
      <c r="BW83" s="119"/>
      <c r="BX83" s="120" t="s">
        <v>159</v>
      </c>
      <c r="BY83" s="123"/>
      <c r="BZ83" s="121"/>
      <c r="CA83" s="119" t="s">
        <v>415</v>
      </c>
      <c r="CB83" s="119" t="s">
        <v>177</v>
      </c>
      <c r="CC83" s="119" t="s">
        <v>177</v>
      </c>
      <c r="CD83" s="119" t="s">
        <v>177</v>
      </c>
      <c r="CE83" s="127"/>
      <c r="CF83" s="119" t="s">
        <v>177</v>
      </c>
    </row>
    <row r="84" spans="1:90" ht="15" hidden="1" customHeight="1" outlineLevel="1">
      <c r="A84" s="302" t="s">
        <v>409</v>
      </c>
      <c r="B84" s="310"/>
      <c r="C84" s="310"/>
      <c r="D84" s="306"/>
      <c r="E84" s="121"/>
      <c r="F84" s="119"/>
      <c r="G84" s="119"/>
      <c r="H84" s="119"/>
      <c r="I84" s="119"/>
      <c r="J84" s="116"/>
      <c r="K84" s="116"/>
      <c r="L84" s="116"/>
      <c r="M84" s="116"/>
      <c r="N84" s="119"/>
      <c r="O84" s="119"/>
      <c r="P84" s="119"/>
      <c r="Q84" s="119"/>
      <c r="R84" s="119"/>
      <c r="S84" s="119"/>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119"/>
      <c r="AT84" s="120"/>
      <c r="AU84" s="273"/>
      <c r="AV84" s="119"/>
      <c r="AW84" s="119"/>
      <c r="AX84" s="119"/>
      <c r="AY84" s="119"/>
      <c r="AZ84" s="119"/>
      <c r="BA84" s="119"/>
      <c r="BB84" s="119"/>
      <c r="BC84" s="119"/>
      <c r="BD84" s="119"/>
      <c r="BE84" s="119"/>
      <c r="BF84" s="119"/>
      <c r="BG84" s="119"/>
      <c r="BH84" s="119"/>
      <c r="BI84" s="119"/>
      <c r="BJ84" s="120"/>
      <c r="BK84" s="120"/>
      <c r="BL84" s="119"/>
      <c r="BM84" s="307" t="s">
        <v>159</v>
      </c>
      <c r="BN84" s="119" t="s">
        <v>176</v>
      </c>
      <c r="BO84" s="122" t="s">
        <v>176</v>
      </c>
      <c r="BP84" s="308" t="s">
        <v>417</v>
      </c>
      <c r="BQ84" s="309"/>
      <c r="BR84" s="123"/>
      <c r="BS84" s="121" t="s">
        <v>306</v>
      </c>
      <c r="BT84" s="119" t="s">
        <v>344</v>
      </c>
      <c r="BU84" s="119" t="s">
        <v>344</v>
      </c>
      <c r="BV84" s="119" t="s">
        <v>176</v>
      </c>
      <c r="BW84" s="119" t="s">
        <v>180</v>
      </c>
      <c r="BX84" s="120" t="s">
        <v>306</v>
      </c>
      <c r="BY84" s="123"/>
      <c r="BZ84" s="121" t="s">
        <v>418</v>
      </c>
      <c r="CA84" s="119" t="s">
        <v>344</v>
      </c>
      <c r="CB84" s="119" t="s">
        <v>344</v>
      </c>
      <c r="CC84" s="119" t="s">
        <v>170</v>
      </c>
      <c r="CD84" s="119" t="s">
        <v>170</v>
      </c>
      <c r="CE84" s="127"/>
      <c r="CF84" s="119" t="s">
        <v>344</v>
      </c>
    </row>
    <row r="85" spans="1:90" ht="15" hidden="1" customHeight="1" outlineLevel="1">
      <c r="A85" s="302" t="s">
        <v>413</v>
      </c>
      <c r="B85" s="310"/>
      <c r="C85" s="310"/>
      <c r="D85" s="306"/>
      <c r="E85" s="121"/>
      <c r="F85" s="119"/>
      <c r="G85" s="119"/>
      <c r="H85" s="119"/>
      <c r="I85" s="119"/>
      <c r="J85" s="116"/>
      <c r="K85" s="116"/>
      <c r="L85" s="116"/>
      <c r="M85" s="116"/>
      <c r="N85" s="119"/>
      <c r="O85" s="119"/>
      <c r="P85" s="119"/>
      <c r="Q85" s="119"/>
      <c r="R85" s="119"/>
      <c r="S85" s="119"/>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119"/>
      <c r="AT85" s="120"/>
      <c r="AU85" s="273"/>
      <c r="AV85" s="119"/>
      <c r="AW85" s="119"/>
      <c r="AX85" s="119"/>
      <c r="AY85" s="119"/>
      <c r="AZ85" s="119"/>
      <c r="BA85" s="119"/>
      <c r="BB85" s="119"/>
      <c r="BC85" s="119"/>
      <c r="BD85" s="119"/>
      <c r="BE85" s="119"/>
      <c r="BF85" s="119"/>
      <c r="BG85" s="119"/>
      <c r="BH85" s="119"/>
      <c r="BI85" s="119"/>
      <c r="BJ85" s="120"/>
      <c r="BK85" s="120"/>
      <c r="BL85" s="119"/>
      <c r="BM85" s="307" t="s">
        <v>159</v>
      </c>
      <c r="BN85" s="119" t="s">
        <v>176</v>
      </c>
      <c r="BO85" s="122" t="s">
        <v>176</v>
      </c>
      <c r="BP85" s="308" t="s">
        <v>417</v>
      </c>
      <c r="BQ85" s="309"/>
      <c r="BR85" s="123"/>
      <c r="BS85" s="121" t="s">
        <v>306</v>
      </c>
      <c r="BT85" s="119" t="s">
        <v>344</v>
      </c>
      <c r="BU85" s="119" t="s">
        <v>344</v>
      </c>
      <c r="BV85" s="119" t="s">
        <v>176</v>
      </c>
      <c r="BW85" s="119" t="s">
        <v>180</v>
      </c>
      <c r="BX85" s="120" t="s">
        <v>306</v>
      </c>
      <c r="BY85" s="123"/>
      <c r="BZ85" s="121" t="s">
        <v>418</v>
      </c>
      <c r="CA85" s="119" t="s">
        <v>344</v>
      </c>
      <c r="CB85" s="119" t="s">
        <v>344</v>
      </c>
      <c r="CC85" s="119" t="s">
        <v>170</v>
      </c>
      <c r="CD85" s="119" t="s">
        <v>170</v>
      </c>
      <c r="CE85" s="127"/>
      <c r="CF85" s="119" t="s">
        <v>344</v>
      </c>
    </row>
    <row r="86" spans="1:90" ht="15" hidden="1" customHeight="1" outlineLevel="1">
      <c r="A86" s="302" t="s">
        <v>385</v>
      </c>
      <c r="B86" s="311"/>
      <c r="C86" s="311"/>
      <c r="D86" s="306"/>
      <c r="E86" s="121"/>
      <c r="F86" s="119"/>
      <c r="G86" s="119"/>
      <c r="H86" s="119"/>
      <c r="I86" s="119"/>
      <c r="J86" s="116"/>
      <c r="K86" s="116"/>
      <c r="L86" s="116"/>
      <c r="M86" s="116"/>
      <c r="N86" s="119"/>
      <c r="O86" s="119"/>
      <c r="P86" s="119"/>
      <c r="Q86" s="119"/>
      <c r="R86" s="119"/>
      <c r="S86" s="119"/>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119"/>
      <c r="AT86" s="120"/>
      <c r="AU86" s="273"/>
      <c r="AV86" s="119"/>
      <c r="AW86" s="119"/>
      <c r="AX86" s="119"/>
      <c r="AY86" s="119"/>
      <c r="AZ86" s="119"/>
      <c r="BA86" s="119"/>
      <c r="BB86" s="119"/>
      <c r="BC86" s="119"/>
      <c r="BD86" s="119"/>
      <c r="BE86" s="119"/>
      <c r="BF86" s="119"/>
      <c r="BG86" s="119"/>
      <c r="BH86" s="119"/>
      <c r="BI86" s="119"/>
      <c r="BJ86" s="120"/>
      <c r="BK86" s="120"/>
      <c r="BL86" s="119"/>
      <c r="BM86" s="121" t="s">
        <v>419</v>
      </c>
      <c r="BN86" s="119"/>
      <c r="BO86" s="122"/>
      <c r="BP86" s="119" t="s">
        <v>419</v>
      </c>
      <c r="BQ86" s="120"/>
      <c r="BR86" s="123"/>
      <c r="BS86" s="121"/>
      <c r="BT86" s="119"/>
      <c r="BU86" s="119"/>
      <c r="BV86" s="119"/>
      <c r="BW86" s="119"/>
      <c r="BX86" s="120" t="s">
        <v>159</v>
      </c>
      <c r="BY86" s="123"/>
      <c r="BZ86" s="121"/>
      <c r="CA86" s="119"/>
      <c r="CB86" s="119"/>
      <c r="CC86" s="119"/>
      <c r="CD86" s="119"/>
      <c r="CE86" s="127"/>
      <c r="CF86" s="119"/>
    </row>
    <row r="87" spans="1:90" ht="15" hidden="1" customHeight="1" outlineLevel="1">
      <c r="A87" s="302" t="s">
        <v>420</v>
      </c>
      <c r="B87" s="310" t="s">
        <v>161</v>
      </c>
      <c r="C87" s="310" t="s">
        <v>161</v>
      </c>
      <c r="D87" s="312"/>
      <c r="E87" s="130"/>
      <c r="F87" s="116"/>
      <c r="G87" s="116"/>
      <c r="H87" s="116"/>
      <c r="I87" s="116"/>
      <c r="J87" s="116"/>
      <c r="K87" s="116"/>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29"/>
      <c r="AU87" s="313"/>
      <c r="AV87" s="116"/>
      <c r="AW87" s="116"/>
      <c r="AX87" s="116"/>
      <c r="AY87" s="116"/>
      <c r="AZ87" s="116"/>
      <c r="BA87" s="116"/>
      <c r="BB87" s="116"/>
      <c r="BC87" s="116"/>
      <c r="BD87" s="116"/>
      <c r="BE87" s="116"/>
      <c r="BF87" s="116"/>
      <c r="BG87" s="116"/>
      <c r="BH87" s="116"/>
      <c r="BI87" s="116"/>
      <c r="BJ87" s="129" t="s">
        <v>155</v>
      </c>
      <c r="BK87" s="129" t="s">
        <v>155</v>
      </c>
      <c r="BL87" s="116"/>
      <c r="BM87" s="130" t="s">
        <v>176</v>
      </c>
      <c r="BN87" s="116" t="s">
        <v>310</v>
      </c>
      <c r="BO87" s="131" t="s">
        <v>310</v>
      </c>
      <c r="BP87" s="116" t="s">
        <v>310</v>
      </c>
      <c r="BQ87" s="129"/>
      <c r="BR87" s="132"/>
      <c r="BS87" s="130" t="s">
        <v>310</v>
      </c>
      <c r="BT87" s="116" t="s">
        <v>310</v>
      </c>
      <c r="BU87" s="116" t="s">
        <v>310</v>
      </c>
      <c r="BV87" s="116" t="s">
        <v>310</v>
      </c>
      <c r="BW87" s="116" t="s">
        <v>344</v>
      </c>
      <c r="BX87" s="120" t="s">
        <v>306</v>
      </c>
      <c r="BY87" s="132"/>
      <c r="BZ87" s="130" t="s">
        <v>310</v>
      </c>
      <c r="CA87" s="116" t="s">
        <v>310</v>
      </c>
      <c r="CB87" s="116" t="s">
        <v>310</v>
      </c>
      <c r="CC87" s="116" t="s">
        <v>170</v>
      </c>
      <c r="CD87" s="116" t="s">
        <v>311</v>
      </c>
      <c r="CE87" s="134"/>
      <c r="CF87" s="116" t="s">
        <v>310</v>
      </c>
    </row>
    <row r="88" spans="1:90" s="316" customFormat="1" ht="15" hidden="1" customHeight="1" outlineLevel="1">
      <c r="A88" s="302" t="s">
        <v>421</v>
      </c>
      <c r="B88" s="302" t="s">
        <v>163</v>
      </c>
      <c r="C88" s="302" t="s">
        <v>163</v>
      </c>
      <c r="D88" s="314"/>
      <c r="E88" s="130"/>
      <c r="F88" s="130"/>
      <c r="G88" s="130"/>
      <c r="H88" s="130"/>
      <c r="I88" s="130"/>
      <c r="J88" s="116"/>
      <c r="K88" s="116"/>
      <c r="L88" s="130"/>
      <c r="M88" s="130"/>
      <c r="N88" s="130"/>
      <c r="O88" s="130"/>
      <c r="P88" s="130"/>
      <c r="Q88" s="130"/>
      <c r="R88" s="130"/>
      <c r="S88" s="130"/>
      <c r="T88" s="130"/>
      <c r="U88" s="130"/>
      <c r="V88" s="130"/>
      <c r="W88" s="130"/>
      <c r="X88" s="130"/>
      <c r="Y88" s="130"/>
      <c r="Z88" s="130"/>
      <c r="AA88" s="130"/>
      <c r="AB88" s="130"/>
      <c r="AC88" s="130"/>
      <c r="AD88" s="130"/>
      <c r="AE88" s="130"/>
      <c r="AF88" s="130"/>
      <c r="AG88" s="130"/>
      <c r="AH88" s="130"/>
      <c r="AI88" s="130"/>
      <c r="AJ88" s="130"/>
      <c r="AK88" s="130"/>
      <c r="AL88" s="130"/>
      <c r="AM88" s="130"/>
      <c r="AN88" s="130"/>
      <c r="AO88" s="130"/>
      <c r="AP88" s="130"/>
      <c r="AQ88" s="130"/>
      <c r="AR88" s="130"/>
      <c r="AS88" s="130"/>
      <c r="AT88" s="315" t="s">
        <v>295</v>
      </c>
      <c r="AU88" s="313"/>
      <c r="AV88" s="130"/>
      <c r="AW88" s="130"/>
      <c r="AX88" s="130"/>
      <c r="AY88" s="130"/>
      <c r="AZ88" s="130" t="s">
        <v>295</v>
      </c>
      <c r="BA88" s="130" t="s">
        <v>295</v>
      </c>
      <c r="BB88" s="130"/>
      <c r="BC88" s="130"/>
      <c r="BD88" s="130"/>
      <c r="BE88" s="130"/>
      <c r="BF88" s="130"/>
      <c r="BG88" s="130"/>
      <c r="BH88" s="130"/>
      <c r="BI88" s="130" t="s">
        <v>295</v>
      </c>
      <c r="BJ88" s="130" t="s">
        <v>155</v>
      </c>
      <c r="BK88" s="130" t="s">
        <v>154</v>
      </c>
      <c r="BL88" s="130" t="s">
        <v>285</v>
      </c>
      <c r="BM88" s="130" t="s">
        <v>419</v>
      </c>
      <c r="BN88" s="116"/>
      <c r="BO88" s="116"/>
      <c r="BP88" s="116" t="s">
        <v>419</v>
      </c>
      <c r="BQ88" s="129"/>
      <c r="BR88" s="132"/>
      <c r="BS88" s="130"/>
      <c r="BT88" s="116" t="s">
        <v>415</v>
      </c>
      <c r="BU88" s="116" t="s">
        <v>177</v>
      </c>
      <c r="BV88" s="116"/>
      <c r="BW88" s="116"/>
      <c r="BX88" s="129" t="s">
        <v>159</v>
      </c>
      <c r="BY88" s="132"/>
      <c r="BZ88" s="130"/>
      <c r="CA88" s="116" t="s">
        <v>415</v>
      </c>
      <c r="CB88" s="116" t="s">
        <v>177</v>
      </c>
      <c r="CC88" s="116" t="s">
        <v>177</v>
      </c>
      <c r="CD88" s="116" t="s">
        <v>177</v>
      </c>
      <c r="CE88" s="134"/>
      <c r="CF88" s="116" t="s">
        <v>177</v>
      </c>
    </row>
    <row r="89" spans="1:90" ht="15" hidden="1" customHeight="1" outlineLevel="1">
      <c r="A89" s="302" t="s">
        <v>422</v>
      </c>
      <c r="B89" s="310"/>
      <c r="C89" s="310"/>
      <c r="D89" s="312"/>
      <c r="E89" s="130"/>
      <c r="F89" s="116"/>
      <c r="G89" s="116"/>
      <c r="H89" s="116"/>
      <c r="I89" s="116"/>
      <c r="J89" s="116"/>
      <c r="K89" s="116"/>
      <c r="L89" s="116"/>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c r="AT89" s="129"/>
      <c r="AU89" s="313"/>
      <c r="AV89" s="116"/>
      <c r="AW89" s="116"/>
      <c r="AX89" s="116"/>
      <c r="AY89" s="116"/>
      <c r="AZ89" s="116"/>
      <c r="BA89" s="116"/>
      <c r="BB89" s="116"/>
      <c r="BC89" s="116"/>
      <c r="BD89" s="116"/>
      <c r="BE89" s="116"/>
      <c r="BF89" s="116"/>
      <c r="BG89" s="116"/>
      <c r="BH89" s="116"/>
      <c r="BI89" s="116"/>
      <c r="BJ89" s="129"/>
      <c r="BK89" s="129"/>
      <c r="BL89" s="116"/>
      <c r="BM89" s="130"/>
      <c r="BN89" s="116"/>
      <c r="BO89" s="131"/>
      <c r="BP89" s="116"/>
      <c r="BQ89" s="129"/>
      <c r="BR89" s="132"/>
      <c r="BS89" s="130"/>
      <c r="BT89" s="116"/>
      <c r="BU89" s="116"/>
      <c r="BV89" s="116"/>
      <c r="BW89" s="116"/>
      <c r="BX89" s="120" t="s">
        <v>159</v>
      </c>
      <c r="BY89" s="132"/>
      <c r="BZ89" s="130" t="s">
        <v>423</v>
      </c>
      <c r="CA89" s="116"/>
      <c r="CB89" s="116"/>
      <c r="CC89" s="116"/>
      <c r="CD89" s="116"/>
      <c r="CE89" s="127"/>
      <c r="CF89" s="116"/>
    </row>
    <row r="90" spans="1:90" ht="15" hidden="1" customHeight="1" outlineLevel="1">
      <c r="A90" s="302" t="s">
        <v>424</v>
      </c>
      <c r="B90" s="311"/>
      <c r="C90" s="311"/>
      <c r="D90" s="306"/>
      <c r="E90" s="121"/>
      <c r="F90" s="119"/>
      <c r="G90" s="119"/>
      <c r="H90" s="119"/>
      <c r="I90" s="119"/>
      <c r="J90" s="116"/>
      <c r="K90" s="116"/>
      <c r="L90" s="116"/>
      <c r="M90" s="116"/>
      <c r="N90" s="119"/>
      <c r="O90" s="119"/>
      <c r="P90" s="119"/>
      <c r="Q90" s="119"/>
      <c r="R90" s="119"/>
      <c r="S90" s="119"/>
      <c r="T90" s="119"/>
      <c r="U90" s="119"/>
      <c r="V90" s="119"/>
      <c r="W90" s="119"/>
      <c r="X90" s="119"/>
      <c r="Y90" s="119"/>
      <c r="Z90" s="119"/>
      <c r="AA90" s="119"/>
      <c r="AB90" s="119"/>
      <c r="AC90" s="119"/>
      <c r="AD90" s="119"/>
      <c r="AE90" s="119"/>
      <c r="AF90" s="119"/>
      <c r="AG90" s="119"/>
      <c r="AH90" s="119"/>
      <c r="AI90" s="119"/>
      <c r="AJ90" s="119"/>
      <c r="AK90" s="119"/>
      <c r="AL90" s="119"/>
      <c r="AM90" s="119"/>
      <c r="AN90" s="119"/>
      <c r="AO90" s="119"/>
      <c r="AP90" s="119"/>
      <c r="AQ90" s="119"/>
      <c r="AR90" s="119"/>
      <c r="AS90" s="119"/>
      <c r="AT90" s="120"/>
      <c r="AU90" s="273"/>
      <c r="AV90" s="119"/>
      <c r="AW90" s="119"/>
      <c r="AX90" s="119"/>
      <c r="AY90" s="119"/>
      <c r="AZ90" s="119"/>
      <c r="BA90" s="119"/>
      <c r="BB90" s="119"/>
      <c r="BC90" s="119"/>
      <c r="BD90" s="119"/>
      <c r="BE90" s="119"/>
      <c r="BF90" s="119"/>
      <c r="BG90" s="119"/>
      <c r="BH90" s="119"/>
      <c r="BI90" s="119"/>
      <c r="BJ90" s="120"/>
      <c r="BK90" s="120"/>
      <c r="BL90" s="119"/>
      <c r="BM90" s="121" t="s">
        <v>342</v>
      </c>
      <c r="BN90" s="119" t="s">
        <v>342</v>
      </c>
      <c r="BO90" s="122" t="s">
        <v>342</v>
      </c>
      <c r="BP90" s="119" t="s">
        <v>342</v>
      </c>
      <c r="BQ90" s="120"/>
      <c r="BR90" s="123"/>
      <c r="BS90" s="307" t="s">
        <v>342</v>
      </c>
      <c r="BT90" s="317"/>
      <c r="BU90" s="317"/>
      <c r="BV90" s="126"/>
      <c r="BW90" s="126"/>
      <c r="BX90" s="120" t="s">
        <v>159</v>
      </c>
      <c r="BY90" s="123"/>
      <c r="BZ90" s="318"/>
      <c r="CA90" s="317"/>
      <c r="CB90" s="317"/>
      <c r="CC90" s="317"/>
      <c r="CD90" s="317"/>
      <c r="CE90" s="127"/>
      <c r="CF90" s="308" t="s">
        <v>343</v>
      </c>
    </row>
    <row r="91" spans="1:90" ht="15" hidden="1" customHeight="1" outlineLevel="1">
      <c r="A91" s="302" t="s">
        <v>425</v>
      </c>
      <c r="B91" s="310"/>
      <c r="C91" s="310"/>
      <c r="D91" s="306"/>
      <c r="E91" s="121"/>
      <c r="F91" s="119"/>
      <c r="G91" s="119"/>
      <c r="H91" s="119"/>
      <c r="I91" s="119"/>
      <c r="J91" s="116"/>
      <c r="K91" s="116"/>
      <c r="L91" s="116"/>
      <c r="M91" s="116"/>
      <c r="N91" s="119"/>
      <c r="O91" s="119"/>
      <c r="P91" s="119"/>
      <c r="Q91" s="119"/>
      <c r="R91" s="119"/>
      <c r="S91" s="119"/>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119"/>
      <c r="AT91" s="120"/>
      <c r="AU91" s="273"/>
      <c r="AV91" s="119"/>
      <c r="AW91" s="119"/>
      <c r="AX91" s="119"/>
      <c r="AY91" s="119"/>
      <c r="AZ91" s="119"/>
      <c r="BA91" s="119"/>
      <c r="BB91" s="119"/>
      <c r="BC91" s="119"/>
      <c r="BD91" s="119"/>
      <c r="BE91" s="119"/>
      <c r="BF91" s="119"/>
      <c r="BG91" s="119"/>
      <c r="BH91" s="119"/>
      <c r="BI91" s="119"/>
      <c r="BJ91" s="120"/>
      <c r="BK91" s="120"/>
      <c r="BL91" s="119"/>
      <c r="BM91" s="121"/>
      <c r="BN91" s="119"/>
      <c r="BO91" s="122"/>
      <c r="BP91" s="119"/>
      <c r="BQ91" s="120"/>
      <c r="BR91" s="123"/>
      <c r="BS91" s="121"/>
      <c r="BT91" s="119" t="s">
        <v>426</v>
      </c>
      <c r="BU91" s="119" t="s">
        <v>426</v>
      </c>
      <c r="BV91" s="119" t="s">
        <v>426</v>
      </c>
      <c r="BW91" s="119" t="s">
        <v>426</v>
      </c>
      <c r="BX91" s="120" t="s">
        <v>159</v>
      </c>
      <c r="BY91" s="123"/>
      <c r="BZ91" s="121" t="s">
        <v>426</v>
      </c>
      <c r="CA91" s="119" t="s">
        <v>426</v>
      </c>
      <c r="CB91" s="119" t="s">
        <v>426</v>
      </c>
      <c r="CC91" s="119" t="s">
        <v>426</v>
      </c>
      <c r="CD91" s="119" t="s">
        <v>426</v>
      </c>
      <c r="CE91" s="127"/>
      <c r="CF91" s="119" t="s">
        <v>426</v>
      </c>
    </row>
    <row r="92" spans="1:90" ht="15" hidden="1" customHeight="1" outlineLevel="1">
      <c r="A92" s="302" t="s">
        <v>386</v>
      </c>
      <c r="B92" s="302"/>
      <c r="C92" s="302"/>
      <c r="D92" s="306"/>
      <c r="E92" s="121"/>
      <c r="F92" s="119"/>
      <c r="G92" s="119"/>
      <c r="H92" s="119"/>
      <c r="I92" s="119"/>
      <c r="J92" s="116"/>
      <c r="K92" s="116"/>
      <c r="L92" s="116"/>
      <c r="M92" s="116"/>
      <c r="N92" s="119"/>
      <c r="O92" s="119"/>
      <c r="P92" s="119"/>
      <c r="Q92" s="119"/>
      <c r="R92" s="119"/>
      <c r="S92" s="119"/>
      <c r="T92" s="119"/>
      <c r="U92" s="119"/>
      <c r="V92" s="119"/>
      <c r="W92" s="119"/>
      <c r="X92" s="119"/>
      <c r="Y92" s="119"/>
      <c r="Z92" s="126"/>
      <c r="AA92" s="126"/>
      <c r="AB92" s="119"/>
      <c r="AC92" s="119"/>
      <c r="AD92" s="119"/>
      <c r="AE92" s="119"/>
      <c r="AF92" s="119"/>
      <c r="AG92" s="119"/>
      <c r="AH92" s="119"/>
      <c r="AI92" s="119"/>
      <c r="AJ92" s="119"/>
      <c r="AK92" s="119"/>
      <c r="AL92" s="119"/>
      <c r="AM92" s="119"/>
      <c r="AN92" s="119"/>
      <c r="AO92" s="119"/>
      <c r="AP92" s="119"/>
      <c r="AQ92" s="119"/>
      <c r="AR92" s="119"/>
      <c r="AS92" s="119"/>
      <c r="AT92" s="319" t="s">
        <v>402</v>
      </c>
      <c r="AU92" s="273"/>
      <c r="AV92" s="119"/>
      <c r="AW92" s="119"/>
      <c r="AX92" s="119"/>
      <c r="AY92" s="119"/>
      <c r="AZ92" s="119" t="s">
        <v>427</v>
      </c>
      <c r="BA92" s="126" t="s">
        <v>295</v>
      </c>
      <c r="BB92" s="119"/>
      <c r="BC92" s="119"/>
      <c r="BD92" s="119"/>
      <c r="BE92" s="119"/>
      <c r="BF92" s="119"/>
      <c r="BG92" s="119"/>
      <c r="BH92" s="119"/>
      <c r="BI92" s="126" t="s">
        <v>295</v>
      </c>
      <c r="BJ92" s="119" t="s">
        <v>155</v>
      </c>
      <c r="BK92" s="119" t="s">
        <v>154</v>
      </c>
      <c r="BL92" s="119" t="s">
        <v>285</v>
      </c>
      <c r="BM92" s="121" t="s">
        <v>153</v>
      </c>
      <c r="BN92" s="119" t="s">
        <v>428</v>
      </c>
      <c r="BO92" s="119" t="s">
        <v>157</v>
      </c>
      <c r="BP92" s="119" t="s">
        <v>153</v>
      </c>
      <c r="BQ92" s="120"/>
      <c r="BR92" s="123"/>
      <c r="BS92" s="121" t="s">
        <v>177</v>
      </c>
      <c r="BT92" s="119"/>
      <c r="BU92" s="119" t="s">
        <v>177</v>
      </c>
      <c r="BV92" s="119" t="s">
        <v>157</v>
      </c>
      <c r="BW92" s="119" t="s">
        <v>177</v>
      </c>
      <c r="BX92" s="120" t="s">
        <v>306</v>
      </c>
      <c r="BY92" s="123"/>
      <c r="BZ92" s="121"/>
      <c r="CA92" s="119"/>
      <c r="CB92" s="119"/>
      <c r="CC92" s="119"/>
      <c r="CD92" s="119"/>
      <c r="CE92" s="127"/>
      <c r="CF92" s="119"/>
    </row>
    <row r="93" spans="1:90" ht="15" hidden="1" customHeight="1" outlineLevel="1">
      <c r="A93" s="302" t="s">
        <v>386</v>
      </c>
      <c r="B93" s="311"/>
      <c r="C93" s="311"/>
      <c r="D93" s="306"/>
      <c r="E93" s="121"/>
      <c r="F93" s="119"/>
      <c r="G93" s="119"/>
      <c r="H93" s="119"/>
      <c r="I93" s="119"/>
      <c r="J93" s="116"/>
      <c r="K93" s="116"/>
      <c r="L93" s="116"/>
      <c r="M93" s="116"/>
      <c r="N93" s="119"/>
      <c r="O93" s="119"/>
      <c r="P93" s="119"/>
      <c r="Q93" s="119"/>
      <c r="R93" s="119"/>
      <c r="S93" s="119"/>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119"/>
      <c r="AT93" s="120"/>
      <c r="AU93" s="273"/>
      <c r="AV93" s="119"/>
      <c r="AW93" s="119"/>
      <c r="AX93" s="119"/>
      <c r="AY93" s="119"/>
      <c r="AZ93" s="119"/>
      <c r="BA93" s="119"/>
      <c r="BB93" s="119"/>
      <c r="BC93" s="119"/>
      <c r="BD93" s="119"/>
      <c r="BE93" s="119"/>
      <c r="BF93" s="119"/>
      <c r="BG93" s="119"/>
      <c r="BH93" s="119"/>
      <c r="BI93" s="119"/>
      <c r="BJ93" s="120"/>
      <c r="BK93" s="120"/>
      <c r="BL93" s="119"/>
      <c r="BM93" s="121" t="s">
        <v>153</v>
      </c>
      <c r="BN93" s="119"/>
      <c r="BO93" s="122"/>
      <c r="BP93" s="119" t="s">
        <v>153</v>
      </c>
      <c r="BQ93" s="120"/>
      <c r="BR93" s="123"/>
      <c r="BS93" s="121"/>
      <c r="BT93" s="119"/>
      <c r="BU93" s="119"/>
      <c r="BV93" s="119"/>
      <c r="BW93" s="119"/>
      <c r="BX93" s="120" t="s">
        <v>159</v>
      </c>
      <c r="BY93" s="123"/>
      <c r="BZ93" s="121"/>
      <c r="CA93" s="119"/>
      <c r="CB93" s="119"/>
      <c r="CC93" s="119"/>
      <c r="CD93" s="119"/>
      <c r="CE93" s="127"/>
      <c r="CF93" s="119"/>
    </row>
    <row r="94" spans="1:90" ht="15" hidden="1" customHeight="1" outlineLevel="1">
      <c r="A94" s="320" t="s">
        <v>429</v>
      </c>
      <c r="B94" s="310"/>
      <c r="C94" s="310"/>
      <c r="D94" s="306"/>
      <c r="E94" s="121"/>
      <c r="F94" s="119"/>
      <c r="G94" s="119"/>
      <c r="H94" s="119"/>
      <c r="I94" s="119"/>
      <c r="J94" s="116"/>
      <c r="K94" s="116"/>
      <c r="L94" s="116"/>
      <c r="M94" s="116"/>
      <c r="N94" s="119"/>
      <c r="O94" s="119"/>
      <c r="P94" s="119"/>
      <c r="Q94" s="119"/>
      <c r="R94" s="119"/>
      <c r="S94" s="119"/>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119"/>
      <c r="AT94" s="120"/>
      <c r="AU94" s="273"/>
      <c r="AV94" s="119"/>
      <c r="AW94" s="119"/>
      <c r="AX94" s="119"/>
      <c r="AY94" s="119"/>
      <c r="AZ94" s="119"/>
      <c r="BA94" s="119"/>
      <c r="BB94" s="119"/>
      <c r="BC94" s="119"/>
      <c r="BD94" s="119"/>
      <c r="BE94" s="119"/>
      <c r="BF94" s="119"/>
      <c r="BG94" s="119"/>
      <c r="BH94" s="119"/>
      <c r="BI94" s="119"/>
      <c r="BJ94" s="120"/>
      <c r="BK94" s="120"/>
      <c r="BL94" s="119"/>
      <c r="BM94" s="121" t="s">
        <v>419</v>
      </c>
      <c r="BN94" s="119"/>
      <c r="BO94" s="122"/>
      <c r="BP94" s="119" t="s">
        <v>419</v>
      </c>
      <c r="BQ94" s="120"/>
      <c r="BR94" s="123"/>
      <c r="BS94" s="307"/>
      <c r="BT94" s="317"/>
      <c r="BU94" s="317"/>
      <c r="BV94" s="126"/>
      <c r="BW94" s="126"/>
      <c r="BX94" s="120" t="s">
        <v>159</v>
      </c>
      <c r="BY94" s="123"/>
      <c r="BZ94" s="318"/>
      <c r="CA94" s="317"/>
      <c r="CB94" s="317"/>
      <c r="CC94" s="317"/>
      <c r="CD94" s="317"/>
      <c r="CE94" s="127"/>
      <c r="CF94" s="116"/>
    </row>
    <row r="95" spans="1:90" ht="15" hidden="1" customHeight="1" outlineLevel="1">
      <c r="A95" s="320" t="s">
        <v>384</v>
      </c>
      <c r="B95" s="310"/>
      <c r="C95" s="310"/>
      <c r="D95" s="306"/>
      <c r="E95" s="121"/>
      <c r="F95" s="119"/>
      <c r="G95" s="119"/>
      <c r="H95" s="119"/>
      <c r="I95" s="119"/>
      <c r="J95" s="116"/>
      <c r="K95" s="116"/>
      <c r="L95" s="116"/>
      <c r="M95" s="116"/>
      <c r="N95" s="119"/>
      <c r="O95" s="119"/>
      <c r="P95" s="119"/>
      <c r="Q95" s="119"/>
      <c r="R95" s="119"/>
      <c r="S95" s="119"/>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119"/>
      <c r="AT95" s="120"/>
      <c r="AU95" s="273"/>
      <c r="AV95" s="119"/>
      <c r="AW95" s="119"/>
      <c r="AX95" s="119"/>
      <c r="AY95" s="119"/>
      <c r="AZ95" s="119"/>
      <c r="BA95" s="119"/>
      <c r="BB95" s="119"/>
      <c r="BC95" s="119"/>
      <c r="BD95" s="119"/>
      <c r="BE95" s="119"/>
      <c r="BF95" s="119"/>
      <c r="BG95" s="119"/>
      <c r="BH95" s="119"/>
      <c r="BI95" s="119"/>
      <c r="BJ95" s="120"/>
      <c r="BK95" s="120"/>
      <c r="BL95" s="119"/>
      <c r="BM95" s="121"/>
      <c r="BN95" s="119"/>
      <c r="BO95" s="122"/>
      <c r="BP95" s="119"/>
      <c r="BQ95" s="120"/>
      <c r="BR95" s="123"/>
      <c r="BS95" s="307"/>
      <c r="BT95" s="317"/>
      <c r="BU95" s="317"/>
      <c r="BV95" s="126"/>
      <c r="BW95" s="126"/>
      <c r="BX95" s="120"/>
      <c r="BY95" s="123"/>
      <c r="BZ95" s="318"/>
      <c r="CA95" s="317"/>
      <c r="CB95" s="317"/>
      <c r="CC95" s="317"/>
      <c r="CD95" s="317"/>
      <c r="CE95" s="127"/>
      <c r="CF95" s="116"/>
    </row>
    <row r="96" spans="1:90" ht="15" hidden="1" customHeight="1" outlineLevel="1">
      <c r="A96" s="302" t="s">
        <v>384</v>
      </c>
      <c r="B96" s="303" t="s">
        <v>163</v>
      </c>
      <c r="C96" s="303" t="s">
        <v>163</v>
      </c>
      <c r="D96" s="321"/>
      <c r="E96" s="230" t="str">
        <f>F96</f>
        <v>Not supported</v>
      </c>
      <c r="F96" s="231" t="s">
        <v>156</v>
      </c>
      <c r="G96" s="231" t="s">
        <v>156</v>
      </c>
      <c r="H96" s="231"/>
      <c r="I96" s="169" t="s">
        <v>303</v>
      </c>
      <c r="J96" s="116"/>
      <c r="K96" s="116"/>
      <c r="L96" s="817"/>
      <c r="M96" s="817"/>
      <c r="N96" s="46" t="s">
        <v>277</v>
      </c>
      <c r="O96" s="46" t="s">
        <v>141</v>
      </c>
      <c r="P96" s="46" t="s">
        <v>141</v>
      </c>
      <c r="Q96" s="46" t="s">
        <v>138</v>
      </c>
      <c r="R96" s="46" t="s">
        <v>152</v>
      </c>
      <c r="S96" s="46" t="s">
        <v>142</v>
      </c>
      <c r="T96" s="46" t="s">
        <v>143</v>
      </c>
      <c r="U96" s="46"/>
      <c r="V96" s="169"/>
      <c r="W96" s="169"/>
      <c r="X96" s="46"/>
      <c r="Y96" s="46"/>
      <c r="Z96" s="43"/>
      <c r="AA96" s="43"/>
      <c r="AB96" s="322" t="str">
        <f>HYPERLINK("http://10.32.16.105/systest/Reports/TestLink/SuiteExecC.php?plan=483426&amp;rep=F&amp;platform=179","Pass,2-7-18")</f>
        <v>Pass,2-7-18</v>
      </c>
      <c r="AC96" s="169"/>
      <c r="AD96" s="169"/>
      <c r="AE96" s="46" t="s">
        <v>291</v>
      </c>
      <c r="AF96" s="46" t="s">
        <v>291</v>
      </c>
      <c r="AG96" s="46" t="s">
        <v>299</v>
      </c>
      <c r="AH96" s="46" t="s">
        <v>273</v>
      </c>
      <c r="AI96" s="46" t="s">
        <v>144</v>
      </c>
      <c r="AJ96" s="216" t="s">
        <v>275</v>
      </c>
      <c r="AK96" s="216" t="s">
        <v>285</v>
      </c>
      <c r="AL96" s="46" t="s">
        <v>148</v>
      </c>
      <c r="AM96" s="46" t="s">
        <v>275</v>
      </c>
      <c r="AN96" s="46" t="s">
        <v>275</v>
      </c>
      <c r="AO96" s="46" t="s">
        <v>275</v>
      </c>
      <c r="AP96" s="46" t="s">
        <v>294</v>
      </c>
      <c r="AQ96" s="46" t="s">
        <v>277</v>
      </c>
      <c r="AR96" s="46"/>
      <c r="AS96" s="46"/>
      <c r="AT96" s="62" t="s">
        <v>280</v>
      </c>
      <c r="AU96" s="63"/>
      <c r="AV96" s="169" t="s">
        <v>303</v>
      </c>
      <c r="AW96" s="169" t="s">
        <v>303</v>
      </c>
      <c r="AX96" s="169" t="s">
        <v>303</v>
      </c>
      <c r="AY96" s="46" t="s">
        <v>146</v>
      </c>
      <c r="AZ96" s="46" t="s">
        <v>281</v>
      </c>
      <c r="BA96" s="46" t="s">
        <v>150</v>
      </c>
      <c r="BB96" s="46" t="s">
        <v>147</v>
      </c>
      <c r="BC96" s="46" t="s">
        <v>304</v>
      </c>
      <c r="BD96" s="46" t="s">
        <v>282</v>
      </c>
      <c r="BE96" s="46" t="s">
        <v>152</v>
      </c>
      <c r="BF96" s="46" t="s">
        <v>148</v>
      </c>
      <c r="BG96" s="46" t="s">
        <v>148</v>
      </c>
      <c r="BH96" s="46" t="s">
        <v>284</v>
      </c>
      <c r="BI96" s="46" t="s">
        <v>149</v>
      </c>
      <c r="BJ96" s="46" t="s">
        <v>149</v>
      </c>
      <c r="BK96" s="46" t="s">
        <v>149</v>
      </c>
      <c r="BL96" s="216" t="s">
        <v>285</v>
      </c>
      <c r="BM96" s="76" t="s">
        <v>310</v>
      </c>
      <c r="BN96" s="168" t="s">
        <v>430</v>
      </c>
      <c r="BO96" s="168" t="s">
        <v>310</v>
      </c>
      <c r="BP96" s="66" t="s">
        <v>431</v>
      </c>
      <c r="BQ96" s="67" t="s">
        <v>431</v>
      </c>
      <c r="BR96" s="68"/>
      <c r="BS96" s="76" t="s">
        <v>306</v>
      </c>
      <c r="BT96" s="154"/>
      <c r="BU96" s="171" t="s">
        <v>295</v>
      </c>
      <c r="BV96" s="155" t="s">
        <v>431</v>
      </c>
      <c r="BW96" s="155" t="s">
        <v>431</v>
      </c>
      <c r="BX96" s="182" t="s">
        <v>295</v>
      </c>
      <c r="BY96" s="68"/>
      <c r="BZ96" s="172" t="s">
        <v>344</v>
      </c>
      <c r="CA96" s="71" t="s">
        <v>344</v>
      </c>
      <c r="CB96" s="223" t="s">
        <v>344</v>
      </c>
      <c r="CC96" s="71" t="s">
        <v>170</v>
      </c>
      <c r="CD96" s="71" t="s">
        <v>170</v>
      </c>
      <c r="CE96" s="72"/>
      <c r="CF96" s="84" t="s">
        <v>344</v>
      </c>
      <c r="CL96" s="160"/>
    </row>
    <row r="97" spans="1:84" ht="15" hidden="1" customHeight="1" outlineLevel="1">
      <c r="A97" s="302" t="s">
        <v>432</v>
      </c>
      <c r="B97" s="311"/>
      <c r="C97" s="311"/>
      <c r="D97" s="306"/>
      <c r="E97" s="121"/>
      <c r="F97" s="119"/>
      <c r="G97" s="119"/>
      <c r="H97" s="119"/>
      <c r="I97" s="119"/>
      <c r="J97" s="116"/>
      <c r="K97" s="116"/>
      <c r="L97" s="116"/>
      <c r="M97" s="116"/>
      <c r="N97" s="119"/>
      <c r="O97" s="119"/>
      <c r="P97" s="119"/>
      <c r="Q97" s="119"/>
      <c r="R97" s="119"/>
      <c r="S97" s="119"/>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119"/>
      <c r="AT97" s="120"/>
      <c r="AU97" s="273"/>
      <c r="AV97" s="119"/>
      <c r="AW97" s="119"/>
      <c r="AX97" s="119"/>
      <c r="AY97" s="119"/>
      <c r="AZ97" s="119"/>
      <c r="BA97" s="119"/>
      <c r="BB97" s="119"/>
      <c r="BC97" s="119"/>
      <c r="BD97" s="119"/>
      <c r="BE97" s="119"/>
      <c r="BF97" s="119"/>
      <c r="BG97" s="119"/>
      <c r="BH97" s="119"/>
      <c r="BI97" s="119"/>
      <c r="BJ97" s="120"/>
      <c r="BK97" s="120"/>
      <c r="BL97" s="119"/>
      <c r="BM97" s="121" t="s">
        <v>342</v>
      </c>
      <c r="BN97" s="119" t="s">
        <v>342</v>
      </c>
      <c r="BO97" s="122" t="s">
        <v>342</v>
      </c>
      <c r="BP97" s="119" t="s">
        <v>342</v>
      </c>
      <c r="BQ97" s="120"/>
      <c r="BR97" s="123"/>
      <c r="BS97" s="307" t="s">
        <v>342</v>
      </c>
      <c r="BT97" s="317"/>
      <c r="BU97" s="317"/>
      <c r="BV97" s="126"/>
      <c r="BW97" s="126"/>
      <c r="BX97" s="120" t="s">
        <v>306</v>
      </c>
      <c r="BY97" s="123"/>
      <c r="BZ97" s="318"/>
      <c r="CA97" s="317"/>
      <c r="CB97" s="317"/>
      <c r="CC97" s="317"/>
      <c r="CD97" s="317"/>
      <c r="CE97" s="127"/>
      <c r="CF97" s="308" t="s">
        <v>343</v>
      </c>
    </row>
    <row r="98" spans="1:84" ht="15" hidden="1" customHeight="1" outlineLevel="1">
      <c r="A98" s="302" t="s">
        <v>384</v>
      </c>
      <c r="B98" s="311"/>
      <c r="C98" s="311"/>
      <c r="D98" s="306"/>
      <c r="E98" s="121"/>
      <c r="F98" s="119"/>
      <c r="G98" s="119"/>
      <c r="H98" s="119"/>
      <c r="I98" s="119"/>
      <c r="J98" s="116"/>
      <c r="K98" s="116"/>
      <c r="L98" s="116"/>
      <c r="M98" s="116"/>
      <c r="N98" s="119"/>
      <c r="O98" s="119"/>
      <c r="P98" s="119"/>
      <c r="Q98" s="119"/>
      <c r="R98" s="119"/>
      <c r="S98" s="119"/>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119"/>
      <c r="AT98" s="120"/>
      <c r="AU98" s="273"/>
      <c r="AV98" s="119"/>
      <c r="AW98" s="119"/>
      <c r="AX98" s="119"/>
      <c r="AY98" s="119"/>
      <c r="AZ98" s="119"/>
      <c r="BA98" s="119"/>
      <c r="BB98" s="119"/>
      <c r="BC98" s="119"/>
      <c r="BD98" s="119"/>
      <c r="BE98" s="119"/>
      <c r="BF98" s="119"/>
      <c r="BG98" s="119"/>
      <c r="BH98" s="119"/>
      <c r="BI98" s="119"/>
      <c r="BJ98" s="120"/>
      <c r="BK98" s="120"/>
      <c r="BL98" s="119"/>
      <c r="BM98" s="121" t="s">
        <v>419</v>
      </c>
      <c r="BN98" s="119"/>
      <c r="BO98" s="122"/>
      <c r="BP98" s="119" t="s">
        <v>419</v>
      </c>
      <c r="BQ98" s="120"/>
      <c r="BR98" s="123"/>
      <c r="BS98" s="121"/>
      <c r="BT98" s="119" t="s">
        <v>177</v>
      </c>
      <c r="BU98" s="119" t="s">
        <v>177</v>
      </c>
      <c r="BV98" s="119"/>
      <c r="BW98" s="119"/>
      <c r="BX98" s="120" t="s">
        <v>159</v>
      </c>
      <c r="BY98" s="123"/>
      <c r="BZ98" s="121"/>
      <c r="CA98" s="119" t="s">
        <v>177</v>
      </c>
      <c r="CB98" s="119" t="s">
        <v>177</v>
      </c>
      <c r="CC98" s="119" t="s">
        <v>177</v>
      </c>
      <c r="CD98" s="119" t="s">
        <v>177</v>
      </c>
      <c r="CE98" s="127"/>
      <c r="CF98" s="119" t="s">
        <v>177</v>
      </c>
    </row>
    <row r="99" spans="1:84" ht="15" hidden="1" customHeight="1" outlineLevel="1">
      <c r="A99" s="302" t="s">
        <v>433</v>
      </c>
      <c r="B99" s="310"/>
      <c r="C99" s="310"/>
      <c r="D99" s="312"/>
      <c r="E99" s="130"/>
      <c r="F99" s="116"/>
      <c r="G99" s="116"/>
      <c r="H99" s="116"/>
      <c r="I99" s="116"/>
      <c r="J99" s="116"/>
      <c r="K99" s="116"/>
      <c r="L99" s="116"/>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116"/>
      <c r="AK99" s="116"/>
      <c r="AL99" s="116"/>
      <c r="AM99" s="116"/>
      <c r="AN99" s="116"/>
      <c r="AO99" s="116"/>
      <c r="AP99" s="116"/>
      <c r="AQ99" s="116"/>
      <c r="AR99" s="116"/>
      <c r="AS99" s="116"/>
      <c r="AT99" s="129"/>
      <c r="AU99" s="313"/>
      <c r="AV99" s="116"/>
      <c r="AW99" s="116"/>
      <c r="AX99" s="116"/>
      <c r="AY99" s="116"/>
      <c r="AZ99" s="116"/>
      <c r="BA99" s="116"/>
      <c r="BB99" s="116"/>
      <c r="BC99" s="116"/>
      <c r="BD99" s="116"/>
      <c r="BE99" s="116"/>
      <c r="BF99" s="116"/>
      <c r="BG99" s="116"/>
      <c r="BH99" s="116"/>
      <c r="BI99" s="116"/>
      <c r="BJ99" s="129"/>
      <c r="BK99" s="129"/>
      <c r="BL99" s="116"/>
      <c r="BM99" s="130"/>
      <c r="BN99" s="116"/>
      <c r="BO99" s="131"/>
      <c r="BP99" s="116"/>
      <c r="BQ99" s="129"/>
      <c r="BR99" s="132"/>
      <c r="BS99" s="130"/>
      <c r="BT99" s="116"/>
      <c r="BU99" s="116"/>
      <c r="BV99" s="116"/>
      <c r="BW99" s="116"/>
      <c r="BX99" s="120" t="s">
        <v>159</v>
      </c>
      <c r="BY99" s="132"/>
      <c r="BZ99" s="130" t="s">
        <v>423</v>
      </c>
      <c r="CA99" s="116"/>
      <c r="CB99" s="116"/>
      <c r="CC99" s="116"/>
      <c r="CD99" s="116"/>
      <c r="CE99" s="134"/>
      <c r="CF99" s="116"/>
    </row>
    <row r="100" spans="1:84" ht="15" hidden="1" customHeight="1" outlineLevel="1">
      <c r="A100" s="320" t="s">
        <v>434</v>
      </c>
      <c r="B100" s="310"/>
      <c r="C100" s="310"/>
      <c r="D100" s="323"/>
      <c r="E100" s="121"/>
      <c r="F100" s="119"/>
      <c r="G100" s="119"/>
      <c r="H100" s="119"/>
      <c r="I100" s="119"/>
      <c r="J100" s="119"/>
      <c r="K100" s="119"/>
      <c r="L100" s="119"/>
      <c r="M100" s="119"/>
      <c r="N100" s="119"/>
      <c r="O100" s="119"/>
      <c r="P100" s="119"/>
      <c r="Q100" s="119"/>
      <c r="R100" s="119"/>
      <c r="S100" s="119"/>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119"/>
      <c r="AT100" s="120"/>
      <c r="AU100" s="324"/>
      <c r="AV100" s="119"/>
      <c r="AW100" s="119"/>
      <c r="AX100" s="119"/>
      <c r="AY100" s="119"/>
      <c r="AZ100" s="119"/>
      <c r="BA100" s="119"/>
      <c r="BB100" s="119"/>
      <c r="BC100" s="119"/>
      <c r="BD100" s="119"/>
      <c r="BE100" s="119"/>
      <c r="BF100" s="119"/>
      <c r="BG100" s="119"/>
      <c r="BH100" s="119"/>
      <c r="BI100" s="119"/>
      <c r="BJ100" s="120"/>
      <c r="BK100" s="120"/>
      <c r="BL100" s="119"/>
      <c r="BM100" s="325" t="s">
        <v>419</v>
      </c>
      <c r="BN100" s="119"/>
      <c r="BO100" s="122"/>
      <c r="BP100" s="326" t="s">
        <v>419</v>
      </c>
      <c r="BQ100" s="327"/>
      <c r="BR100" s="328"/>
      <c r="BS100" s="121"/>
      <c r="BT100" s="119"/>
      <c r="BU100" s="119"/>
      <c r="BV100" s="119"/>
      <c r="BW100" s="119"/>
      <c r="BX100" s="120" t="s">
        <v>159</v>
      </c>
      <c r="BY100" s="328"/>
      <c r="BZ100" s="121"/>
      <c r="CA100" s="119"/>
      <c r="CB100" s="119"/>
      <c r="CC100" s="119"/>
      <c r="CD100" s="119"/>
      <c r="CE100" s="127"/>
      <c r="CF100" s="119"/>
    </row>
    <row r="101" spans="1:84" ht="15" hidden="1" customHeight="1" outlineLevel="1">
      <c r="A101" s="320" t="s">
        <v>434</v>
      </c>
      <c r="B101" s="310"/>
      <c r="C101" s="310"/>
      <c r="D101" s="323"/>
      <c r="E101" s="121"/>
      <c r="F101" s="119"/>
      <c r="G101" s="119"/>
      <c r="H101" s="119"/>
      <c r="I101" s="119"/>
      <c r="J101" s="119"/>
      <c r="K101" s="119"/>
      <c r="L101" s="119"/>
      <c r="M101" s="119"/>
      <c r="N101" s="119"/>
      <c r="O101" s="119"/>
      <c r="P101" s="119"/>
      <c r="Q101" s="119"/>
      <c r="R101" s="119"/>
      <c r="S101" s="119"/>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119"/>
      <c r="AT101" s="120"/>
      <c r="AU101" s="324"/>
      <c r="AV101" s="119"/>
      <c r="AW101" s="119"/>
      <c r="AX101" s="119"/>
      <c r="AY101" s="119"/>
      <c r="AZ101" s="119"/>
      <c r="BA101" s="119"/>
      <c r="BB101" s="119"/>
      <c r="BC101" s="119"/>
      <c r="BD101" s="119"/>
      <c r="BE101" s="119"/>
      <c r="BF101" s="119"/>
      <c r="BG101" s="119"/>
      <c r="BH101" s="119"/>
      <c r="BI101" s="119"/>
      <c r="BJ101" s="120"/>
      <c r="BK101" s="120"/>
      <c r="BL101" s="119"/>
      <c r="BM101" s="325" t="s">
        <v>419</v>
      </c>
      <c r="BN101" s="119"/>
      <c r="BO101" s="122"/>
      <c r="BP101" s="326" t="s">
        <v>419</v>
      </c>
      <c r="BQ101" s="327"/>
      <c r="BR101" s="328"/>
      <c r="BS101" s="121"/>
      <c r="BT101" s="119"/>
      <c r="BU101" s="119"/>
      <c r="BV101" s="119"/>
      <c r="BW101" s="119"/>
      <c r="BX101" s="120" t="s">
        <v>159</v>
      </c>
      <c r="BY101" s="328"/>
      <c r="BZ101" s="121"/>
      <c r="CA101" s="119"/>
      <c r="CB101" s="119"/>
      <c r="CC101" s="119"/>
      <c r="CD101" s="119" t="s">
        <v>158</v>
      </c>
      <c r="CE101" s="127"/>
      <c r="CF101" s="119"/>
    </row>
    <row r="102" spans="1:84" ht="15" hidden="1" customHeight="1" outlineLevel="1">
      <c r="A102" s="302" t="s">
        <v>434</v>
      </c>
      <c r="B102" s="310"/>
      <c r="C102" s="310"/>
      <c r="D102" s="306"/>
      <c r="E102" s="121"/>
      <c r="F102" s="119"/>
      <c r="G102" s="119"/>
      <c r="H102" s="119"/>
      <c r="I102" s="119"/>
      <c r="J102" s="119"/>
      <c r="K102" s="119"/>
      <c r="L102" s="119"/>
      <c r="M102" s="119"/>
      <c r="N102" s="119"/>
      <c r="O102" s="119"/>
      <c r="P102" s="119"/>
      <c r="Q102" s="119"/>
      <c r="R102" s="119"/>
      <c r="S102" s="119"/>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119"/>
      <c r="AT102" s="120"/>
      <c r="AU102" s="273"/>
      <c r="AV102" s="119"/>
      <c r="AW102" s="119"/>
      <c r="AX102" s="119"/>
      <c r="AY102" s="119"/>
      <c r="AZ102" s="119"/>
      <c r="BA102" s="119"/>
      <c r="BB102" s="119"/>
      <c r="BC102" s="119"/>
      <c r="BD102" s="119"/>
      <c r="BE102" s="119"/>
      <c r="BF102" s="119"/>
      <c r="BG102" s="119"/>
      <c r="BH102" s="119"/>
      <c r="BI102" s="119"/>
      <c r="BJ102" s="120"/>
      <c r="BK102" s="120"/>
      <c r="BL102" s="119"/>
      <c r="BM102" s="121" t="s">
        <v>419</v>
      </c>
      <c r="BN102" s="119"/>
      <c r="BO102" s="122"/>
      <c r="BP102" s="119" t="s">
        <v>419</v>
      </c>
      <c r="BQ102" s="120"/>
      <c r="BR102" s="123"/>
      <c r="BS102" s="121"/>
      <c r="BT102" s="119" t="s">
        <v>177</v>
      </c>
      <c r="BU102" s="119" t="s">
        <v>177</v>
      </c>
      <c r="BV102" s="329"/>
      <c r="BW102" s="329"/>
      <c r="BX102" s="120" t="s">
        <v>159</v>
      </c>
      <c r="BY102" s="123"/>
      <c r="BZ102" s="121"/>
      <c r="CA102" s="119" t="s">
        <v>177</v>
      </c>
      <c r="CB102" s="119" t="s">
        <v>177</v>
      </c>
      <c r="CC102" s="119" t="s">
        <v>177</v>
      </c>
      <c r="CD102" s="119" t="s">
        <v>177</v>
      </c>
      <c r="CE102" s="330"/>
      <c r="CF102" s="119" t="s">
        <v>177</v>
      </c>
    </row>
    <row r="103" spans="1:84" ht="15" hidden="1" customHeight="1" outlineLevel="1">
      <c r="A103" s="302" t="s">
        <v>435</v>
      </c>
      <c r="B103" s="310"/>
      <c r="C103" s="310"/>
      <c r="D103" s="306"/>
      <c r="E103" s="121"/>
      <c r="F103" s="119"/>
      <c r="G103" s="119"/>
      <c r="H103" s="119"/>
      <c r="I103" s="119"/>
      <c r="J103" s="119"/>
      <c r="K103" s="119"/>
      <c r="L103" s="119"/>
      <c r="M103" s="119"/>
      <c r="N103" s="119"/>
      <c r="O103" s="119"/>
      <c r="P103" s="119"/>
      <c r="Q103" s="119"/>
      <c r="R103" s="119"/>
      <c r="S103" s="119"/>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119"/>
      <c r="AT103" s="120"/>
      <c r="AU103" s="273"/>
      <c r="AV103" s="119"/>
      <c r="AW103" s="119"/>
      <c r="AX103" s="119"/>
      <c r="AY103" s="119"/>
      <c r="AZ103" s="119"/>
      <c r="BA103" s="119"/>
      <c r="BB103" s="119"/>
      <c r="BC103" s="119"/>
      <c r="BD103" s="119"/>
      <c r="BE103" s="119"/>
      <c r="BF103" s="119"/>
      <c r="BG103" s="119"/>
      <c r="BH103" s="119"/>
      <c r="BI103" s="119"/>
      <c r="BJ103" s="120"/>
      <c r="BK103" s="120"/>
      <c r="BL103" s="119"/>
      <c r="BM103" s="307" t="s">
        <v>153</v>
      </c>
      <c r="BN103" s="119" t="s">
        <v>176</v>
      </c>
      <c r="BO103" s="122" t="s">
        <v>176</v>
      </c>
      <c r="BP103" s="308" t="s">
        <v>153</v>
      </c>
      <c r="BQ103" s="309"/>
      <c r="BR103" s="123"/>
      <c r="BS103" s="121" t="s">
        <v>180</v>
      </c>
      <c r="BT103" s="119" t="s">
        <v>436</v>
      </c>
      <c r="BU103" s="119" t="s">
        <v>437</v>
      </c>
      <c r="BV103" s="119" t="s">
        <v>176</v>
      </c>
      <c r="BW103" s="119" t="s">
        <v>159</v>
      </c>
      <c r="BX103" s="120" t="s">
        <v>306</v>
      </c>
      <c r="BY103" s="123"/>
      <c r="BZ103" s="121" t="s">
        <v>436</v>
      </c>
      <c r="CA103" s="119" t="s">
        <v>436</v>
      </c>
      <c r="CB103" s="119" t="s">
        <v>437</v>
      </c>
      <c r="CC103" s="119" t="s">
        <v>437</v>
      </c>
      <c r="CD103" s="119" t="s">
        <v>437</v>
      </c>
      <c r="CE103" s="330"/>
      <c r="CF103" s="119" t="s">
        <v>437</v>
      </c>
    </row>
    <row r="104" spans="1:84" ht="15" hidden="1" customHeight="1" outlineLevel="1">
      <c r="A104" s="302" t="s">
        <v>438</v>
      </c>
      <c r="B104" s="310"/>
      <c r="C104" s="310"/>
      <c r="D104" s="306"/>
      <c r="E104" s="121"/>
      <c r="F104" s="119"/>
      <c r="G104" s="119"/>
      <c r="H104" s="119"/>
      <c r="I104" s="119"/>
      <c r="J104" s="119"/>
      <c r="K104" s="119"/>
      <c r="L104" s="119"/>
      <c r="M104" s="119"/>
      <c r="N104" s="119"/>
      <c r="O104" s="119"/>
      <c r="P104" s="119"/>
      <c r="Q104" s="119"/>
      <c r="R104" s="119"/>
      <c r="S104" s="119"/>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119"/>
      <c r="AT104" s="120"/>
      <c r="AU104" s="273"/>
      <c r="AV104" s="119"/>
      <c r="AW104" s="119"/>
      <c r="AX104" s="119"/>
      <c r="AY104" s="119"/>
      <c r="AZ104" s="119"/>
      <c r="BA104" s="119"/>
      <c r="BB104" s="119"/>
      <c r="BC104" s="119"/>
      <c r="BD104" s="119"/>
      <c r="BE104" s="119"/>
      <c r="BF104" s="119"/>
      <c r="BG104" s="119"/>
      <c r="BH104" s="119"/>
      <c r="BI104" s="119"/>
      <c r="BJ104" s="120"/>
      <c r="BK104" s="120"/>
      <c r="BL104" s="119"/>
      <c r="BM104" s="121" t="s">
        <v>419</v>
      </c>
      <c r="BN104" s="119"/>
      <c r="BO104" s="122"/>
      <c r="BP104" s="119" t="s">
        <v>419</v>
      </c>
      <c r="BQ104" s="120"/>
      <c r="BR104" s="123"/>
      <c r="BS104" s="121"/>
      <c r="BT104" s="119" t="s">
        <v>437</v>
      </c>
      <c r="BU104" s="119" t="s">
        <v>437</v>
      </c>
      <c r="BV104" s="331"/>
      <c r="BW104" s="331"/>
      <c r="BX104" s="120" t="s">
        <v>159</v>
      </c>
      <c r="BY104" s="123"/>
      <c r="BZ104" s="121" t="s">
        <v>437</v>
      </c>
      <c r="CA104" s="119" t="s">
        <v>437</v>
      </c>
      <c r="CB104" s="119" t="s">
        <v>437</v>
      </c>
      <c r="CC104" s="119" t="s">
        <v>437</v>
      </c>
      <c r="CD104" s="119" t="s">
        <v>437</v>
      </c>
      <c r="CE104" s="127"/>
      <c r="CF104" s="119" t="s">
        <v>437</v>
      </c>
    </row>
    <row r="105" spans="1:84" ht="15" hidden="1" customHeight="1" outlineLevel="1">
      <c r="A105" s="302" t="s">
        <v>387</v>
      </c>
      <c r="B105" s="311"/>
      <c r="C105" s="311"/>
      <c r="D105" s="306"/>
      <c r="E105" s="121"/>
      <c r="F105" s="119"/>
      <c r="G105" s="119"/>
      <c r="H105" s="119"/>
      <c r="I105" s="119"/>
      <c r="J105" s="119"/>
      <c r="K105" s="119"/>
      <c r="L105" s="119"/>
      <c r="M105" s="119"/>
      <c r="N105" s="119"/>
      <c r="O105" s="119"/>
      <c r="P105" s="119"/>
      <c r="Q105" s="119"/>
      <c r="R105" s="119"/>
      <c r="S105" s="119"/>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119"/>
      <c r="AT105" s="120"/>
      <c r="AU105" s="273"/>
      <c r="AV105" s="119"/>
      <c r="AW105" s="119"/>
      <c r="AX105" s="119"/>
      <c r="AY105" s="119"/>
      <c r="AZ105" s="119"/>
      <c r="BA105" s="119"/>
      <c r="BB105" s="119"/>
      <c r="BC105" s="119"/>
      <c r="BD105" s="119"/>
      <c r="BE105" s="119"/>
      <c r="BF105" s="119"/>
      <c r="BG105" s="119"/>
      <c r="BH105" s="119"/>
      <c r="BI105" s="119"/>
      <c r="BJ105" s="120"/>
      <c r="BK105" s="120"/>
      <c r="BL105" s="119"/>
      <c r="BM105" s="121" t="s">
        <v>419</v>
      </c>
      <c r="BN105" s="119"/>
      <c r="BO105" s="122"/>
      <c r="BP105" s="119" t="s">
        <v>419</v>
      </c>
      <c r="BQ105" s="120"/>
      <c r="BR105" s="123"/>
      <c r="BS105" s="121"/>
      <c r="BT105" s="119"/>
      <c r="BU105" s="119"/>
      <c r="BV105" s="119"/>
      <c r="BW105" s="119"/>
      <c r="BX105" s="120" t="s">
        <v>159</v>
      </c>
      <c r="BY105" s="123"/>
      <c r="BZ105" s="121"/>
      <c r="CA105" s="119"/>
      <c r="CB105" s="119"/>
      <c r="CC105" s="119"/>
      <c r="CD105" s="119"/>
      <c r="CE105" s="127"/>
      <c r="CF105" s="119"/>
    </row>
    <row r="106" spans="1:84" ht="15" hidden="1" customHeight="1" outlineLevel="1">
      <c r="A106" s="302" t="s">
        <v>439</v>
      </c>
      <c r="B106" s="310"/>
      <c r="C106" s="310"/>
      <c r="D106" s="312"/>
      <c r="E106" s="130"/>
      <c r="F106" s="116"/>
      <c r="G106" s="116"/>
      <c r="H106" s="116"/>
      <c r="I106" s="116"/>
      <c r="J106" s="116"/>
      <c r="K106" s="116"/>
      <c r="L106" s="116"/>
      <c r="M106" s="116"/>
      <c r="N106" s="116"/>
      <c r="O106" s="116"/>
      <c r="P106" s="116"/>
      <c r="Q106" s="116"/>
      <c r="R106" s="116"/>
      <c r="S106" s="116"/>
      <c r="T106" s="116"/>
      <c r="U106" s="116"/>
      <c r="V106" s="116"/>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29"/>
      <c r="AU106" s="313"/>
      <c r="AV106" s="116"/>
      <c r="AW106" s="116"/>
      <c r="AX106" s="116"/>
      <c r="AY106" s="116"/>
      <c r="AZ106" s="116"/>
      <c r="BA106" s="116"/>
      <c r="BB106" s="116"/>
      <c r="BC106" s="116"/>
      <c r="BD106" s="116"/>
      <c r="BE106" s="116"/>
      <c r="BF106" s="116"/>
      <c r="BG106" s="116"/>
      <c r="BH106" s="116"/>
      <c r="BI106" s="116"/>
      <c r="BJ106" s="129"/>
      <c r="BK106" s="129"/>
      <c r="BL106" s="116"/>
      <c r="BM106" s="130"/>
      <c r="BN106" s="116"/>
      <c r="BO106" s="131"/>
      <c r="BP106" s="116"/>
      <c r="BQ106" s="129"/>
      <c r="BR106" s="132"/>
      <c r="BS106" s="130"/>
      <c r="BT106" s="116"/>
      <c r="BU106" s="116"/>
      <c r="BV106" s="116"/>
      <c r="BW106" s="116"/>
      <c r="BX106" s="120" t="s">
        <v>159</v>
      </c>
      <c r="BY106" s="132"/>
      <c r="BZ106" s="130" t="s">
        <v>423</v>
      </c>
      <c r="CA106" s="116"/>
      <c r="CB106" s="116"/>
      <c r="CC106" s="116"/>
      <c r="CD106" s="116"/>
      <c r="CE106" s="127"/>
      <c r="CF106" s="116"/>
    </row>
    <row r="107" spans="1:84" ht="15" hidden="1" customHeight="1" outlineLevel="1">
      <c r="A107" s="302" t="s">
        <v>175</v>
      </c>
      <c r="B107" s="310"/>
      <c r="C107" s="310"/>
      <c r="D107" s="312"/>
      <c r="E107" s="130"/>
      <c r="F107" s="116"/>
      <c r="G107" s="116"/>
      <c r="H107" s="116"/>
      <c r="I107" s="116"/>
      <c r="J107" s="116"/>
      <c r="K107" s="116"/>
      <c r="L107" s="116"/>
      <c r="M107" s="116"/>
      <c r="N107" s="116"/>
      <c r="O107" s="116"/>
      <c r="P107" s="116"/>
      <c r="Q107" s="116"/>
      <c r="R107" s="116"/>
      <c r="S107" s="116"/>
      <c r="T107" s="116"/>
      <c r="U107" s="116"/>
      <c r="V107" s="116"/>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29"/>
      <c r="AU107" s="313"/>
      <c r="AV107" s="116"/>
      <c r="AW107" s="116"/>
      <c r="AX107" s="116"/>
      <c r="AY107" s="116"/>
      <c r="AZ107" s="116"/>
      <c r="BA107" s="116"/>
      <c r="BB107" s="116"/>
      <c r="BC107" s="116"/>
      <c r="BD107" s="116"/>
      <c r="BE107" s="116"/>
      <c r="BF107" s="116"/>
      <c r="BG107" s="116"/>
      <c r="BH107" s="116"/>
      <c r="BI107" s="116"/>
      <c r="BJ107" s="129"/>
      <c r="BK107" s="129"/>
      <c r="BL107" s="116"/>
      <c r="BM107" s="130" t="s">
        <v>153</v>
      </c>
      <c r="BN107" s="116" t="s">
        <v>159</v>
      </c>
      <c r="BO107" s="131" t="s">
        <v>159</v>
      </c>
      <c r="BP107" s="116" t="s">
        <v>153</v>
      </c>
      <c r="BQ107" s="129"/>
      <c r="BR107" s="132"/>
      <c r="BS107" s="130" t="s">
        <v>176</v>
      </c>
      <c r="BT107" s="116" t="s">
        <v>159</v>
      </c>
      <c r="BU107" s="116" t="s">
        <v>160</v>
      </c>
      <c r="BV107" s="116" t="s">
        <v>159</v>
      </c>
      <c r="BW107" s="116" t="s">
        <v>160</v>
      </c>
      <c r="BX107" s="120" t="s">
        <v>159</v>
      </c>
      <c r="BY107" s="132"/>
      <c r="BZ107" s="130" t="s">
        <v>159</v>
      </c>
      <c r="CA107" s="116" t="s">
        <v>159</v>
      </c>
      <c r="CB107" s="116" t="s">
        <v>159</v>
      </c>
      <c r="CC107" s="116" t="s">
        <v>160</v>
      </c>
      <c r="CD107" s="116" t="s">
        <v>177</v>
      </c>
      <c r="CE107" s="134"/>
      <c r="CF107" s="116" t="s">
        <v>159</v>
      </c>
    </row>
    <row r="108" spans="1:84" ht="15" hidden="1" customHeight="1" outlineLevel="1">
      <c r="A108" s="302" t="s">
        <v>387</v>
      </c>
      <c r="B108" s="302" t="s">
        <v>163</v>
      </c>
      <c r="C108" s="302" t="s">
        <v>163</v>
      </c>
      <c r="D108" s="314"/>
      <c r="E108" s="332"/>
      <c r="F108" s="126"/>
      <c r="G108" s="126"/>
      <c r="H108" s="126"/>
      <c r="I108" s="126"/>
      <c r="J108" s="126"/>
      <c r="K108" s="126"/>
      <c r="L108" s="126"/>
      <c r="M108" s="126"/>
      <c r="N108" s="126"/>
      <c r="O108" s="126"/>
      <c r="P108" s="126"/>
      <c r="Q108" s="126"/>
      <c r="R108" s="126"/>
      <c r="S108" s="126" t="s">
        <v>165</v>
      </c>
      <c r="T108" s="126" t="s">
        <v>165</v>
      </c>
      <c r="U108" s="126"/>
      <c r="V108" s="126"/>
      <c r="W108" s="126"/>
      <c r="X108" s="126"/>
      <c r="Y108" s="126"/>
      <c r="Z108" s="332"/>
      <c r="AA108" s="332"/>
      <c r="AB108" s="332"/>
      <c r="AC108" s="126"/>
      <c r="AD108" s="126"/>
      <c r="AE108" s="126"/>
      <c r="AF108" s="126"/>
      <c r="AG108" s="126"/>
      <c r="AH108" s="126"/>
      <c r="AI108" s="126"/>
      <c r="AJ108" s="332"/>
      <c r="AK108" s="332"/>
      <c r="AL108" s="332"/>
      <c r="AM108" s="332"/>
      <c r="AN108" s="332"/>
      <c r="AO108" s="332"/>
      <c r="AP108" s="332"/>
      <c r="AQ108" s="332"/>
      <c r="AR108" s="332"/>
      <c r="AS108" s="332"/>
      <c r="AT108" s="319" t="s">
        <v>149</v>
      </c>
      <c r="AU108" s="63"/>
      <c r="AV108" s="126"/>
      <c r="AW108" s="126"/>
      <c r="AX108" s="126"/>
      <c r="AY108" s="126" t="s">
        <v>156</v>
      </c>
      <c r="AZ108" s="126" t="s">
        <v>281</v>
      </c>
      <c r="BA108" s="126" t="s">
        <v>150</v>
      </c>
      <c r="BB108" s="126"/>
      <c r="BC108" s="126" t="s">
        <v>156</v>
      </c>
      <c r="BD108" s="126"/>
      <c r="BE108" s="126"/>
      <c r="BF108" s="126"/>
      <c r="BG108" s="126"/>
      <c r="BH108" s="126" t="s">
        <v>284</v>
      </c>
      <c r="BI108" s="126" t="s">
        <v>149</v>
      </c>
      <c r="BJ108" s="126" t="s">
        <v>155</v>
      </c>
      <c r="BK108" s="126" t="s">
        <v>154</v>
      </c>
      <c r="BL108" s="126" t="s">
        <v>285</v>
      </c>
      <c r="BM108" s="332" t="s">
        <v>153</v>
      </c>
      <c r="BN108" s="126" t="s">
        <v>428</v>
      </c>
      <c r="BO108" s="126" t="s">
        <v>157</v>
      </c>
      <c r="BP108" s="126" t="s">
        <v>153</v>
      </c>
      <c r="BQ108" s="319" t="s">
        <v>153</v>
      </c>
      <c r="BR108" s="68"/>
      <c r="BS108" s="76" t="s">
        <v>415</v>
      </c>
      <c r="BT108" s="154"/>
      <c r="BU108" s="155" t="s">
        <v>177</v>
      </c>
      <c r="BV108" s="155" t="s">
        <v>157</v>
      </c>
      <c r="BW108" s="155" t="s">
        <v>342</v>
      </c>
      <c r="BX108" s="67" t="s">
        <v>306</v>
      </c>
      <c r="BY108" s="68"/>
      <c r="BZ108" s="172"/>
      <c r="CA108" s="71" t="s">
        <v>415</v>
      </c>
      <c r="CB108" s="71" t="s">
        <v>177</v>
      </c>
      <c r="CC108" s="71" t="s">
        <v>177</v>
      </c>
      <c r="CD108" s="71" t="s">
        <v>177</v>
      </c>
      <c r="CE108" s="72"/>
      <c r="CF108" s="71" t="s">
        <v>177</v>
      </c>
    </row>
    <row r="109" spans="1:84" ht="15" hidden="1" customHeight="1" outlineLevel="1">
      <c r="A109" s="302" t="s">
        <v>384</v>
      </c>
      <c r="B109" s="302" t="s">
        <v>307</v>
      </c>
      <c r="C109" s="302" t="s">
        <v>307</v>
      </c>
      <c r="D109" s="314"/>
      <c r="E109" s="130"/>
      <c r="F109" s="130"/>
      <c r="G109" s="126"/>
      <c r="H109" s="126"/>
      <c r="I109" s="126"/>
      <c r="J109" s="126"/>
      <c r="K109" s="126"/>
      <c r="L109" s="126"/>
      <c r="M109" s="126"/>
      <c r="N109" s="126"/>
      <c r="O109" s="126"/>
      <c r="P109" s="126"/>
      <c r="Q109" s="126"/>
      <c r="R109" s="126"/>
      <c r="S109" s="126"/>
      <c r="T109" s="126"/>
      <c r="U109" s="126"/>
      <c r="V109" s="126"/>
      <c r="W109" s="126"/>
      <c r="X109" s="126"/>
      <c r="Y109" s="126"/>
      <c r="Z109" s="126"/>
      <c r="AA109" s="126"/>
      <c r="AB109" s="126"/>
      <c r="AC109" s="126"/>
      <c r="AD109" s="126"/>
      <c r="AE109" s="126"/>
      <c r="AF109" s="126"/>
      <c r="AG109" s="126"/>
      <c r="AH109" s="126"/>
      <c r="AI109" s="126"/>
      <c r="AJ109" s="126"/>
      <c r="AK109" s="126"/>
      <c r="AL109" s="126"/>
      <c r="AM109" s="126"/>
      <c r="AN109" s="126"/>
      <c r="AO109" s="126"/>
      <c r="AP109" s="126"/>
      <c r="AQ109" s="126"/>
      <c r="AR109" s="126"/>
      <c r="AS109" s="126"/>
      <c r="AT109" s="319" t="s">
        <v>402</v>
      </c>
      <c r="AU109" s="313"/>
      <c r="AV109" s="126"/>
      <c r="AW109" s="126"/>
      <c r="AX109" s="126"/>
      <c r="AY109" s="126"/>
      <c r="AZ109" s="126" t="s">
        <v>402</v>
      </c>
      <c r="BA109" s="126" t="s">
        <v>402</v>
      </c>
      <c r="BB109" s="126"/>
      <c r="BC109" s="126"/>
      <c r="BD109" s="126"/>
      <c r="BE109" s="126"/>
      <c r="BF109" s="126"/>
      <c r="BG109" s="126"/>
      <c r="BH109" s="126"/>
      <c r="BI109" s="126" t="s">
        <v>402</v>
      </c>
      <c r="BJ109" s="126"/>
      <c r="BK109" s="126" t="s">
        <v>154</v>
      </c>
      <c r="BL109" s="126" t="s">
        <v>285</v>
      </c>
      <c r="BM109" s="332" t="s">
        <v>157</v>
      </c>
      <c r="BN109" s="126" t="s">
        <v>157</v>
      </c>
      <c r="BO109" s="126"/>
      <c r="BP109" s="126" t="s">
        <v>157</v>
      </c>
      <c r="BQ109" s="319"/>
      <c r="BR109" s="132"/>
      <c r="BS109" s="130" t="s">
        <v>157</v>
      </c>
      <c r="BT109" s="116" t="s">
        <v>157</v>
      </c>
      <c r="BU109" s="116" t="s">
        <v>157</v>
      </c>
      <c r="BV109" s="116" t="s">
        <v>157</v>
      </c>
      <c r="BW109" s="116" t="s">
        <v>180</v>
      </c>
      <c r="BX109" s="120" t="s">
        <v>157</v>
      </c>
      <c r="BY109" s="132"/>
      <c r="BZ109" s="130" t="s">
        <v>157</v>
      </c>
      <c r="CA109" s="116" t="s">
        <v>157</v>
      </c>
      <c r="CB109" s="116" t="s">
        <v>157</v>
      </c>
      <c r="CC109" s="116" t="s">
        <v>170</v>
      </c>
      <c r="CD109" s="116" t="s">
        <v>170</v>
      </c>
      <c r="CE109" s="134"/>
      <c r="CF109" s="116" t="s">
        <v>157</v>
      </c>
    </row>
  </sheetData>
  <mergeCells count="26">
    <mergeCell ref="BN3:BO3"/>
    <mergeCell ref="BP3:BQ3"/>
    <mergeCell ref="BR3:BR8"/>
    <mergeCell ref="BY3:BY8"/>
    <mergeCell ref="CE3:CE8"/>
    <mergeCell ref="BD3:BE3"/>
    <mergeCell ref="BF3:BG3"/>
    <mergeCell ref="BH3:BI3"/>
    <mergeCell ref="BJ3:BK3"/>
    <mergeCell ref="BL3:BM3"/>
    <mergeCell ref="AU2:AU8"/>
    <mergeCell ref="BR2:CF2"/>
    <mergeCell ref="A3:C8"/>
    <mergeCell ref="D3:D8"/>
    <mergeCell ref="E3:G3"/>
    <mergeCell ref="O3:P3"/>
    <mergeCell ref="S3:T3"/>
    <mergeCell ref="Z3:AB3"/>
    <mergeCell ref="AE3:AG3"/>
    <mergeCell ref="AH3:AI3"/>
    <mergeCell ref="AJ3:AL3"/>
    <mergeCell ref="AM3:AN3"/>
    <mergeCell ref="AP3:AT3"/>
    <mergeCell ref="AV3:AW3"/>
    <mergeCell ref="Q3:R3"/>
    <mergeCell ref="AZ3:BA3"/>
  </mergeCells>
  <phoneticPr fontId="64" type="noConversion"/>
  <conditionalFormatting sqref="AS22 AN24 AN26 AN32 AB34 AN34 AR24:AS24 AR26:AS26 AR32:AS32 AR34:AS34 AS15 AN13:AN14 AN16:AN17 AR39:AS39 AJ34:AL34 AJ24:AL24 AJ26:AL26 AL32 AA43:AB43 AI43:AJ43 AL43 AJ77:AL77 X38:X40 AA35:AB35 AA16 BC5:BL8 BC82:BL65548 BF3:BL4 N28 N82:N65548 AB44:AB45 AE8:AG8 BD35:BL36 AH38 AA40:AB40 AE96:AI96 BH3:BL10 AZ77:BB81 O35:T35 X34:X36 AY35:AY36 O44:T44 X43:X44 O80:V65548 AY77:AY65548 BB35:BB36 A80:A65548 E78:H79 BB78:BB65548 AH16:AL19 AJ38:AL40 AH44:AL45 AH35:AL36 A46:A77 A1:A4 BL1:BL10 AE3:AN3 AU22 AU15 AU24 AU26 AU37 AU39 BM80:IM65548 AR13:AU14 AR16:AU19 BD78:BL65548 AH27:AN28 BN3:BN4 BR3:IM4 BP3:BP4 BD5:IM10 X7:Y8 C80:H65548 C77:D77 AA96 C76:H76 E46:H75 E23:G23 O38:T38 E7:T8 O27:T28 C1:I2 E25:G25 T77:W77 S36:T36 AE40:AH40 AE28:AG28 AB38:AB39 AC46:AD65548 N46:V79 J1:M3 W23 J40:K40 I46:M65548 E35:G36 E3:I3 E44:G45 AE45:AG45 R37 BC38:BL38 BC37 BH37:BO37 AV80:AY65548 AL96:AN96 AN36 AH80:AN81 AM43:AN79 N1:P2 AV38:BK40 AU41:AW45 AX41:IM79 Q38:R65548 AV3:BB10 Q1:R3 N3:T3 X23:Y28 E27:G28 AB23:AB28 AP1:IM2 AP46:AW79 AP97:BB65548 AP82:BB95 AP80:BI81 AP96:BK96 AP9:BI10 AP27:AU28 AP3:AT3 AM18:AN19 AE23:AN23 AE25:AN25 AO46:AO65548 AO1:AO3 AP36:BK36 AP25:AU25 AP23:AU23 AP33:AT33 AP42:AT45 AP7:AT8 N40:T40 Q13:R15 AV13:IM19 X9:X10 AB9:AB10 AH7:AN10 O13:T14 AB13:AB14 X13:X14 AH13:AL14 AU11:IM12 AM35:BI35 AM38:AN38 AN39 AP38:AU38 AM40:AU40 AV22:IM30 Q22:R22 X16:X19 AB16:AB19 E16:G19 O16:Q19 C9:C19 AB78:AL79 AA7:AG7 AA80:AE81 AA77:AH77 AA82:AN95 AA97:AN65548 S1:AN2 AU20:IM21 E9:G10 E13:G14 S16:T19 O9:Q10 S9:T10 S23:T23 Q24:R24 N23:Q23 S25:T25 Q26:R28 N25:Q25 V3:Z3 V7:W7 V8 N45:T45 V45:Z65548 V25:W25 V16:W17 V36:W36 V38 E4:AT4 BD33:BL33 BL33:IM40 Q32:R36 AU31:IM32 AU33:BK34 AI75:IM75 AB32 AA46:AL76 X33:Y33 N33:T33 C21:C75 B9:B77 Z33:Z36 X32:Z32 H32:I45 L23:M28 E75:Z75 N30:Q30 AP30:AU30 AU29 L30:M44 X30:Y30 S30:T30 R29 AE30:AN30 AB30 E30:G30 AL29:AM29 U9:U45">
    <cfRule type="expression" dxfId="2376" priority="299">
      <formula>NOT(ISERROR(SEARCH("fail,",A1)))</formula>
    </cfRule>
  </conditionalFormatting>
  <conditionalFormatting sqref="AA45">
    <cfRule type="expression" dxfId="2375" priority="300">
      <formula>NOT(ISERROR(SEARCH("fail",AA45)))</formula>
    </cfRule>
  </conditionalFormatting>
  <conditionalFormatting sqref="AA39">
    <cfRule type="expression" dxfId="2374" priority="301">
      <formula>NOT(ISERROR(SEARCH("fail",AA39)))</formula>
    </cfRule>
  </conditionalFormatting>
  <conditionalFormatting sqref="AA44">
    <cfRule type="expression" dxfId="2373" priority="302">
      <formula>NOT(ISERROR(SEARCH("fail",AA44)))</formula>
    </cfRule>
  </conditionalFormatting>
  <conditionalFormatting sqref="AA9">
    <cfRule type="expression" dxfId="2372" priority="303">
      <formula>NOT(ISERROR(SEARCH("fail,",AA9)))</formula>
    </cfRule>
  </conditionalFormatting>
  <conditionalFormatting sqref="AA10">
    <cfRule type="expression" dxfId="2371" priority="304">
      <formula>NOT(ISERROR(SEARCH("fail,",AA10)))</formula>
    </cfRule>
  </conditionalFormatting>
  <conditionalFormatting sqref="AA13">
    <cfRule type="expression" dxfId="2370" priority="305">
      <formula>NOT(ISERROR(SEARCH("fail,",AA13)))</formula>
    </cfRule>
  </conditionalFormatting>
  <conditionalFormatting sqref="AA14">
    <cfRule type="expression" dxfId="2369" priority="306">
      <formula>NOT(ISERROR(SEARCH("fail,",AA14)))</formula>
    </cfRule>
  </conditionalFormatting>
  <conditionalFormatting sqref="AA17">
    <cfRule type="expression" dxfId="2368" priority="307">
      <formula>NOT(ISERROR(SEARCH("fail,",AA17)))</formula>
    </cfRule>
  </conditionalFormatting>
  <conditionalFormatting sqref="AA18">
    <cfRule type="expression" dxfId="2367" priority="308">
      <formula>NOT(ISERROR(SEARCH("fail,",AA18)))</formula>
    </cfRule>
  </conditionalFormatting>
  <conditionalFormatting sqref="AA19">
    <cfRule type="expression" dxfId="2366" priority="309">
      <formula>NOT(ISERROR(SEARCH("fail,",AA19)))</formula>
    </cfRule>
  </conditionalFormatting>
  <conditionalFormatting sqref="AA76">
    <cfRule type="expression" dxfId="2365" priority="310">
      <formula>NOT(ISERROR(SEARCH("fail,",AA76)))</formula>
    </cfRule>
  </conditionalFormatting>
  <conditionalFormatting sqref="AA24">
    <cfRule type="expression" dxfId="2364" priority="311">
      <formula>NOT(ISERROR(SEARCH("fail,",AA24)))</formula>
    </cfRule>
  </conditionalFormatting>
  <conditionalFormatting sqref="AA25">
    <cfRule type="expression" dxfId="2363" priority="312">
      <formula>NOT(ISERROR(SEARCH("fail,",AA25)))</formula>
    </cfRule>
  </conditionalFormatting>
  <conditionalFormatting sqref="AA26">
    <cfRule type="expression" dxfId="2362" priority="313">
      <formula>NOT(ISERROR(SEARCH("fail,",AA26)))</formula>
    </cfRule>
  </conditionalFormatting>
  <conditionalFormatting sqref="AA27">
    <cfRule type="expression" dxfId="2361" priority="314">
      <formula>NOT(ISERROR(SEARCH("fail,",AA27)))</formula>
    </cfRule>
  </conditionalFormatting>
  <conditionalFormatting sqref="AA28">
    <cfRule type="expression" dxfId="2360" priority="315">
      <formula>NOT(ISERROR(SEARCH("fail,",AA28)))</formula>
    </cfRule>
  </conditionalFormatting>
  <conditionalFormatting sqref="AA30">
    <cfRule type="expression" dxfId="2359" priority="316">
      <formula>NOT(ISERROR(SEARCH("fail,",AA30)))</formula>
    </cfRule>
  </conditionalFormatting>
  <conditionalFormatting sqref="AA32">
    <cfRule type="expression" dxfId="2358" priority="317">
      <formula>NOT(ISERROR(SEARCH("fail,",AA32)))</formula>
    </cfRule>
  </conditionalFormatting>
  <conditionalFormatting sqref="AA75">
    <cfRule type="expression" dxfId="2357" priority="318">
      <formula>NOT(ISERROR(SEARCH("fail,",AA75)))</formula>
    </cfRule>
  </conditionalFormatting>
  <conditionalFormatting sqref="AA34:AA35">
    <cfRule type="expression" dxfId="2356" priority="319">
      <formula>NOT(ISERROR(SEARCH("fail,",AA34)))</formula>
    </cfRule>
  </conditionalFormatting>
  <conditionalFormatting sqref="AA36">
    <cfRule type="expression" dxfId="2355" priority="320">
      <formula>NOT(ISERROR(SEARCH("fail,",AA36)))</formula>
    </cfRule>
  </conditionalFormatting>
  <conditionalFormatting sqref="AA77">
    <cfRule type="expression" dxfId="2354" priority="321">
      <formula>NOT(ISERROR(SEARCH("fail,",AA77)))</formula>
    </cfRule>
  </conditionalFormatting>
  <conditionalFormatting sqref="AA38">
    <cfRule type="expression" dxfId="2353" priority="322">
      <formula>NOT(ISERROR(SEARCH("fail,",AA38)))</formula>
    </cfRule>
  </conditionalFormatting>
  <conditionalFormatting sqref="Q77">
    <cfRule type="expression" dxfId="2352" priority="323">
      <formula>NOT(ISERROR(SEARCH("fail,",Q77)))</formula>
    </cfRule>
  </conditionalFormatting>
  <conditionalFormatting sqref="Q77">
    <cfRule type="expression" dxfId="2351" priority="324">
      <formula>NOT(ISERROR(SEARCH("fail,",Q77)))</formula>
    </cfRule>
  </conditionalFormatting>
  <conditionalFormatting sqref="AX77:AY77">
    <cfRule type="expression" dxfId="2350" priority="325">
      <formula>NOT(ISERROR(SEARCH("fail,",AX77)))</formula>
    </cfRule>
  </conditionalFormatting>
  <conditionalFormatting sqref="AX77:AY77">
    <cfRule type="expression" dxfId="2349" priority="326">
      <formula>NOT(ISERROR(SEARCH("fail,",AX77)))</formula>
    </cfRule>
  </conditionalFormatting>
  <conditionalFormatting sqref="N77">
    <cfRule type="expression" dxfId="2348" priority="329">
      <formula>NOT(ISERROR(SEARCH("fail,",N77)))</formula>
    </cfRule>
  </conditionalFormatting>
  <conditionalFormatting sqref="N77">
    <cfRule type="expression" dxfId="2347" priority="330">
      <formula>NOT(ISERROR(SEARCH("fail,",N77)))</formula>
    </cfRule>
  </conditionalFormatting>
  <conditionalFormatting sqref="BH77">
    <cfRule type="expression" dxfId="2346" priority="331">
      <formula>NOT(ISERROR(SEARCH("fail,",BH77)))</formula>
    </cfRule>
  </conditionalFormatting>
  <conditionalFormatting sqref="BH77">
    <cfRule type="expression" dxfId="2345" priority="332">
      <formula>NOT(ISERROR(SEARCH("fail,",BH77)))</formula>
    </cfRule>
  </conditionalFormatting>
  <conditionalFormatting sqref="O77">
    <cfRule type="expression" dxfId="2344" priority="333">
      <formula>NOT(ISERROR(SEARCH("fail,",O77)))</formula>
    </cfRule>
  </conditionalFormatting>
  <conditionalFormatting sqref="O77">
    <cfRule type="expression" dxfId="2343" priority="334">
      <formula>NOT(ISERROR(SEARCH("fail,",O77)))</formula>
    </cfRule>
  </conditionalFormatting>
  <conditionalFormatting sqref="P77:R77">
    <cfRule type="expression" dxfId="2342" priority="335">
      <formula>NOT(ISERROR(SEARCH("fail,",P77)))</formula>
    </cfRule>
  </conditionalFormatting>
  <conditionalFormatting sqref="P77:R77">
    <cfRule type="expression" dxfId="2341" priority="336">
      <formula>NOT(ISERROR(SEARCH("fail,",P77)))</formula>
    </cfRule>
  </conditionalFormatting>
  <conditionalFormatting sqref="S77">
    <cfRule type="expression" dxfId="2340" priority="337">
      <formula>NOT(ISERROR(SEARCH("fail,",S77)))</formula>
    </cfRule>
  </conditionalFormatting>
  <conditionalFormatting sqref="S77">
    <cfRule type="expression" dxfId="2339" priority="338">
      <formula>NOT(ISERROR(SEARCH("fail,",S77)))</formula>
    </cfRule>
  </conditionalFormatting>
  <conditionalFormatting sqref="X77">
    <cfRule type="expression" dxfId="2338" priority="341">
      <formula>NOT(ISERROR(SEARCH("fail,",X77)))</formula>
    </cfRule>
  </conditionalFormatting>
  <conditionalFormatting sqref="X77">
    <cfRule type="expression" dxfId="2337" priority="342">
      <formula>NOT(ISERROR(SEARCH("fail,",X77)))</formula>
    </cfRule>
  </conditionalFormatting>
  <conditionalFormatting sqref="AB77:AD77">
    <cfRule type="expression" dxfId="2336" priority="343">
      <formula>NOT(ISERROR(SEARCH("fail,",AB77)))</formula>
    </cfRule>
  </conditionalFormatting>
  <conditionalFormatting sqref="AB77:AD77">
    <cfRule type="expression" dxfId="2335" priority="344">
      <formula>NOT(ISERROR(SEARCH("fail,",AB77)))</formula>
    </cfRule>
  </conditionalFormatting>
  <conditionalFormatting sqref="AE77">
    <cfRule type="expression" dxfId="2334" priority="345">
      <formula>NOT(ISERROR(SEARCH("fail,",AE77)))</formula>
    </cfRule>
  </conditionalFormatting>
  <conditionalFormatting sqref="AE77">
    <cfRule type="expression" dxfId="2333" priority="346">
      <formula>NOT(ISERROR(SEARCH("fail,",AE77)))</formula>
    </cfRule>
  </conditionalFormatting>
  <conditionalFormatting sqref="AF77">
    <cfRule type="expression" dxfId="2332" priority="347">
      <formula>NOT(ISERROR(SEARCH("fail,",AF77)))</formula>
    </cfRule>
  </conditionalFormatting>
  <conditionalFormatting sqref="AF77">
    <cfRule type="expression" dxfId="2331" priority="348">
      <formula>NOT(ISERROR(SEARCH("fail,",AF77)))</formula>
    </cfRule>
  </conditionalFormatting>
  <conditionalFormatting sqref="AG77">
    <cfRule type="expression" dxfId="2330" priority="349">
      <formula>NOT(ISERROR(SEARCH("fail,",AG77)))</formula>
    </cfRule>
  </conditionalFormatting>
  <conditionalFormatting sqref="AG77">
    <cfRule type="expression" dxfId="2329" priority="350">
      <formula>NOT(ISERROR(SEARCH("fail,",AG77)))</formula>
    </cfRule>
  </conditionalFormatting>
  <conditionalFormatting sqref="AH77">
    <cfRule type="expression" dxfId="2328" priority="351">
      <formula>NOT(ISERROR(SEARCH("fail,",AH77)))</formula>
    </cfRule>
  </conditionalFormatting>
  <conditionalFormatting sqref="AH77">
    <cfRule type="expression" dxfId="2327" priority="352">
      <formula>NOT(ISERROR(SEARCH("fail,",AH77)))</formula>
    </cfRule>
  </conditionalFormatting>
  <conditionalFormatting sqref="AJ77">
    <cfRule type="expression" dxfId="2326" priority="353">
      <formula>NOT(ISERROR(SEARCH("fail,",AJ77)))</formula>
    </cfRule>
  </conditionalFormatting>
  <conditionalFormatting sqref="AJ77">
    <cfRule type="expression" dxfId="2325" priority="354">
      <formula>NOT(ISERROR(SEARCH("fail,",AJ77)))</formula>
    </cfRule>
  </conditionalFormatting>
  <conditionalFormatting sqref="AK77">
    <cfRule type="expression" dxfId="2324" priority="355">
      <formula>NOT(ISERROR(SEARCH("fail,",AK77)))</formula>
    </cfRule>
  </conditionalFormatting>
  <conditionalFormatting sqref="AK77">
    <cfRule type="expression" dxfId="2323" priority="356">
      <formula>NOT(ISERROR(SEARCH("fail,",AK77)))</formula>
    </cfRule>
  </conditionalFormatting>
  <conditionalFormatting sqref="AL77">
    <cfRule type="expression" dxfId="2322" priority="357">
      <formula>NOT(ISERROR(SEARCH("fail,",AL77)))</formula>
    </cfRule>
  </conditionalFormatting>
  <conditionalFormatting sqref="AL77">
    <cfRule type="expression" dxfId="2321" priority="358">
      <formula>NOT(ISERROR(SEARCH("fail,",AL77)))</formula>
    </cfRule>
  </conditionalFormatting>
  <conditionalFormatting sqref="AM77">
    <cfRule type="expression" dxfId="2320" priority="359">
      <formula>NOT(ISERROR(SEARCH("fail,",AM77)))</formula>
    </cfRule>
  </conditionalFormatting>
  <conditionalFormatting sqref="AM77">
    <cfRule type="expression" dxfId="2319" priority="360">
      <formula>NOT(ISERROR(SEARCH("fail,",AM77)))</formula>
    </cfRule>
  </conditionalFormatting>
  <conditionalFormatting sqref="AN77">
    <cfRule type="expression" dxfId="2318" priority="361">
      <formula>NOT(ISERROR(SEARCH("fail,",AN77)))</formula>
    </cfRule>
  </conditionalFormatting>
  <conditionalFormatting sqref="AN77">
    <cfRule type="expression" dxfId="2317" priority="362">
      <formula>NOT(ISERROR(SEARCH("fail,",AN77)))</formula>
    </cfRule>
  </conditionalFormatting>
  <conditionalFormatting sqref="AP77">
    <cfRule type="expression" dxfId="2316" priority="363">
      <formula>NOT(ISERROR(SEARCH("fail,",AP77)))</formula>
    </cfRule>
  </conditionalFormatting>
  <conditionalFormatting sqref="AP77">
    <cfRule type="expression" dxfId="2315" priority="364">
      <formula>NOT(ISERROR(SEARCH("fail,",AP77)))</formula>
    </cfRule>
  </conditionalFormatting>
  <conditionalFormatting sqref="AQ77">
    <cfRule type="expression" dxfId="2314" priority="365">
      <formula>NOT(ISERROR(SEARCH("fail,",AQ77)))</formula>
    </cfRule>
  </conditionalFormatting>
  <conditionalFormatting sqref="AQ77">
    <cfRule type="expression" dxfId="2313" priority="366">
      <formula>NOT(ISERROR(SEARCH("fail,",AQ77)))</formula>
    </cfRule>
  </conditionalFormatting>
  <conditionalFormatting sqref="AR77">
    <cfRule type="expression" dxfId="2312" priority="367">
      <formula>NOT(ISERROR(SEARCH("fail,",AR77)))</formula>
    </cfRule>
  </conditionalFormatting>
  <conditionalFormatting sqref="AR77">
    <cfRule type="expression" dxfId="2311" priority="368">
      <formula>NOT(ISERROR(SEARCH("fail,",AR77)))</formula>
    </cfRule>
  </conditionalFormatting>
  <conditionalFormatting sqref="AS77">
    <cfRule type="expression" dxfId="2310" priority="369">
      <formula>NOT(ISERROR(SEARCH("fail,",AS77)))</formula>
    </cfRule>
  </conditionalFormatting>
  <conditionalFormatting sqref="AS77">
    <cfRule type="expression" dxfId="2309" priority="370">
      <formula>NOT(ISERROR(SEARCH("fail,",AS77)))</formula>
    </cfRule>
  </conditionalFormatting>
  <conditionalFormatting sqref="AT77">
    <cfRule type="expression" dxfId="2308" priority="371">
      <formula>NOT(ISERROR(SEARCH("fail,",AT77)))</formula>
    </cfRule>
  </conditionalFormatting>
  <conditionalFormatting sqref="AT77">
    <cfRule type="expression" dxfId="2307" priority="372">
      <formula>NOT(ISERROR(SEARCH("fail,",AT77)))</formula>
    </cfRule>
  </conditionalFormatting>
  <conditionalFormatting sqref="BE77:BL77">
    <cfRule type="expression" dxfId="2306" priority="373">
      <formula>NOT(ISERROR(SEARCH("fail,",BE77)))</formula>
    </cfRule>
  </conditionalFormatting>
  <conditionalFormatting sqref="BE77:BL77">
    <cfRule type="expression" dxfId="2305" priority="374">
      <formula>NOT(ISERROR(SEARCH("fail,",BE77)))</formula>
    </cfRule>
  </conditionalFormatting>
  <conditionalFormatting sqref="C78">
    <cfRule type="expression" dxfId="2304" priority="375">
      <formula>NOT(ISERROR(SEARCH("fail,",C78)))</formula>
    </cfRule>
  </conditionalFormatting>
  <conditionalFormatting sqref="AA78">
    <cfRule type="expression" dxfId="2303" priority="376">
      <formula>NOT(ISERROR(SEARCH("fail",AA78)))</formula>
    </cfRule>
  </conditionalFormatting>
  <conditionalFormatting sqref="E33 AA33:AB33 AE33:AJ33 AM33:AN33">
    <cfRule type="expression" dxfId="2302" priority="377">
      <formula>NOT(ISERROR(SEARCH("fail,",E33)))</formula>
    </cfRule>
  </conditionalFormatting>
  <conditionalFormatting sqref="AA8">
    <cfRule type="expression" dxfId="2301" priority="378">
      <formula>NOT(ISERROR(SEARCH("fail,",AA8)))</formula>
    </cfRule>
  </conditionalFormatting>
  <conditionalFormatting sqref="Y43:Y44 Y40 Y34:Y36 Y38 Y9:Y10 Y13:Y14 Y16:Y19">
    <cfRule type="expression" dxfId="2300" priority="379">
      <formula>NOT(ISERROR(SEARCH("fail,",Y9)))</formula>
    </cfRule>
  </conditionalFormatting>
  <conditionalFormatting sqref="F33:G33">
    <cfRule type="expression" dxfId="2299" priority="380">
      <formula>NOT(ISERROR(SEARCH("fail,",F33)))</formula>
    </cfRule>
  </conditionalFormatting>
  <conditionalFormatting sqref="AK33:AL33">
    <cfRule type="expression" dxfId="2298" priority="381">
      <formula>NOT(ISERROR(SEARCH("fail,",AK33)))</formula>
    </cfRule>
  </conditionalFormatting>
  <conditionalFormatting sqref="BE42:BL42">
    <cfRule type="expression" dxfId="2297" priority="382">
      <formula>NOT(ISERROR(SEARCH("fail,",BE42)))</formula>
    </cfRule>
  </conditionalFormatting>
  <conditionalFormatting sqref="AK42:AL42">
    <cfRule type="expression" dxfId="2296" priority="384">
      <formula>NOT(ISERROR(SEARCH("fail,",AK42)))</formula>
    </cfRule>
  </conditionalFormatting>
  <conditionalFormatting sqref="Q41:Q42">
    <cfRule type="expression" dxfId="2295" priority="386">
      <formula>NOT(ISERROR(SEARCH("fail,",Q41)))</formula>
    </cfRule>
  </conditionalFormatting>
  <conditionalFormatting sqref="N42">
    <cfRule type="expression" dxfId="2294" priority="387">
      <formula>NOT(ISERROR(SEARCH("fail,",N42)))</formula>
    </cfRule>
  </conditionalFormatting>
  <conditionalFormatting sqref="O42:T42">
    <cfRule type="expression" dxfId="2293" priority="388">
      <formula>NOT(ISERROR(SEARCH("fail,",O42)))</formula>
    </cfRule>
  </conditionalFormatting>
  <conditionalFormatting sqref="BA42:BB42">
    <cfRule type="expression" dxfId="2292" priority="394">
      <formula>NOT(ISERROR(SEARCH("fail,",BA42)))</formula>
    </cfRule>
  </conditionalFormatting>
  <conditionalFormatting sqref="BH37:BL37">
    <cfRule type="expression" dxfId="2291" priority="411">
      <formula>NOT(ISERROR(SEARCH("fail,",BH37)))</formula>
    </cfRule>
  </conditionalFormatting>
  <conditionalFormatting sqref="BH37:BL37">
    <cfRule type="expression" dxfId="2290" priority="419">
      <formula>NOT(ISERROR(SEARCH("fail,",BH37)))</formula>
    </cfRule>
  </conditionalFormatting>
  <conditionalFormatting sqref="BH37">
    <cfRule type="expression" dxfId="2289" priority="445">
      <formula>NOT(ISERROR(SEARCH("fail,",BH37)))</formula>
    </cfRule>
  </conditionalFormatting>
  <conditionalFormatting sqref="BI37:BL37">
    <cfRule type="expression" dxfId="2288" priority="446">
      <formula>NOT(ISERROR(SEARCH("fail,",BI37)))</formula>
    </cfRule>
  </conditionalFormatting>
  <conditionalFormatting sqref="BJ37">
    <cfRule type="expression" dxfId="2287" priority="447">
      <formula>NOT(ISERROR(SEARCH("fail,",BJ37)))</formula>
    </cfRule>
  </conditionalFormatting>
  <conditionalFormatting sqref="BK37:BL37">
    <cfRule type="expression" dxfId="2286" priority="448">
      <formula>NOT(ISERROR(SEARCH("fail,",BK37)))</formula>
    </cfRule>
  </conditionalFormatting>
  <conditionalFormatting sqref="BL37">
    <cfRule type="expression" dxfId="2285" priority="449">
      <formula>NOT(ISERROR(SEARCH("fail,",BL37)))</formula>
    </cfRule>
  </conditionalFormatting>
  <conditionalFormatting sqref="AA23">
    <cfRule type="expression" dxfId="2284" priority="451">
      <formula>NOT(ISERROR(SEARCH("fail,",AA23)))</formula>
    </cfRule>
  </conditionalFormatting>
  <conditionalFormatting sqref="AW28:AW29">
    <cfRule type="expression" dxfId="2283" priority="453">
      <formula>NOT(ISERROR(SEARCH("fail,",AW28)))</formula>
    </cfRule>
  </conditionalFormatting>
  <conditionalFormatting sqref="C79 Q79">
    <cfRule type="expression" dxfId="2282" priority="454">
      <formula>NOT(ISERROR(SEARCH("fail,",C79)))</formula>
    </cfRule>
  </conditionalFormatting>
  <conditionalFormatting sqref="AA79">
    <cfRule type="expression" dxfId="2281" priority="455">
      <formula>NOT(ISERROR(SEARCH("fail,",AA79)))</formula>
    </cfRule>
  </conditionalFormatting>
  <conditionalFormatting sqref="AW79">
    <cfRule type="expression" dxfId="2280" priority="456">
      <formula>NOT(ISERROR(SEARCH("fail,",AW79)))</formula>
    </cfRule>
  </conditionalFormatting>
  <conditionalFormatting sqref="BC3:BC4">
    <cfRule type="expression" dxfId="2279" priority="457">
      <formula>NOT(ISERROR(SEARCH("fail,",BC3)))</formula>
    </cfRule>
  </conditionalFormatting>
  <conditionalFormatting sqref="B80:B65548 B1:B2">
    <cfRule type="expression" dxfId="2278" priority="458">
      <formula>NOT(ISERROR(SEARCH("fail,",B1)))</formula>
    </cfRule>
  </conditionalFormatting>
  <conditionalFormatting sqref="B78">
    <cfRule type="expression" dxfId="2277" priority="459">
      <formula>NOT(ISERROR(SEARCH("fail,",B78)))</formula>
    </cfRule>
  </conditionalFormatting>
  <conditionalFormatting sqref="B79">
    <cfRule type="expression" dxfId="2276" priority="460">
      <formula>NOT(ISERROR(SEARCH("fail,",B79)))</formula>
    </cfRule>
  </conditionalFormatting>
  <conditionalFormatting sqref="Z7">
    <cfRule type="expression" dxfId="2275" priority="462">
      <formula>NOT(ISERROR(SEARCH("fail,",Z7)))</formula>
    </cfRule>
  </conditionalFormatting>
  <conditionalFormatting sqref="N9:N10">
    <cfRule type="expression" dxfId="2274" priority="297">
      <formula>NOT(ISERROR(SEARCH("fail,",N9)))</formula>
    </cfRule>
  </conditionalFormatting>
  <conditionalFormatting sqref="AE9:AG10">
    <cfRule type="expression" dxfId="2273" priority="296">
      <formula>NOT(ISERROR(SEARCH("fail,",AE9)))</formula>
    </cfRule>
  </conditionalFormatting>
  <conditionalFormatting sqref="Z9:Z10 Z13:Z14">
    <cfRule type="expression" dxfId="2272" priority="291">
      <formula>NOT(ISERROR(SEARCH("fail,",Z9)))</formula>
    </cfRule>
  </conditionalFormatting>
  <conditionalFormatting sqref="Z16:Z19">
    <cfRule type="expression" dxfId="2271" priority="290">
      <formula>NOT(ISERROR(SEARCH("fail,",Z16)))</formula>
    </cfRule>
  </conditionalFormatting>
  <conditionalFormatting sqref="Z43:Z44 Z38:Z40 Z23:Z28 Z30">
    <cfRule type="expression" dxfId="2270" priority="289">
      <formula>NOT(ISERROR(SEARCH("fail,",Z23)))</formula>
    </cfRule>
  </conditionalFormatting>
  <conditionalFormatting sqref="V8">
    <cfRule type="expression" dxfId="2269" priority="287">
      <formula>NOT(ISERROR(SEARCH("fail,",V8)))</formula>
    </cfRule>
  </conditionalFormatting>
  <conditionalFormatting sqref="V7:W7">
    <cfRule type="expression" dxfId="2268" priority="288">
      <formula>NOT(ISERROR(SEARCH("fail,",V7)))</formula>
    </cfRule>
  </conditionalFormatting>
  <conditionalFormatting sqref="V3:W3">
    <cfRule type="expression" dxfId="2267" priority="275">
      <formula>NOT(ISERROR(SEARCH("fail,",V3)))</formula>
    </cfRule>
  </conditionalFormatting>
  <conditionalFormatting sqref="W8">
    <cfRule type="expression" dxfId="2266" priority="273">
      <formula>NOT(ISERROR(SEARCH("fail,",W8)))</formula>
    </cfRule>
  </conditionalFormatting>
  <conditionalFormatting sqref="AC8">
    <cfRule type="expression" dxfId="2265" priority="270">
      <formula>NOT(ISERROR(SEARCH("fail,",AC8)))</formula>
    </cfRule>
  </conditionalFormatting>
  <conditionalFormatting sqref="AC7:AD7">
    <cfRule type="expression" dxfId="2264" priority="271">
      <formula>NOT(ISERROR(SEARCH("fail,",AC7)))</formula>
    </cfRule>
  </conditionalFormatting>
  <conditionalFormatting sqref="V9">
    <cfRule type="expression" dxfId="2263" priority="268">
      <formula>NOT(ISERROR(SEARCH("fail,",V9)))</formula>
    </cfRule>
  </conditionalFormatting>
  <conditionalFormatting sqref="V18:V19">
    <cfRule type="expression" dxfId="2262" priority="267">
      <formula>NOT(ISERROR(SEARCH("fail,",V18)))</formula>
    </cfRule>
  </conditionalFormatting>
  <conditionalFormatting sqref="V23">
    <cfRule type="expression" dxfId="2261" priority="266">
      <formula>NOT(ISERROR(SEARCH("fail,",V23)))</formula>
    </cfRule>
  </conditionalFormatting>
  <conditionalFormatting sqref="V27:V28 V30">
    <cfRule type="expression" dxfId="2260" priority="265">
      <formula>NOT(ISERROR(SEARCH("fail,",V27)))</formula>
    </cfRule>
  </conditionalFormatting>
  <conditionalFormatting sqref="V33">
    <cfRule type="expression" dxfId="2259" priority="264">
      <formula>NOT(ISERROR(SEARCH("fail,",V33)))</formula>
    </cfRule>
  </conditionalFormatting>
  <conditionalFormatting sqref="V35">
    <cfRule type="expression" dxfId="2258" priority="263">
      <formula>NOT(ISERROR(SEARCH("fail,",V35)))</formula>
    </cfRule>
  </conditionalFormatting>
  <conditionalFormatting sqref="Y3">
    <cfRule type="expression" dxfId="2257" priority="260">
      <formula>NOT(ISERROR(SEARCH("fail,",Y3)))</formula>
    </cfRule>
  </conditionalFormatting>
  <conditionalFormatting sqref="BE41:BL41">
    <cfRule type="expression" dxfId="2256" priority="256">
      <formula>NOT(ISERROR(SEARCH("fail,",BE41)))</formula>
    </cfRule>
  </conditionalFormatting>
  <conditionalFormatting sqref="BA41:BB41">
    <cfRule type="expression" dxfId="2255" priority="258">
      <formula>NOT(ISERROR(SEARCH("fail,",BA41)))</formula>
    </cfRule>
  </conditionalFormatting>
  <conditionalFormatting sqref="AC45:AD45 AC36 AC16:AC17 AC75 AC23 AC25">
    <cfRule type="expression" dxfId="2254" priority="254">
      <formula>NOT(ISERROR(SEARCH("fail,",AC16)))</formula>
    </cfRule>
  </conditionalFormatting>
  <conditionalFormatting sqref="AC13:AC14 AC9:AC10">
    <cfRule type="expression" dxfId="2253" priority="252">
      <formula>NOT(ISERROR(SEARCH("fail,",AC9)))</formula>
    </cfRule>
  </conditionalFormatting>
  <conditionalFormatting sqref="AC18:AC19">
    <cfRule type="expression" dxfId="2252" priority="251">
      <formula>NOT(ISERROR(SEARCH("fail,",AC18)))</formula>
    </cfRule>
  </conditionalFormatting>
  <conditionalFormatting sqref="AC24">
    <cfRule type="expression" dxfId="2251" priority="250">
      <formula>NOT(ISERROR(SEARCH("fail,",AC24)))</formula>
    </cfRule>
  </conditionalFormatting>
  <conditionalFormatting sqref="AC27:AC28 AC30">
    <cfRule type="expression" dxfId="2250" priority="249">
      <formula>NOT(ISERROR(SEARCH("fail,",AC27)))</formula>
    </cfRule>
  </conditionalFormatting>
  <conditionalFormatting sqref="AC33">
    <cfRule type="expression" dxfId="2249" priority="248">
      <formula>NOT(ISERROR(SEARCH("fail,",AC33)))</formula>
    </cfRule>
  </conditionalFormatting>
  <conditionalFormatting sqref="AC35">
    <cfRule type="expression" dxfId="2248" priority="247">
      <formula>NOT(ISERROR(SEARCH("fail,",AC35)))</formula>
    </cfRule>
  </conditionalFormatting>
  <conditionalFormatting sqref="W9:W10">
    <cfRule type="expression" dxfId="2247" priority="242">
      <formula>NOT(ISERROR(SEARCH("fail,",W9)))</formula>
    </cfRule>
  </conditionalFormatting>
  <conditionalFormatting sqref="W18:W19">
    <cfRule type="expression" dxfId="2246" priority="241">
      <formula>NOT(ISERROR(SEARCH("fail,",W18)))</formula>
    </cfRule>
  </conditionalFormatting>
  <conditionalFormatting sqref="W24">
    <cfRule type="expression" dxfId="2245" priority="240">
      <formula>NOT(ISERROR(SEARCH("fail,",W24)))</formula>
    </cfRule>
  </conditionalFormatting>
  <conditionalFormatting sqref="W27:W28 W30">
    <cfRule type="expression" dxfId="2244" priority="239">
      <formula>NOT(ISERROR(SEARCH("fail,",W27)))</formula>
    </cfRule>
  </conditionalFormatting>
  <conditionalFormatting sqref="W33">
    <cfRule type="expression" dxfId="2243" priority="238">
      <formula>NOT(ISERROR(SEARCH("fail,",W33)))</formula>
    </cfRule>
  </conditionalFormatting>
  <conditionalFormatting sqref="W35">
    <cfRule type="expression" dxfId="2242" priority="237">
      <formula>NOT(ISERROR(SEARCH("fail,",W35)))</formula>
    </cfRule>
  </conditionalFormatting>
  <conditionalFormatting sqref="J37:K37">
    <cfRule type="expression" dxfId="2241" priority="233">
      <formula>NOT(ISERROR(SEARCH("fail,",J37)))</formula>
    </cfRule>
  </conditionalFormatting>
  <conditionalFormatting sqref="J44:K44">
    <cfRule type="expression" dxfId="2240" priority="232">
      <formula>NOT(ISERROR(SEARCH("fail,",J44)))</formula>
    </cfRule>
  </conditionalFormatting>
  <conditionalFormatting sqref="V44:W44">
    <cfRule type="expression" dxfId="2239" priority="231">
      <formula>NOT(ISERROR(SEARCH("fail,",V44)))</formula>
    </cfRule>
  </conditionalFormatting>
  <conditionalFormatting sqref="X42">
    <cfRule type="expression" dxfId="2238" priority="218">
      <formula>NOT(ISERROR(SEARCH("fail,",X42)))</formula>
    </cfRule>
  </conditionalFormatting>
  <conditionalFormatting sqref="Y42">
    <cfRule type="expression" dxfId="2237" priority="217">
      <formula>NOT(ISERROR(SEARCH("fail,",Y42)))</formula>
    </cfRule>
  </conditionalFormatting>
  <conditionalFormatting sqref="Z42">
    <cfRule type="expression" dxfId="2236" priority="216">
      <formula>NOT(ISERROR(SEARCH("fail,",Z42)))</formula>
    </cfRule>
  </conditionalFormatting>
  <conditionalFormatting sqref="AA42">
    <cfRule type="expression" dxfId="2235" priority="215">
      <formula>NOT(ISERROR(SEARCH("fail,",AA42)))</formula>
    </cfRule>
  </conditionalFormatting>
  <conditionalFormatting sqref="AB42">
    <cfRule type="expression" dxfId="2234" priority="214">
      <formula>NOT(ISERROR(SEARCH("fail,",AB42)))</formula>
    </cfRule>
  </conditionalFormatting>
  <conditionalFormatting sqref="I9:I10 I13:I14">
    <cfRule type="expression" dxfId="2233" priority="194">
      <formula>NOT(ISERROR(SEARCH("fail,",I9)))</formula>
    </cfRule>
  </conditionalFormatting>
  <conditionalFormatting sqref="I16:I19">
    <cfRule type="expression" dxfId="2232" priority="193">
      <formula>NOT(ISERROR(SEARCH("fail,",I16)))</formula>
    </cfRule>
  </conditionalFormatting>
  <conditionalFormatting sqref="I23:I28 I30">
    <cfRule type="expression" dxfId="2231" priority="192">
      <formula>NOT(ISERROR(SEARCH("fail,",I23)))</formula>
    </cfRule>
  </conditionalFormatting>
  <conditionalFormatting sqref="I43:I44">
    <cfRule type="expression" dxfId="2230" priority="191">
      <formula>NOT(ISERROR(SEARCH("fail,",I43)))</formula>
    </cfRule>
  </conditionalFormatting>
  <conditionalFormatting sqref="J42:K42 H9:I10 H13:I19 H22:I28 H30:I30">
    <cfRule type="expression" dxfId="2229" priority="190">
      <formula>NOT(ISERROR(SEARCH("fail,",H9)))</formula>
    </cfRule>
  </conditionalFormatting>
  <conditionalFormatting sqref="G15:H15">
    <cfRule type="expression" dxfId="2228" priority="189">
      <formula>NOT(ISERROR(SEARCH("fail,",G15)))</formula>
    </cfRule>
  </conditionalFormatting>
  <conditionalFormatting sqref="AM42:AN42">
    <cfRule type="expression" dxfId="2227" priority="188">
      <formula>NOT(ISERROR(SEARCH("fail,",AM42)))</formula>
    </cfRule>
  </conditionalFormatting>
  <conditionalFormatting sqref="AJ42">
    <cfRule type="expression" dxfId="2226" priority="187">
      <formula>NOT(ISERROR(SEARCH("fail,",AJ42)))</formula>
    </cfRule>
  </conditionalFormatting>
  <conditionalFormatting sqref="AH42">
    <cfRule type="expression" dxfId="2225" priority="186">
      <formula>NOT(ISERROR(SEARCH("fail,",AH42)))</formula>
    </cfRule>
  </conditionalFormatting>
  <conditionalFormatting sqref="AG42">
    <cfRule type="expression" dxfId="2224" priority="185">
      <formula>NOT(ISERROR(SEARCH("fail,",AG42)))</formula>
    </cfRule>
  </conditionalFormatting>
  <conditionalFormatting sqref="AF42">
    <cfRule type="expression" dxfId="2223" priority="184">
      <formula>NOT(ISERROR(SEARCH("fail,",AF42)))</formula>
    </cfRule>
  </conditionalFormatting>
  <conditionalFormatting sqref="AE42">
    <cfRule type="expression" dxfId="2222" priority="183">
      <formula>NOT(ISERROR(SEARCH("fail,",AE42)))</formula>
    </cfRule>
  </conditionalFormatting>
  <conditionalFormatting sqref="AP37:AT37">
    <cfRule type="expression" dxfId="2221" priority="181">
      <formula>NOT(ISERROR(SEARCH("fail,",AP37)))</formula>
    </cfRule>
  </conditionalFormatting>
  <conditionalFormatting sqref="AV37">
    <cfRule type="expression" dxfId="2220" priority="180">
      <formula>NOT(ISERROR(SEARCH("fail,",AV37)))</formula>
    </cfRule>
  </conditionalFormatting>
  <conditionalFormatting sqref="AW37">
    <cfRule type="expression" dxfId="2219" priority="179">
      <formula>NOT(ISERROR(SEARCH("fail,",AW37)))</formula>
    </cfRule>
  </conditionalFormatting>
  <conditionalFormatting sqref="Q37">
    <cfRule type="expression" dxfId="2218" priority="178">
      <formula>NOT(ISERROR(SEARCH("fail,",Q37)))</formula>
    </cfRule>
  </conditionalFormatting>
  <conditionalFormatting sqref="AX37">
    <cfRule type="expression" dxfId="2217" priority="177">
      <formula>NOT(ISERROR(SEARCH("fail,",AX37)))</formula>
    </cfRule>
  </conditionalFormatting>
  <conditionalFormatting sqref="AY37">
    <cfRule type="expression" dxfId="2216" priority="176">
      <formula>NOT(ISERROR(SEARCH("fail,",AY37)))</formula>
    </cfRule>
  </conditionalFormatting>
  <conditionalFormatting sqref="AZ37">
    <cfRule type="expression" dxfId="2215" priority="175">
      <formula>NOT(ISERROR(SEARCH("fail,",AZ37)))</formula>
    </cfRule>
  </conditionalFormatting>
  <conditionalFormatting sqref="BA37">
    <cfRule type="expression" dxfId="2214" priority="174">
      <formula>NOT(ISERROR(SEARCH("fail,",BA37)))</formula>
    </cfRule>
  </conditionalFormatting>
  <conditionalFormatting sqref="BB37">
    <cfRule type="expression" dxfId="2213" priority="173">
      <formula>NOT(ISERROR(SEARCH("fail,",BB37)))</formula>
    </cfRule>
  </conditionalFormatting>
  <conditionalFormatting sqref="BD37">
    <cfRule type="expression" dxfId="2212" priority="172">
      <formula>NOT(ISERROR(SEARCH("fail,",BD37)))</formula>
    </cfRule>
  </conditionalFormatting>
  <conditionalFormatting sqref="BE37">
    <cfRule type="expression" dxfId="2211" priority="171">
      <formula>NOT(ISERROR(SEARCH("fail,",BE37)))</formula>
    </cfRule>
  </conditionalFormatting>
  <conditionalFormatting sqref="BF37">
    <cfRule type="expression" dxfId="2210" priority="170">
      <formula>NOT(ISERROR(SEARCH("fail,",BF37)))</formula>
    </cfRule>
  </conditionalFormatting>
  <conditionalFormatting sqref="BG37">
    <cfRule type="expression" dxfId="2209" priority="169">
      <formula>NOT(ISERROR(SEARCH("fail,",BG37)))</formula>
    </cfRule>
  </conditionalFormatting>
  <conditionalFormatting sqref="AM37">
    <cfRule type="expression" dxfId="2208" priority="168">
      <formula>NOT(ISERROR(SEARCH("fail,",AM37)))</formula>
    </cfRule>
  </conditionalFormatting>
  <conditionalFormatting sqref="AK37">
    <cfRule type="expression" dxfId="2207" priority="167">
      <formula>NOT(ISERROR(SEARCH("fail,",AK37)))</formula>
    </cfRule>
  </conditionalFormatting>
  <conditionalFormatting sqref="AJ37">
    <cfRule type="expression" dxfId="2206" priority="166">
      <formula>NOT(ISERROR(SEARCH("fail,",AJ37)))</formula>
    </cfRule>
  </conditionalFormatting>
  <conditionalFormatting sqref="AI37">
    <cfRule type="expression" dxfId="2205" priority="165">
      <formula>NOT(ISERROR(SEARCH("fail,",AI37)))</formula>
    </cfRule>
  </conditionalFormatting>
  <conditionalFormatting sqref="AH37">
    <cfRule type="expression" dxfId="2204" priority="164">
      <formula>NOT(ISERROR(SEARCH("fail,",AH37)))</formula>
    </cfRule>
  </conditionalFormatting>
  <conditionalFormatting sqref="AG37">
    <cfRule type="expression" dxfId="2203" priority="163">
      <formula>NOT(ISERROR(SEARCH("fail,",AG37)))</formula>
    </cfRule>
  </conditionalFormatting>
  <conditionalFormatting sqref="AE37">
    <cfRule type="expression" dxfId="2202" priority="162">
      <formula>NOT(ISERROR(SEARCH("fail,",AE37)))</formula>
    </cfRule>
  </conditionalFormatting>
  <conditionalFormatting sqref="AF37">
    <cfRule type="expression" dxfId="2201" priority="161">
      <formula>NOT(ISERROR(SEARCH("fail,",AF37)))</formula>
    </cfRule>
  </conditionalFormatting>
  <conditionalFormatting sqref="AL37">
    <cfRule type="expression" dxfId="2200" priority="160">
      <formula>NOT(ISERROR(SEARCH("fail,",AL37)))</formula>
    </cfRule>
  </conditionalFormatting>
  <conditionalFormatting sqref="AN37">
    <cfRule type="expression" dxfId="2199" priority="159">
      <formula>NOT(ISERROR(SEARCH("fail,",AN37)))</formula>
    </cfRule>
  </conditionalFormatting>
  <conditionalFormatting sqref="N37">
    <cfRule type="expression" dxfId="2198" priority="158">
      <formula>NOT(ISERROR(SEARCH("fail,",N37)))</formula>
    </cfRule>
  </conditionalFormatting>
  <conditionalFormatting sqref="N37">
    <cfRule type="expression" dxfId="2197" priority="157">
      <formula>NOT(ISERROR(SEARCH("fail,",N37)))</formula>
    </cfRule>
  </conditionalFormatting>
  <conditionalFormatting sqref="O37">
    <cfRule type="expression" dxfId="2196" priority="156">
      <formula>NOT(ISERROR(SEARCH("fail,",O37)))</formula>
    </cfRule>
  </conditionalFormatting>
  <conditionalFormatting sqref="O37">
    <cfRule type="expression" dxfId="2195" priority="155">
      <formula>NOT(ISERROR(SEARCH("fail,",O37)))</formula>
    </cfRule>
  </conditionalFormatting>
  <conditionalFormatting sqref="P37:R37">
    <cfRule type="expression" dxfId="2194" priority="154">
      <formula>NOT(ISERROR(SEARCH("fail,",P37)))</formula>
    </cfRule>
  </conditionalFormatting>
  <conditionalFormatting sqref="P37:R37">
    <cfRule type="expression" dxfId="2193" priority="153">
      <formula>NOT(ISERROR(SEARCH("fail,",P37)))</formula>
    </cfRule>
  </conditionalFormatting>
  <conditionalFormatting sqref="S37">
    <cfRule type="expression" dxfId="2192" priority="152">
      <formula>NOT(ISERROR(SEARCH("fail,",S37)))</formula>
    </cfRule>
  </conditionalFormatting>
  <conditionalFormatting sqref="S37">
    <cfRule type="expression" dxfId="2191" priority="151">
      <formula>NOT(ISERROR(SEARCH("fail,",S37)))</formula>
    </cfRule>
  </conditionalFormatting>
  <conditionalFormatting sqref="T37">
    <cfRule type="expression" dxfId="2190" priority="150">
      <formula>NOT(ISERROR(SEARCH("fail,",T37)))</formula>
    </cfRule>
  </conditionalFormatting>
  <conditionalFormatting sqref="T37">
    <cfRule type="expression" dxfId="2189" priority="149">
      <formula>NOT(ISERROR(SEARCH("fail,",T37)))</formula>
    </cfRule>
  </conditionalFormatting>
  <conditionalFormatting sqref="V37">
    <cfRule type="expression" dxfId="2188" priority="148">
      <formula>NOT(ISERROR(SEARCH("fail,",V37)))</formula>
    </cfRule>
  </conditionalFormatting>
  <conditionalFormatting sqref="V37">
    <cfRule type="expression" dxfId="2187" priority="147">
      <formula>NOT(ISERROR(SEARCH("fail,",V37)))</formula>
    </cfRule>
  </conditionalFormatting>
  <conditionalFormatting sqref="X37">
    <cfRule type="expression" dxfId="2186" priority="146">
      <formula>NOT(ISERROR(SEARCH("fail,",X37)))</formula>
    </cfRule>
  </conditionalFormatting>
  <conditionalFormatting sqref="X37">
    <cfRule type="expression" dxfId="2185" priority="145">
      <formula>NOT(ISERROR(SEARCH("fail,",X37)))</formula>
    </cfRule>
  </conditionalFormatting>
  <conditionalFormatting sqref="Y37:AC37">
    <cfRule type="expression" dxfId="2184" priority="144">
      <formula>NOT(ISERROR(SEARCH("fail,",Y37)))</formula>
    </cfRule>
  </conditionalFormatting>
  <conditionalFormatting sqref="Y37:AC37">
    <cfRule type="expression" dxfId="2183" priority="143">
      <formula>NOT(ISERROR(SEARCH("fail,",Y37)))</formula>
    </cfRule>
  </conditionalFormatting>
  <conditionalFormatting sqref="W37">
    <cfRule type="expression" dxfId="2182" priority="142">
      <formula>NOT(ISERROR(SEARCH("fail,",W37)))</formula>
    </cfRule>
  </conditionalFormatting>
  <conditionalFormatting sqref="W37">
    <cfRule type="expression" dxfId="2181" priority="141">
      <formula>NOT(ISERROR(SEARCH("fail,",W37)))</formula>
    </cfRule>
  </conditionalFormatting>
  <conditionalFormatting sqref="E37:G37">
    <cfRule type="expression" dxfId="2180" priority="140">
      <formula>NOT(ISERROR(SEARCH("fail,",E37)))</formula>
    </cfRule>
  </conditionalFormatting>
  <conditionalFormatting sqref="AC3:AD3">
    <cfRule type="expression" dxfId="2179" priority="139">
      <formula>NOT(ISERROR(SEARCH("fail,",AC3)))</formula>
    </cfRule>
  </conditionalFormatting>
  <conditionalFormatting sqref="AC3:AD3">
    <cfRule type="expression" dxfId="2178" priority="138">
      <formula>NOT(ISERROR(SEARCH("fail,",AC3)))</formula>
    </cfRule>
  </conditionalFormatting>
  <conditionalFormatting sqref="W42">
    <cfRule type="expression" dxfId="2177" priority="134">
      <formula>NOT(ISERROR(SEARCH("fail,",W42)))</formula>
    </cfRule>
  </conditionalFormatting>
  <conditionalFormatting sqref="V41">
    <cfRule type="expression" dxfId="2176" priority="133">
      <formula>NOT(ISERROR(SEARCH("fail,",V41)))</formula>
    </cfRule>
  </conditionalFormatting>
  <conditionalFormatting sqref="W40">
    <cfRule type="expression" dxfId="2175" priority="132">
      <formula>NOT(ISERROR(SEARCH("fail,",W40)))</formula>
    </cfRule>
  </conditionalFormatting>
  <conditionalFormatting sqref="W38">
    <cfRule type="expression" dxfId="2174" priority="131">
      <formula>NOT(ISERROR(SEARCH("fail,",W38)))</formula>
    </cfRule>
  </conditionalFormatting>
  <conditionalFormatting sqref="AC38">
    <cfRule type="expression" dxfId="2173" priority="129">
      <formula>NOT(ISERROR(SEARCH("fail,",AC38)))</formula>
    </cfRule>
  </conditionalFormatting>
  <conditionalFormatting sqref="AC41:AC44">
    <cfRule type="expression" dxfId="2172" priority="128">
      <formula>NOT(ISERROR(SEARCH("fail,",AC41)))</formula>
    </cfRule>
  </conditionalFormatting>
  <conditionalFormatting sqref="AO77">
    <cfRule type="expression" dxfId="2171" priority="126">
      <formula>NOT(ISERROR(SEARCH("fail,",AO77)))</formula>
    </cfRule>
  </conditionalFormatting>
  <conditionalFormatting sqref="AO77">
    <cfRule type="expression" dxfId="2170" priority="127">
      <formula>NOT(ISERROR(SEARCH("fail,",AO77)))</formula>
    </cfRule>
  </conditionalFormatting>
  <conditionalFormatting sqref="AO7">
    <cfRule type="expression" dxfId="2169" priority="124">
      <formula>NOT(ISERROR(SEARCH("fail,",AO7)))</formula>
    </cfRule>
  </conditionalFormatting>
  <conditionalFormatting sqref="AO8">
    <cfRule type="expression" dxfId="2168" priority="123">
      <formula>NOT(ISERROR(SEARCH("fail,",AO8)))</formula>
    </cfRule>
  </conditionalFormatting>
  <conditionalFormatting sqref="J9:J10 J13:J14">
    <cfRule type="expression" dxfId="2167" priority="122">
      <formula>NOT(ISERROR(SEARCH("fail,",J9)))</formula>
    </cfRule>
  </conditionalFormatting>
  <conditionalFormatting sqref="J9:J10 J13:J14">
    <cfRule type="expression" dxfId="2166" priority="121">
      <formula>NOT(ISERROR(SEARCH("fail,",J9)))</formula>
    </cfRule>
  </conditionalFormatting>
  <conditionalFormatting sqref="K13:K14 K9:K10">
    <cfRule type="expression" dxfId="2165" priority="120">
      <formula>NOT(ISERROR(SEARCH("fail,",K9)))</formula>
    </cfRule>
  </conditionalFormatting>
  <conditionalFormatting sqref="K13:K14 K9:K10">
    <cfRule type="expression" dxfId="2164" priority="119">
      <formula>NOT(ISERROR(SEARCH("fail,",K9)))</formula>
    </cfRule>
  </conditionalFormatting>
  <conditionalFormatting sqref="J16:K19">
    <cfRule type="expression" dxfId="2163" priority="118">
      <formula>NOT(ISERROR(SEARCH("fail,",J16)))</formula>
    </cfRule>
  </conditionalFormatting>
  <conditionalFormatting sqref="J16:K19">
    <cfRule type="expression" dxfId="2162" priority="117">
      <formula>NOT(ISERROR(SEARCH("fail,",J16)))</formula>
    </cfRule>
  </conditionalFormatting>
  <conditionalFormatting sqref="J23:K30">
    <cfRule type="expression" dxfId="2161" priority="116">
      <formula>NOT(ISERROR(SEARCH("fail,",J23)))</formula>
    </cfRule>
  </conditionalFormatting>
  <conditionalFormatting sqref="J23:K30">
    <cfRule type="expression" dxfId="2160" priority="115">
      <formula>NOT(ISERROR(SEARCH("fail,",J23)))</formula>
    </cfRule>
  </conditionalFormatting>
  <conditionalFormatting sqref="J32:K32">
    <cfRule type="expression" dxfId="2159" priority="114">
      <formula>NOT(ISERROR(SEARCH("fail,",J32)))</formula>
    </cfRule>
  </conditionalFormatting>
  <conditionalFormatting sqref="J32:K32">
    <cfRule type="expression" dxfId="2158" priority="113">
      <formula>NOT(ISERROR(SEARCH("fail,",J32)))</formula>
    </cfRule>
  </conditionalFormatting>
  <conditionalFormatting sqref="J33:K34">
    <cfRule type="expression" dxfId="2157" priority="112">
      <formula>NOT(ISERROR(SEARCH("fail,",J33)))</formula>
    </cfRule>
  </conditionalFormatting>
  <conditionalFormatting sqref="J33:K34">
    <cfRule type="expression" dxfId="2156" priority="111">
      <formula>NOT(ISERROR(SEARCH("fail,",J33)))</formula>
    </cfRule>
  </conditionalFormatting>
  <conditionalFormatting sqref="J36:K36">
    <cfRule type="expression" dxfId="2155" priority="110">
      <formula>NOT(ISERROR(SEARCH("fail,",J36)))</formula>
    </cfRule>
  </conditionalFormatting>
  <conditionalFormatting sqref="J36:K36">
    <cfRule type="expression" dxfId="2154" priority="109">
      <formula>NOT(ISERROR(SEARCH("fail,",J36)))</formula>
    </cfRule>
  </conditionalFormatting>
  <conditionalFormatting sqref="J38:K39">
    <cfRule type="expression" dxfId="2153" priority="108">
      <formula>NOT(ISERROR(SEARCH("fail,",J38)))</formula>
    </cfRule>
  </conditionalFormatting>
  <conditionalFormatting sqref="J38:K39">
    <cfRule type="expression" dxfId="2152" priority="107">
      <formula>NOT(ISERROR(SEARCH("fail,",J38)))</formula>
    </cfRule>
  </conditionalFormatting>
  <conditionalFormatting sqref="J41:K41">
    <cfRule type="expression" dxfId="2151" priority="106">
      <formula>NOT(ISERROR(SEARCH("fail,",J41)))</formula>
    </cfRule>
  </conditionalFormatting>
  <conditionalFormatting sqref="J41:K41">
    <cfRule type="expression" dxfId="2150" priority="105">
      <formula>NOT(ISERROR(SEARCH("fail,",J41)))</formula>
    </cfRule>
  </conditionalFormatting>
  <conditionalFormatting sqref="J43:K43">
    <cfRule type="expression" dxfId="2149" priority="104">
      <formula>NOT(ISERROR(SEARCH("fail,",J43)))</formula>
    </cfRule>
  </conditionalFormatting>
  <conditionalFormatting sqref="J43:K43">
    <cfRule type="expression" dxfId="2148" priority="103">
      <formula>NOT(ISERROR(SEARCH("fail,",J43)))</formula>
    </cfRule>
  </conditionalFormatting>
  <conditionalFormatting sqref="J35:K35">
    <cfRule type="expression" dxfId="2147" priority="102">
      <formula>NOT(ISERROR(SEARCH("fail,",J35)))</formula>
    </cfRule>
  </conditionalFormatting>
  <conditionalFormatting sqref="J35:K35">
    <cfRule type="expression" dxfId="2146" priority="101">
      <formula>NOT(ISERROR(SEARCH("fail,",J35)))</formula>
    </cfRule>
  </conditionalFormatting>
  <conditionalFormatting sqref="S31">
    <cfRule type="expression" dxfId="2145" priority="100">
      <formula>NOT(ISERROR(SEARCH("fail,",S31)))</formula>
    </cfRule>
  </conditionalFormatting>
  <conditionalFormatting sqref="S31">
    <cfRule type="expression" dxfId="2144" priority="99">
      <formula>NOT(ISERROR(SEARCH("fail,",S31)))</formula>
    </cfRule>
  </conditionalFormatting>
  <conditionalFormatting sqref="Z31:AB31">
    <cfRule type="expression" dxfId="2143" priority="98">
      <formula>NOT(ISERROR(SEARCH("fail,",Z31)))</formula>
    </cfRule>
  </conditionalFormatting>
  <conditionalFormatting sqref="Z31:AB31">
    <cfRule type="expression" dxfId="2142" priority="97">
      <formula>NOT(ISERROR(SEARCH("fail,",Z31)))</formula>
    </cfRule>
  </conditionalFormatting>
  <conditionalFormatting sqref="AH31:AI31">
    <cfRule type="expression" dxfId="2141" priority="96">
      <formula>NOT(ISERROR(SEARCH("fail,",AH31)))</formula>
    </cfRule>
  </conditionalFormatting>
  <conditionalFormatting sqref="AH31:AI31">
    <cfRule type="expression" dxfId="2140" priority="95">
      <formula>NOT(ISERROR(SEARCH("fail,",AH31)))</formula>
    </cfRule>
  </conditionalFormatting>
  <conditionalFormatting sqref="E31:I31 N31:R31">
    <cfRule type="expression" dxfId="2139" priority="94">
      <formula>NOT(ISERROR(SEARCH("fail,",E31)))</formula>
    </cfRule>
  </conditionalFormatting>
  <conditionalFormatting sqref="V31">
    <cfRule type="expression" dxfId="2138" priority="93">
      <formula>NOT(ISERROR(SEARCH("fail,",V31)))</formula>
    </cfRule>
  </conditionalFormatting>
  <conditionalFormatting sqref="AC31">
    <cfRule type="expression" dxfId="2137" priority="92">
      <formula>NOT(ISERROR(SEARCH("fail,",AC31)))</formula>
    </cfRule>
  </conditionalFormatting>
  <conditionalFormatting sqref="AK31:AT31">
    <cfRule type="expression" dxfId="2136" priority="91">
      <formula>NOT(ISERROR(SEARCH("fail,",AK31)))</formula>
    </cfRule>
  </conditionalFormatting>
  <conditionalFormatting sqref="T31">
    <cfRule type="expression" dxfId="2135" priority="90">
      <formula>NOT(ISERROR(SEARCH("fail,",T31)))</formula>
    </cfRule>
  </conditionalFormatting>
  <conditionalFormatting sqref="X31">
    <cfRule type="expression" dxfId="2134" priority="89">
      <formula>NOT(ISERROR(SEARCH("fail,",X31)))</formula>
    </cfRule>
  </conditionalFormatting>
  <conditionalFormatting sqref="Y31">
    <cfRule type="expression" dxfId="2133" priority="88">
      <formula>NOT(ISERROR(SEARCH("fail,",Y31)))</formula>
    </cfRule>
  </conditionalFormatting>
  <conditionalFormatting sqref="AE31:AG31">
    <cfRule type="expression" dxfId="2132" priority="87">
      <formula>NOT(ISERROR(SEARCH("fail,",AE31)))</formula>
    </cfRule>
  </conditionalFormatting>
  <conditionalFormatting sqref="AJ31">
    <cfRule type="expression" dxfId="2131" priority="86">
      <formula>NOT(ISERROR(SEARCH("fail,",AJ31)))</formula>
    </cfRule>
  </conditionalFormatting>
  <conditionalFormatting sqref="W31">
    <cfRule type="expression" dxfId="2130" priority="85">
      <formula>NOT(ISERROR(SEARCH("fail,",W31)))</formula>
    </cfRule>
  </conditionalFormatting>
  <conditionalFormatting sqref="J31:K31">
    <cfRule type="expression" dxfId="2129" priority="84">
      <formula>NOT(ISERROR(SEARCH("fail,",J31)))</formula>
    </cfRule>
  </conditionalFormatting>
  <conditionalFormatting sqref="L9:M10 L16:M19 L13:M14">
    <cfRule type="expression" dxfId="2128" priority="82">
      <formula>NOT(ISERROR(SEARCH("fail,",L9)))</formula>
    </cfRule>
  </conditionalFormatting>
  <conditionalFormatting sqref="AO9:AO10">
    <cfRule type="expression" dxfId="2127" priority="81">
      <formula>NOT(ISERROR(SEARCH("fail,",AO9)))</formula>
    </cfRule>
  </conditionalFormatting>
  <conditionalFormatting sqref="AO11:AO14">
    <cfRule type="expression" dxfId="2126" priority="80">
      <formula>NOT(ISERROR(SEARCH("fail,",AO11)))</formula>
    </cfRule>
  </conditionalFormatting>
  <conditionalFormatting sqref="AO18:AO19">
    <cfRule type="expression" dxfId="2125" priority="79">
      <formula>NOT(ISERROR(SEARCH("fail,",AO18)))</formula>
    </cfRule>
  </conditionalFormatting>
  <conditionalFormatting sqref="AO23:AO28 AO32 AO30">
    <cfRule type="expression" dxfId="2124" priority="78">
      <formula>NOT(ISERROR(SEARCH("fail,",AO23)))</formula>
    </cfRule>
  </conditionalFormatting>
  <conditionalFormatting sqref="AO37">
    <cfRule type="expression" dxfId="2123" priority="74">
      <formula>NOT(ISERROR(SEARCH("fail,",AO37)))</formula>
    </cfRule>
  </conditionalFormatting>
  <conditionalFormatting sqref="AO39">
    <cfRule type="expression" dxfId="2122" priority="73">
      <formula>NOT(ISERROR(SEARCH("fail,",AO39)))</formula>
    </cfRule>
  </conditionalFormatting>
  <conditionalFormatting sqref="AO42">
    <cfRule type="expression" dxfId="2121" priority="71">
      <formula>NOT(ISERROR(SEARCH("fail,",AO42)))</formula>
    </cfRule>
  </conditionalFormatting>
  <conditionalFormatting sqref="AO44:AO45">
    <cfRule type="expression" dxfId="2120" priority="70">
      <formula>NOT(ISERROR(SEARCH("fail,",AO44)))</formula>
    </cfRule>
  </conditionalFormatting>
  <conditionalFormatting sqref="AO33:AO34">
    <cfRule type="expression" dxfId="2119" priority="69">
      <formula>NOT(ISERROR(SEARCH("fail,",AO33)))</formula>
    </cfRule>
  </conditionalFormatting>
  <conditionalFormatting sqref="AO36">
    <cfRule type="expression" dxfId="2118" priority="68">
      <formula>NOT(ISERROR(SEARCH("fail,",AO36)))</formula>
    </cfRule>
  </conditionalFormatting>
  <conditionalFormatting sqref="AO38">
    <cfRule type="expression" dxfId="2117" priority="67">
      <formula>NOT(ISERROR(SEARCH("fail,",AO38)))</formula>
    </cfRule>
  </conditionalFormatting>
  <conditionalFormatting sqref="AO41">
    <cfRule type="expression" dxfId="2116" priority="66">
      <formula>NOT(ISERROR(SEARCH("fail,",AO41)))</formula>
    </cfRule>
  </conditionalFormatting>
  <conditionalFormatting sqref="AO43">
    <cfRule type="expression" dxfId="2115" priority="65">
      <formula>NOT(ISERROR(SEARCH("fail,",AO43)))</formula>
    </cfRule>
  </conditionalFormatting>
  <conditionalFormatting sqref="AO16:AO17">
    <cfRule type="expression" dxfId="2114" priority="64">
      <formula>NOT(ISERROR(SEARCH("fail,",AO16)))</formula>
    </cfRule>
  </conditionalFormatting>
  <conditionalFormatting sqref="Q11:Q12">
    <cfRule type="expression" dxfId="2113" priority="61">
      <formula>NOT(ISERROR(SEARCH("fail,",Q11)))</formula>
    </cfRule>
  </conditionalFormatting>
  <conditionalFormatting sqref="P11:P12">
    <cfRule type="expression" dxfId="2112" priority="60">
      <formula>NOT(ISERROR(SEARCH("fail,",P11)))</formula>
    </cfRule>
  </conditionalFormatting>
  <conditionalFormatting sqref="H11:I12">
    <cfRule type="expression" dxfId="2111" priority="59">
      <formula>NOT(ISERROR(SEARCH("fail,",H11)))</formula>
    </cfRule>
  </conditionalFormatting>
  <conditionalFormatting sqref="O11:O12">
    <cfRule type="expression" dxfId="2110" priority="58">
      <formula>NOT(ISERROR(SEARCH("fail,",O11)))</formula>
    </cfRule>
  </conditionalFormatting>
  <conditionalFormatting sqref="S11:T12">
    <cfRule type="expression" dxfId="2109" priority="57">
      <formula>NOT(ISERROR(SEARCH("fail,",S11)))</formula>
    </cfRule>
  </conditionalFormatting>
  <conditionalFormatting sqref="Y11:Y12">
    <cfRule type="expression" dxfId="2108" priority="56">
      <formula>NOT(ISERROR(SEARCH("fail,",Y11)))</formula>
    </cfRule>
  </conditionalFormatting>
  <conditionalFormatting sqref="Z11:AA12">
    <cfRule type="expression" dxfId="2107" priority="55">
      <formula>NOT(ISERROR(SEARCH("fail,",Z11)))</formula>
    </cfRule>
  </conditionalFormatting>
  <conditionalFormatting sqref="AB11:AC12">
    <cfRule type="expression" dxfId="2106" priority="54">
      <formula>NOT(ISERROR(SEARCH("fail,",AB11)))</formula>
    </cfRule>
  </conditionalFormatting>
  <conditionalFormatting sqref="AE11:AG12">
    <cfRule type="expression" dxfId="2105" priority="53">
      <formula>NOT(ISERROR(SEARCH("fail,",AE11)))</formula>
    </cfRule>
  </conditionalFormatting>
  <conditionalFormatting sqref="AH11:AI12">
    <cfRule type="expression" dxfId="2104" priority="52">
      <formula>NOT(ISERROR(SEARCH("fail,",AH11)))</formula>
    </cfRule>
  </conditionalFormatting>
  <conditionalFormatting sqref="AJ11:AJ12">
    <cfRule type="expression" dxfId="2103" priority="51">
      <formula>NOT(ISERROR(SEARCH("fail,",AJ11)))</formula>
    </cfRule>
  </conditionalFormatting>
  <conditionalFormatting sqref="AK11:AL12">
    <cfRule type="expression" dxfId="2102" priority="50">
      <formula>NOT(ISERROR(SEARCH("fail,",AK11)))</formula>
    </cfRule>
  </conditionalFormatting>
  <conditionalFormatting sqref="E11:G12">
    <cfRule type="expression" dxfId="2101" priority="49">
      <formula>NOT(ISERROR(SEARCH("fail,",E11)))</formula>
    </cfRule>
  </conditionalFormatting>
  <conditionalFormatting sqref="J11:K12">
    <cfRule type="expression" dxfId="2100" priority="48">
      <formula>NOT(ISERROR(SEARCH("fail,",J11)))</formula>
    </cfRule>
  </conditionalFormatting>
  <conditionalFormatting sqref="N11:N12">
    <cfRule type="expression" dxfId="2099" priority="47">
      <formula>NOT(ISERROR(SEARCH("fail,",N11)))</formula>
    </cfRule>
  </conditionalFormatting>
  <conditionalFormatting sqref="X11:X12">
    <cfRule type="expression" dxfId="2098" priority="45">
      <formula>NOT(ISERROR(SEARCH("fail,",X11)))</formula>
    </cfRule>
  </conditionalFormatting>
  <conditionalFormatting sqref="W13:W14">
    <cfRule type="expression" dxfId="2097" priority="44">
      <formula>NOT(ISERROR(SEARCH("fail,",W13)))</formula>
    </cfRule>
  </conditionalFormatting>
  <conditionalFormatting sqref="W11:W12">
    <cfRule type="expression" dxfId="2096" priority="42">
      <formula>NOT(ISERROR(SEARCH("fail,",W11)))</formula>
    </cfRule>
  </conditionalFormatting>
  <conditionalFormatting sqref="V10:V14">
    <cfRule type="expression" dxfId="2095" priority="41">
      <formula>NOT(ISERROR(SEARCH("fail,",V10)))</formula>
    </cfRule>
  </conditionalFormatting>
  <conditionalFormatting sqref="L11:M12">
    <cfRule type="expression" dxfId="2094" priority="40">
      <formula>NOT(ISERROR(SEARCH("fail,",L11)))</formula>
    </cfRule>
  </conditionalFormatting>
  <conditionalFormatting sqref="R9:R12">
    <cfRule type="expression" dxfId="2093" priority="39">
      <formula>NOT(ISERROR(SEARCH("fail,",R9)))</formula>
    </cfRule>
  </conditionalFormatting>
  <conditionalFormatting sqref="R16:R21">
    <cfRule type="expression" dxfId="2092" priority="38">
      <formula>NOT(ISERROR(SEARCH("fail,",R16)))</formula>
    </cfRule>
  </conditionalFormatting>
  <conditionalFormatting sqref="R23">
    <cfRule type="expression" dxfId="2091" priority="37">
      <formula>NOT(ISERROR(SEARCH("fail,",R23)))</formula>
    </cfRule>
  </conditionalFormatting>
  <conditionalFormatting sqref="R25">
    <cfRule type="expression" dxfId="2090" priority="36">
      <formula>NOT(ISERROR(SEARCH("fail,",R25)))</formula>
    </cfRule>
  </conditionalFormatting>
  <conditionalFormatting sqref="R30">
    <cfRule type="expression" dxfId="2089" priority="35">
      <formula>NOT(ISERROR(SEARCH("fail,",R30)))</formula>
    </cfRule>
  </conditionalFormatting>
  <conditionalFormatting sqref="E5">
    <cfRule type="containsText" dxfId="2088" priority="32" operator="containsText" text="tp">
      <formula>NOT(ISERROR(SEARCH("tp",E5)))</formula>
    </cfRule>
  </conditionalFormatting>
  <conditionalFormatting sqref="E5:AT5">
    <cfRule type="containsText" dxfId="2087" priority="31" operator="containsText" text="TP">
      <formula>NOT(ISERROR(SEARCH("TP",E5)))</formula>
    </cfRule>
  </conditionalFormatting>
  <conditionalFormatting sqref="N29">
    <cfRule type="expression" dxfId="2086" priority="30">
      <formula>NOT(ISERROR(SEARCH("fail,",N29)))</formula>
    </cfRule>
  </conditionalFormatting>
  <conditionalFormatting sqref="AJ29">
    <cfRule type="expression" dxfId="2085" priority="29">
      <formula>NOT(ISERROR(SEARCH("fail,",AJ29)))</formula>
    </cfRule>
  </conditionalFormatting>
  <conditionalFormatting sqref="AN29">
    <cfRule type="expression" dxfId="2084" priority="28">
      <formula>NOT(ISERROR(SEARCH("fail,",AN29)))</formula>
    </cfRule>
  </conditionalFormatting>
  <conditionalFormatting sqref="AR29">
    <cfRule type="expression" dxfId="2083" priority="27">
      <formula>NOT(ISERROR(SEARCH("fail,",AR29)))</formula>
    </cfRule>
  </conditionalFormatting>
  <conditionalFormatting sqref="AS29">
    <cfRule type="expression" dxfId="2082" priority="26">
      <formula>NOT(ISERROR(SEARCH("fail,",AS29)))</formula>
    </cfRule>
  </conditionalFormatting>
  <conditionalFormatting sqref="AT29">
    <cfRule type="expression" dxfId="2081" priority="25">
      <formula>NOT(ISERROR(SEARCH("fail,",AT29)))</formula>
    </cfRule>
  </conditionalFormatting>
  <conditionalFormatting sqref="AQ29">
    <cfRule type="expression" dxfId="2080" priority="24">
      <formula>NOT(ISERROR(SEARCH("fail,",AQ29)))</formula>
    </cfRule>
  </conditionalFormatting>
  <conditionalFormatting sqref="AO29:AP29">
    <cfRule type="expression" dxfId="2079" priority="23">
      <formula>NOT(ISERROR(SEARCH("fail,",AO29)))</formula>
    </cfRule>
  </conditionalFormatting>
  <conditionalFormatting sqref="L29:M29">
    <cfRule type="expression" dxfId="2078" priority="22">
      <formula>NOT(ISERROR(SEARCH("fail,",L29)))</formula>
    </cfRule>
  </conditionalFormatting>
  <conditionalFormatting sqref="AD29">
    <cfRule type="expression" dxfId="2077" priority="21">
      <formula>NOT(ISERROR(SEARCH("fail,",AD29)))</formula>
    </cfRule>
  </conditionalFormatting>
  <conditionalFormatting sqref="X29">
    <cfRule type="expression" dxfId="2076" priority="20">
      <formula>NOT(ISERROR(SEARCH("fail,",X29)))</formula>
    </cfRule>
  </conditionalFormatting>
  <conditionalFormatting sqref="H29">
    <cfRule type="expression" dxfId="2075" priority="19">
      <formula>NOT(ISERROR(SEARCH("fail,",H29)))</formula>
    </cfRule>
  </conditionalFormatting>
  <conditionalFormatting sqref="I29">
    <cfRule type="expression" dxfId="2074" priority="18">
      <formula>NOT(ISERROR(SEARCH("fail,",I29)))</formula>
    </cfRule>
  </conditionalFormatting>
  <conditionalFormatting sqref="O29:P29">
    <cfRule type="expression" dxfId="2073" priority="17">
      <formula>NOT(ISERROR(SEARCH("fail,",O29)))</formula>
    </cfRule>
  </conditionalFormatting>
  <conditionalFormatting sqref="Q29">
    <cfRule type="expression" dxfId="2072" priority="16">
      <formula>NOT(ISERROR(SEARCH("fail,",Q29)))</formula>
    </cfRule>
  </conditionalFormatting>
  <conditionalFormatting sqref="S29:T29">
    <cfRule type="expression" dxfId="2071" priority="15">
      <formula>NOT(ISERROR(SEARCH("fail,",S29)))</formula>
    </cfRule>
  </conditionalFormatting>
  <conditionalFormatting sqref="Y29">
    <cfRule type="expression" dxfId="2070" priority="14">
      <formula>NOT(ISERROR(SEARCH("fail,",Y29)))</formula>
    </cfRule>
  </conditionalFormatting>
  <conditionalFormatting sqref="AA29">
    <cfRule type="expression" dxfId="2069" priority="13">
      <formula>NOT(ISERROR(SEARCH("fail,",AA29)))</formula>
    </cfRule>
  </conditionalFormatting>
  <conditionalFormatting sqref="Z29">
    <cfRule type="expression" dxfId="2068" priority="12">
      <formula>NOT(ISERROR(SEARCH("fail,",Z29)))</formula>
    </cfRule>
  </conditionalFormatting>
  <conditionalFormatting sqref="AE29:AG29">
    <cfRule type="expression" dxfId="2067" priority="11">
      <formula>NOT(ISERROR(SEARCH("fail,",AE29)))</formula>
    </cfRule>
  </conditionalFormatting>
  <conditionalFormatting sqref="AH29:AI29">
    <cfRule type="expression" dxfId="2066" priority="10">
      <formula>NOT(ISERROR(SEARCH("fail,",AH29)))</formula>
    </cfRule>
  </conditionalFormatting>
  <conditionalFormatting sqref="AK29">
    <cfRule type="expression" dxfId="2065" priority="9">
      <formula>NOT(ISERROR(SEARCH("fail,",AK29)))</formula>
    </cfRule>
  </conditionalFormatting>
  <conditionalFormatting sqref="AB29">
    <cfRule type="expression" dxfId="2064" priority="8">
      <formula>NOT(ISERROR(SEARCH("fail,",AB29)))</formula>
    </cfRule>
  </conditionalFormatting>
  <conditionalFormatting sqref="V29:W29">
    <cfRule type="expression" dxfId="2063" priority="7">
      <formula>NOT(ISERROR(SEARCH("fail,",V29)))</formula>
    </cfRule>
  </conditionalFormatting>
  <conditionalFormatting sqref="V29:W29">
    <cfRule type="expression" dxfId="2062" priority="6">
      <formula>NOT(ISERROR(SEARCH("fail,",V29)))</formula>
    </cfRule>
  </conditionalFormatting>
  <conditionalFormatting sqref="AC29">
    <cfRule type="expression" dxfId="2061" priority="5">
      <formula>NOT(ISERROR(SEARCH("fail,",AC29)))</formula>
    </cfRule>
  </conditionalFormatting>
  <conditionalFormatting sqref="AC29">
    <cfRule type="expression" dxfId="2060" priority="4">
      <formula>NOT(ISERROR(SEARCH("fail,",AC29)))</formula>
    </cfRule>
  </conditionalFormatting>
  <conditionalFormatting sqref="E29">
    <cfRule type="expression" dxfId="2059" priority="3">
      <formula>NOT(ISERROR(SEARCH("fail,",E29)))</formula>
    </cfRule>
  </conditionalFormatting>
  <conditionalFormatting sqref="E29">
    <cfRule type="expression" dxfId="2058" priority="2">
      <formula>NOT(ISERROR(SEARCH("fail,",E29)))</formula>
    </cfRule>
  </conditionalFormatting>
  <conditionalFormatting sqref="F29:G29">
    <cfRule type="expression" dxfId="2057" priority="1">
      <formula>NOT(ISERROR(SEARCH("fail,",F29)))</formula>
    </cfRule>
  </conditionalFormatting>
  <hyperlinks>
    <hyperlink ref="BM5" r:id="rId1" xr:uid="{00000000-0004-0000-0200-000000000000}"/>
    <hyperlink ref="BZ5" r:id="rId2" xr:uid="{00000000-0004-0000-0200-000001000000}"/>
    <hyperlink ref="CA5" r:id="rId3" xr:uid="{00000000-0004-0000-0200-000002000000}"/>
    <hyperlink ref="CF5" r:id="rId4" xr:uid="{00000000-0004-0000-0200-000003000000}"/>
    <hyperlink ref="BM8" r:id="rId5" xr:uid="{00000000-0004-0000-0200-000004000000}"/>
    <hyperlink ref="BZ8" r:id="rId6" xr:uid="{00000000-0004-0000-0200-000005000000}"/>
    <hyperlink ref="CA8" r:id="rId7" xr:uid="{00000000-0004-0000-0200-000006000000}"/>
    <hyperlink ref="CF8" r:id="rId8" xr:uid="{00000000-0004-0000-0200-000007000000}"/>
    <hyperlink ref="D9" r:id="rId9" display="https://intranet.atlnz.lc/systest/Jira_Reports/testExecReport/jiraExecReport.php?testPlanKey=15&amp;projectKey=TQUALTCM&amp;Report=Report" xr:uid="{00000000-0004-0000-0200-000008000000}"/>
    <hyperlink ref="F9" r:id="rId10" xr:uid="{00000000-0004-0000-0200-000009000000}"/>
    <hyperlink ref="G9" r:id="rId11" xr:uid="{00000000-0004-0000-0200-00000A000000}"/>
    <hyperlink ref="O9" r:id="rId12" xr:uid="{00000000-0004-0000-0200-00000C000000}"/>
    <hyperlink ref="P9" r:id="rId13" xr:uid="{00000000-0004-0000-0200-00000D000000}"/>
    <hyperlink ref="S9" r:id="rId14" xr:uid="{00000000-0004-0000-0200-00000E000000}"/>
    <hyperlink ref="T9" r:id="rId15" xr:uid="{00000000-0004-0000-0200-00000F000000}"/>
    <hyperlink ref="BD9" r:id="rId16" xr:uid="{00000000-0004-0000-0200-000023000000}"/>
    <hyperlink ref="BF9" r:id="rId17" xr:uid="{00000000-0004-0000-0200-000024000000}"/>
    <hyperlink ref="BH9" r:id="rId18" xr:uid="{00000000-0004-0000-0200-000025000000}"/>
    <hyperlink ref="BI9" r:id="rId19" xr:uid="{00000000-0004-0000-0200-000026000000}"/>
    <hyperlink ref="BJ9" r:id="rId20" xr:uid="{00000000-0004-0000-0200-000027000000}"/>
    <hyperlink ref="BK9" r:id="rId21" xr:uid="{00000000-0004-0000-0200-000028000000}"/>
    <hyperlink ref="BL9" r:id="rId22" xr:uid="{00000000-0004-0000-0200-000029000000}"/>
    <hyperlink ref="BM9" r:id="rId23" xr:uid="{00000000-0004-0000-0200-00002A000000}"/>
    <hyperlink ref="BN9" r:id="rId24" xr:uid="{00000000-0004-0000-0200-00002B000000}"/>
    <hyperlink ref="BO9" r:id="rId25" xr:uid="{00000000-0004-0000-0200-00002C000000}"/>
    <hyperlink ref="BP9" r:id="rId26" xr:uid="{00000000-0004-0000-0200-00002D000000}"/>
    <hyperlink ref="BS9" r:id="rId27" xr:uid="{00000000-0004-0000-0200-00002E000000}"/>
    <hyperlink ref="BU9" r:id="rId28" xr:uid="{00000000-0004-0000-0200-00002F000000}"/>
    <hyperlink ref="BV9" r:id="rId29" xr:uid="{00000000-0004-0000-0200-000030000000}"/>
    <hyperlink ref="BW9" r:id="rId30" xr:uid="{00000000-0004-0000-0200-000031000000}"/>
    <hyperlink ref="BX9" r:id="rId31" xr:uid="{00000000-0004-0000-0200-000032000000}"/>
    <hyperlink ref="BZ9" r:id="rId32" xr:uid="{00000000-0004-0000-0200-000033000000}"/>
    <hyperlink ref="CF9" r:id="rId33" xr:uid="{00000000-0004-0000-0200-000034000000}"/>
    <hyperlink ref="D10" r:id="rId34" display="https://intranet.atlnz.lc/systest/Jira_Reports/testExecReport/jiraExecReport.php?testPlanKey=36&amp;projectKey=TQUALTCM&amp;Report=Report" xr:uid="{00000000-0004-0000-0200-000035000000}"/>
    <hyperlink ref="F10" r:id="rId35" xr:uid="{00000000-0004-0000-0200-000036000000}"/>
    <hyperlink ref="G10" r:id="rId36" xr:uid="{00000000-0004-0000-0200-000037000000}"/>
    <hyperlink ref="O10" r:id="rId37" xr:uid="{00000000-0004-0000-0200-000039000000}"/>
    <hyperlink ref="P10" r:id="rId38" xr:uid="{00000000-0004-0000-0200-00003A000000}"/>
    <hyperlink ref="S10" r:id="rId39" xr:uid="{00000000-0004-0000-0200-00003B000000}"/>
    <hyperlink ref="T10" r:id="rId40" xr:uid="{00000000-0004-0000-0200-00003C000000}"/>
    <hyperlink ref="X10" r:id="rId41" location="/reports/testresults/list/view?tql=testResult.projectKey%20IN%20('TQUALTCM')%20AND%20testRun.key%20IN%20('TQUALTCM-C1059')%20AND%20testRun.onlyLastTestResult%20IS%20false&amp;jql=&amp;title=REPORTS.TEST_RESULTS_ADVANCED.TITLE" xr:uid="{00000000-0004-0000-0200-00003D000000}"/>
    <hyperlink ref="Y10" r:id="rId42" xr:uid="{00000000-0004-0000-0200-00003E000000}"/>
    <hyperlink ref="AA10" r:id="rId43" location="/testCycle/TQUALTCM-C2698" xr:uid="{00000000-0004-0000-0200-00003F000000}"/>
    <hyperlink ref="AH10" r:id="rId44" xr:uid="{00000000-0004-0000-0200-000040000000}"/>
    <hyperlink ref="AI10" r:id="rId45" xr:uid="{00000000-0004-0000-0200-000041000000}"/>
    <hyperlink ref="AL10" r:id="rId46" location="/reports/testresults/list/view?tql=testResult.projectKey%20IN%20('TQUALTCM')%20AND%20testRun.key%20IN%20('TQUALTCM-C436')%20AND%20testRun.onlyLastTestResult%20IS%20false&amp;jql=&amp;title=REPORTS.TEST_RESULTS_ADVANCED.TITLE" xr:uid="{00000000-0004-0000-0200-000042000000}"/>
    <hyperlink ref="AM10" r:id="rId47" xr:uid="{00000000-0004-0000-0200-000043000000}"/>
    <hyperlink ref="AN10" r:id="rId48" location="/reports/testresults/list/view?tql=testResult.projectKey%20IN%20('TQUALTCM')%20AND%20testRun.key%20IN%20('TQUALTCM-C1113')%20AND%20testRun.onlyLastTestResult%20IS%20false&amp;jql=&amp;title=REPORTS.TEST_RESULTS_ADVANCED.TITL" xr:uid="{00000000-0004-0000-0200-000044000000}"/>
    <hyperlink ref="AR10" r:id="rId49" location="/cycle?projectId=15704" xr:uid="{00000000-0004-0000-0200-000047000000}"/>
    <hyperlink ref="AS10" r:id="rId50" location="/reports/testresults/list/view?tql=testResult.projectKey%20IN%20('TQUALTCM')%20AND%20testRun.key%20IN%20('TQUALTCM-C219')%20AND%20testRun.onlyLastTestResult%20IS%20false&amp;jql=&amp;title=REPORTS.TEST_RESULTS_ADVANCED.TITLE&amp;period=MONTH&amp;traceabilityReportOption=" xr:uid="{00000000-0004-0000-0200-000048000000}"/>
    <hyperlink ref="AT10" r:id="rId51" xr:uid="{00000000-0004-0000-0200-000049000000}"/>
    <hyperlink ref="AV10" r:id="rId52" xr:uid="{00000000-0004-0000-0200-00004A000000}"/>
    <hyperlink ref="Q10" r:id="rId53" xr:uid="{00000000-0004-0000-0200-00004B000000}"/>
    <hyperlink ref="AX10" r:id="rId54" xr:uid="{00000000-0004-0000-0200-00004C000000}"/>
    <hyperlink ref="AY10" r:id="rId55" xr:uid="{00000000-0004-0000-0200-00004D000000}"/>
    <hyperlink ref="AZ10" r:id="rId56" xr:uid="{00000000-0004-0000-0200-00004E000000}"/>
    <hyperlink ref="BA10" r:id="rId57" xr:uid="{00000000-0004-0000-0200-00004F000000}"/>
    <hyperlink ref="BD10" r:id="rId58" xr:uid="{00000000-0004-0000-0200-000050000000}"/>
    <hyperlink ref="BF10" r:id="rId59" xr:uid="{00000000-0004-0000-0200-000051000000}"/>
    <hyperlink ref="BH10" r:id="rId60" xr:uid="{00000000-0004-0000-0200-000052000000}"/>
    <hyperlink ref="BI10" r:id="rId61" xr:uid="{00000000-0004-0000-0200-000053000000}"/>
    <hyperlink ref="BJ10" r:id="rId62" xr:uid="{00000000-0004-0000-0200-000054000000}"/>
    <hyperlink ref="BK10" r:id="rId63" xr:uid="{00000000-0004-0000-0200-000055000000}"/>
    <hyperlink ref="BL10" r:id="rId64" xr:uid="{00000000-0004-0000-0200-000056000000}"/>
    <hyperlink ref="BM10" r:id="rId65" xr:uid="{00000000-0004-0000-0200-000057000000}"/>
    <hyperlink ref="BN10" r:id="rId66" xr:uid="{00000000-0004-0000-0200-000058000000}"/>
    <hyperlink ref="BO10" r:id="rId67" xr:uid="{00000000-0004-0000-0200-000059000000}"/>
    <hyperlink ref="BP10" r:id="rId68" xr:uid="{00000000-0004-0000-0200-00005A000000}"/>
    <hyperlink ref="BS10" r:id="rId69" xr:uid="{00000000-0004-0000-0200-00005B000000}"/>
    <hyperlink ref="BU10" r:id="rId70" xr:uid="{00000000-0004-0000-0200-00005C000000}"/>
    <hyperlink ref="BV10" r:id="rId71" xr:uid="{00000000-0004-0000-0200-00005D000000}"/>
    <hyperlink ref="BW10" r:id="rId72" xr:uid="{00000000-0004-0000-0200-00005E000000}"/>
    <hyperlink ref="BX10" r:id="rId73" xr:uid="{00000000-0004-0000-0200-00005F000000}"/>
    <hyperlink ref="BZ10" r:id="rId74" xr:uid="{00000000-0004-0000-0200-000060000000}"/>
    <hyperlink ref="CF10" r:id="rId75" xr:uid="{00000000-0004-0000-0200-000061000000}"/>
    <hyperlink ref="D13" r:id="rId76" display="https://intranet.atlnz.lc/systest/Jira_Reports/testExecReport/jiraExecReport.php?testPlanKey=16&amp;projectKey=TQUALTCM&amp;Report=Report" xr:uid="{00000000-0004-0000-0200-000062000000}"/>
    <hyperlink ref="E13" r:id="rId77" xr:uid="{00000000-0004-0000-0200-000063000000}"/>
    <hyperlink ref="F13" r:id="rId78" xr:uid="{00000000-0004-0000-0200-000064000000}"/>
    <hyperlink ref="G13" r:id="rId79" xr:uid="{00000000-0004-0000-0200-000065000000}"/>
    <hyperlink ref="O13" r:id="rId80" xr:uid="{00000000-0004-0000-0200-000067000000}"/>
    <hyperlink ref="P13" r:id="rId81" xr:uid="{00000000-0004-0000-0200-000068000000}"/>
    <hyperlink ref="S13" r:id="rId82" xr:uid="{00000000-0004-0000-0200-000069000000}"/>
    <hyperlink ref="T13" r:id="rId83" xr:uid="{00000000-0004-0000-0200-00006A000000}"/>
    <hyperlink ref="X13" r:id="rId84" location="/reports/testresults/list/view?tql=testResult.projectKey%20IN%20('TQUALTCM')%20AND%20testRun.key%20IN%20('TQUALTCM-C1060')%20AND%20testRun.onlyLastTestResult%20IS%20false&amp;jql=&amp;title=REPORTS.TEST_RESULTS_ADVANCED.TITLE" xr:uid="{00000000-0004-0000-0200-00006B000000}"/>
    <hyperlink ref="Y13" r:id="rId85" xr:uid="{00000000-0004-0000-0200-00006C000000}"/>
    <hyperlink ref="AA13" r:id="rId86" location="/testCycle/TQUALTCM-C2699" xr:uid="{00000000-0004-0000-0200-00006D000000}"/>
    <hyperlink ref="AH13" r:id="rId87" xr:uid="{00000000-0004-0000-0200-00006E000000}"/>
    <hyperlink ref="AI13" r:id="rId88" xr:uid="{00000000-0004-0000-0200-00006F000000}"/>
    <hyperlink ref="AL13" r:id="rId89" location="/reports/testresults/list/view?tql=testResult.projectKey%20IN%20('TQUALTCM')%20AND%20testRun.key%20IN%20('TQUALTCM-C416')%20AND%20testRun.onlyLastTestResult%20IS%20false&amp;jql=&amp;title=REPORTS.TEST_RESULTS_ADVANCED.TITLE" xr:uid="{00000000-0004-0000-0200-000070000000}"/>
    <hyperlink ref="AN13" r:id="rId90" location="/reports/testresults/list/view?tql=testResult.projectKey%20IN%20('TQUALTCM')%20AND%20testRun.key%20IN%20('TQUALTCM-C1106')%20AND%20testRun.onlyLastTestResult%20IS%20false&amp;jql=&amp;title=REPORTS.TEST_RESULTS_ADVANCED.TITL" xr:uid="{00000000-0004-0000-0200-000071000000}"/>
    <hyperlink ref="AR13" r:id="rId91" location="/cycle?projectId=15704" xr:uid="{00000000-0004-0000-0200-000072000000}"/>
    <hyperlink ref="AS13" r:id="rId92" location="/reports/testresults/list/view?tql=testResult.projectKey%20IN%20('TQUALTCM')%20AND%20testRun.key%20IN%20('TQUALTCM-C66')%20AND%20testRun.onlyLastTestResult%20IS%20false&amp;jql=&amp;title=REPORTS.TEST_RESULTS_ADVANCED.TITLE&amp;period=MONTH&amp;traceabilityReportOption=C" xr:uid="{00000000-0004-0000-0200-000073000000}"/>
    <hyperlink ref="AT13" r:id="rId93" xr:uid="{00000000-0004-0000-0200-000074000000}"/>
    <hyperlink ref="AV13" r:id="rId94" xr:uid="{00000000-0004-0000-0200-000075000000}"/>
    <hyperlink ref="AX13" r:id="rId95" xr:uid="{00000000-0004-0000-0200-000076000000}"/>
    <hyperlink ref="AY13" r:id="rId96" xr:uid="{00000000-0004-0000-0200-000077000000}"/>
    <hyperlink ref="AZ13" r:id="rId97" xr:uid="{00000000-0004-0000-0200-000078000000}"/>
    <hyperlink ref="BA13" r:id="rId98" xr:uid="{00000000-0004-0000-0200-000079000000}"/>
    <hyperlink ref="BD13" r:id="rId99" xr:uid="{00000000-0004-0000-0200-00007A000000}"/>
    <hyperlink ref="BE13" r:id="rId100" xr:uid="{00000000-0004-0000-0200-00007B000000}"/>
    <hyperlink ref="BH13" r:id="rId101" xr:uid="{00000000-0004-0000-0200-00007C000000}"/>
    <hyperlink ref="BI13" r:id="rId102" xr:uid="{00000000-0004-0000-0200-00007D000000}"/>
    <hyperlink ref="BJ13" r:id="rId103" xr:uid="{00000000-0004-0000-0200-00007E000000}"/>
    <hyperlink ref="BK13" r:id="rId104" xr:uid="{00000000-0004-0000-0200-00007F000000}"/>
    <hyperlink ref="BL13" r:id="rId105" xr:uid="{00000000-0004-0000-0200-000080000000}"/>
    <hyperlink ref="D14" r:id="rId106" display="https://intranet.atlnz.lc/systest/Jira_Reports/testExecReport/jiraExecReport.php?testPlanKey=37&amp;projectKey=TQUALTCM&amp;Report=Report" xr:uid="{00000000-0004-0000-0200-000081000000}"/>
    <hyperlink ref="E14" r:id="rId107" xr:uid="{00000000-0004-0000-0200-000082000000}"/>
    <hyperlink ref="F14" r:id="rId108" xr:uid="{00000000-0004-0000-0200-000083000000}"/>
    <hyperlink ref="G14" r:id="rId109" xr:uid="{00000000-0004-0000-0200-000084000000}"/>
    <hyperlink ref="O14" r:id="rId110" xr:uid="{00000000-0004-0000-0200-000086000000}"/>
    <hyperlink ref="P14" r:id="rId111" xr:uid="{00000000-0004-0000-0200-000087000000}"/>
    <hyperlink ref="S14" r:id="rId112" xr:uid="{00000000-0004-0000-0200-000088000000}"/>
    <hyperlink ref="T14" r:id="rId113" xr:uid="{00000000-0004-0000-0200-000089000000}"/>
    <hyperlink ref="X14" r:id="rId114" location="/reports/testresults/list/view?tql=testResult.projectKey%20IN%20('TQUALTCM')%20AND%20testRun.key%20IN%20('TQUALTCM-C1061')%20AND%20testRun.onlyLastTestResult%20IS%20false&amp;jql=&amp;title=REPORTS.TEST_RESULTS_ADVANCED.TITLE" xr:uid="{00000000-0004-0000-0200-00008A000000}"/>
    <hyperlink ref="Y14" r:id="rId115" xr:uid="{00000000-0004-0000-0200-00008B000000}"/>
    <hyperlink ref="AA14" r:id="rId116" location="/testCycle/TQUALTCM-C2700" xr:uid="{00000000-0004-0000-0200-00008C000000}"/>
    <hyperlink ref="AH14" r:id="rId117" xr:uid="{00000000-0004-0000-0200-00008D000000}"/>
    <hyperlink ref="AI14" r:id="rId118" xr:uid="{00000000-0004-0000-0200-00008E000000}"/>
    <hyperlink ref="AL14" r:id="rId119" location="/reports/testresults/list/view?tql=testResult.projectKey%20IN%20('TQUALTCM')%20AND%20testRun.key%20IN%20('TQUALTCM-C437')%20AND%20testRun.onlyLastTestResult%20IS%20false&amp;jql=&amp;title=REPORTS.TEST_RESULTS_ADVANCED.TITLE" xr:uid="{00000000-0004-0000-0200-00008F000000}"/>
    <hyperlink ref="AN14" r:id="rId120" location="/reports/testresults/list/view?tql=testResult.projectKey%20IN%20('TQUALTCM')%20AND%20testRun.key%20IN%20('TQUALTCM-C1114')%20AND%20testRun.onlyLastTestResult%20IS%20false&amp;jql=&amp;title=REPORTS.TEST_RESULTS_ADVANCED.TITL" xr:uid="{00000000-0004-0000-0200-000090000000}"/>
    <hyperlink ref="AR14" r:id="rId121" location="/cycle?projectId=15704" xr:uid="{00000000-0004-0000-0200-000091000000}"/>
    <hyperlink ref="AS14" r:id="rId122" location="/reports/testresults/list/view?tql=testResult.projectKey%20IN%20('TQUALTCM')%20AND%20testRun.key%20IN%20('TQUALTCM-C219')%20AND%20testRun.onlyLastTestResult%20IS%20false&amp;jql=&amp;title=REPORTS.TEST_RESULTS_ADVANCED.TITLE&amp;period=MONTH&amp;traceabilityReportOption=" xr:uid="{00000000-0004-0000-0200-000092000000}"/>
    <hyperlink ref="AT14" r:id="rId123" xr:uid="{00000000-0004-0000-0200-000093000000}"/>
    <hyperlink ref="AV14" r:id="rId124" xr:uid="{00000000-0004-0000-0200-000094000000}"/>
    <hyperlink ref="AX14" r:id="rId125" xr:uid="{00000000-0004-0000-0200-000095000000}"/>
    <hyperlink ref="AY14" r:id="rId126" xr:uid="{00000000-0004-0000-0200-000096000000}"/>
    <hyperlink ref="AZ14" r:id="rId127" xr:uid="{00000000-0004-0000-0200-000097000000}"/>
    <hyperlink ref="BA14" r:id="rId128" xr:uid="{00000000-0004-0000-0200-000098000000}"/>
    <hyperlink ref="BD14" r:id="rId129" xr:uid="{00000000-0004-0000-0200-000099000000}"/>
    <hyperlink ref="BE14" r:id="rId130" xr:uid="{00000000-0004-0000-0200-00009A000000}"/>
    <hyperlink ref="BH14" r:id="rId131" xr:uid="{00000000-0004-0000-0200-00009B000000}"/>
    <hyperlink ref="BI14" r:id="rId132" xr:uid="{00000000-0004-0000-0200-00009C000000}"/>
    <hyperlink ref="BJ14" r:id="rId133" xr:uid="{00000000-0004-0000-0200-00009D000000}"/>
    <hyperlink ref="BK14" r:id="rId134" xr:uid="{00000000-0004-0000-0200-00009E000000}"/>
    <hyperlink ref="BL14" r:id="rId135" xr:uid="{00000000-0004-0000-0200-00009F000000}"/>
    <hyperlink ref="D15" r:id="rId136" display="https://intranet.atlnz.lc/systest/Jira_Reports/testExecReport/jiraExecReport.php?testPlanKey=11&amp;projectKey=TQUALTCM&amp;Report=Report" xr:uid="{00000000-0004-0000-0200-0000A0000000}"/>
    <hyperlink ref="AS15" r:id="rId137" location="/reports/testresults/list/view?tql=testResult.projectKey%20IN%20('TQUALTCM')%20AND%20testRun.key%20IN%20('TQUALTCM-C82')%20AND%20testRun.onlyLastTestResult%20IS%20false&amp;jql=&amp;title=REPORTS.TEST_RESULTS_ADVANCED.TITLE&amp;period=MONTH&amp;traceabilityReportOption=C" xr:uid="{00000000-0004-0000-0200-0000A1000000}"/>
    <hyperlink ref="D16" r:id="rId138" display="https://intranet.atlnz.lc/systest/Jira_Reports/testExecReport/jiraExecReport.php?testPlanKey=39&amp;projectKey=TQUALTCM&amp;Report=Report" xr:uid="{00000000-0004-0000-0200-0000A2000000}"/>
    <hyperlink ref="E16" r:id="rId139" xr:uid="{00000000-0004-0000-0200-0000A3000000}"/>
    <hyperlink ref="F16" r:id="rId140" xr:uid="{00000000-0004-0000-0200-0000A4000000}"/>
    <hyperlink ref="G16" r:id="rId141" xr:uid="{00000000-0004-0000-0200-0000A5000000}"/>
    <hyperlink ref="O16" r:id="rId142" xr:uid="{00000000-0004-0000-0200-0000A7000000}"/>
    <hyperlink ref="P16" r:id="rId143" xr:uid="{00000000-0004-0000-0200-0000A8000000}"/>
    <hyperlink ref="S16" r:id="rId144" xr:uid="{00000000-0004-0000-0200-0000A9000000}"/>
    <hyperlink ref="T16" r:id="rId145" xr:uid="{00000000-0004-0000-0200-0000AA000000}"/>
    <hyperlink ref="X16" r:id="rId146" location="/reports/testresults/list/view?tql=testResult.projectKey%20IN%20('TQUALTCM')%20AND%20testRun.key%20IN%20('TQUALTCM-C1053')%20AND%20testRun.onlyLastTestResult%20IS%20false&amp;jql=&amp;title=REPORTS.TEST_RESULTS_ADVANCED.TITLE" xr:uid="{00000000-0004-0000-0200-0000AB000000}"/>
    <hyperlink ref="Y16" r:id="rId147" xr:uid="{00000000-0004-0000-0200-0000AC000000}"/>
    <hyperlink ref="AA16" r:id="rId148" location="/testCycle/TQUALTCM-C2703" xr:uid="{00000000-0004-0000-0200-0000AD000000}"/>
    <hyperlink ref="AH16" r:id="rId149" xr:uid="{00000000-0004-0000-0200-0000AE000000}"/>
    <hyperlink ref="AI16" r:id="rId150" xr:uid="{00000000-0004-0000-0200-0000AF000000}"/>
    <hyperlink ref="AL16" r:id="rId151" location="/reports/testresults/list/view?tql=testResult.projectKey%20IN%20('TQUALTCM')%20AND%20testRun.key%20IN%20('TQUALTCM-C439')%20AND%20testRun.onlyLastTestResult%20IS%20false&amp;jql=&amp;title=REPORTS.TEST_RESULTS_ADVANCED.TITLE" xr:uid="{00000000-0004-0000-0200-0000B0000000}"/>
    <hyperlink ref="AN16" r:id="rId152" location="/reports/testresults/list/view?tql=testResult.projectKey%20IN%20('TQUALTCM')%20AND%20testRun.key%20IN%20('TQUALTCM-C1116')%20AND%20testRun.onlyLastTestResult%20IS%20false&amp;jql=&amp;title=REPORTS.TEST_RESULTS_ADVANCED.TITL" xr:uid="{00000000-0004-0000-0200-0000B1000000}"/>
    <hyperlink ref="AR16" r:id="rId153" location="/cycle?projectId=15704" xr:uid="{00000000-0004-0000-0200-0000B2000000}"/>
    <hyperlink ref="AS16" r:id="rId154" location="/reports/testresults/list/view?tql=testResult.projectKey%20IN%20('TQUALTCM')%20AND%20testRun.key%20IN%20('TQUALTCM-C217')%20AND%20testRun.onlyLastTestResult%20IS%20false&amp;jql=&amp;title=REPORTS.TEST_RESULTS_ADVANCED.TITLE&amp;period=MONTH&amp;traceabilityReportOption=" xr:uid="{00000000-0004-0000-0200-0000B3000000}"/>
    <hyperlink ref="AT16" r:id="rId155" xr:uid="{00000000-0004-0000-0200-0000B4000000}"/>
    <hyperlink ref="AV16" r:id="rId156" xr:uid="{00000000-0004-0000-0200-0000B5000000}"/>
    <hyperlink ref="Q16" r:id="rId157" xr:uid="{00000000-0004-0000-0200-0000B6000000}"/>
    <hyperlink ref="AX16" r:id="rId158" xr:uid="{00000000-0004-0000-0200-0000B7000000}"/>
    <hyperlink ref="AY16" r:id="rId159" xr:uid="{00000000-0004-0000-0200-0000B8000000}"/>
    <hyperlink ref="AZ16" r:id="rId160" xr:uid="{00000000-0004-0000-0200-0000B9000000}"/>
    <hyperlink ref="BA16" r:id="rId161" xr:uid="{00000000-0004-0000-0200-0000BA000000}"/>
    <hyperlink ref="BD16" r:id="rId162" xr:uid="{00000000-0004-0000-0200-0000BB000000}"/>
    <hyperlink ref="BE16" r:id="rId163" xr:uid="{00000000-0004-0000-0200-0000BC000000}"/>
    <hyperlink ref="BF16" r:id="rId164" xr:uid="{00000000-0004-0000-0200-0000BD000000}"/>
    <hyperlink ref="BG16" r:id="rId165" xr:uid="{00000000-0004-0000-0200-0000BE000000}"/>
    <hyperlink ref="BH16" r:id="rId166" xr:uid="{00000000-0004-0000-0200-0000BF000000}"/>
    <hyperlink ref="BI16" r:id="rId167" xr:uid="{00000000-0004-0000-0200-0000C0000000}"/>
    <hyperlink ref="BJ16" r:id="rId168" xr:uid="{00000000-0004-0000-0200-0000C1000000}"/>
    <hyperlink ref="BK16" r:id="rId169" xr:uid="{00000000-0004-0000-0200-0000C2000000}"/>
    <hyperlink ref="BL16" r:id="rId170" xr:uid="{00000000-0004-0000-0200-0000C3000000}"/>
    <hyperlink ref="D17" r:id="rId171" display="https://intranet.atlnz.lc/systest/Jira_Reports/testExecReport/jiraExecReport.php?testPlanKey=40&amp;projectKey=TQUALTCM&amp;Report=Report" xr:uid="{00000000-0004-0000-0200-0000C4000000}"/>
    <hyperlink ref="E17" r:id="rId172" xr:uid="{00000000-0004-0000-0200-0000C5000000}"/>
    <hyperlink ref="F17" r:id="rId173" xr:uid="{00000000-0004-0000-0200-0000C6000000}"/>
    <hyperlink ref="G17" r:id="rId174" xr:uid="{00000000-0004-0000-0200-0000C7000000}"/>
    <hyperlink ref="O17" r:id="rId175" xr:uid="{00000000-0004-0000-0200-0000C9000000}"/>
    <hyperlink ref="P17" r:id="rId176" xr:uid="{00000000-0004-0000-0200-0000CA000000}"/>
    <hyperlink ref="S17" r:id="rId177" xr:uid="{00000000-0004-0000-0200-0000CB000000}"/>
    <hyperlink ref="T17" r:id="rId178" xr:uid="{00000000-0004-0000-0200-0000CC000000}"/>
    <hyperlink ref="X17" r:id="rId179" location="/reports/testresults/list/view?tql=testResult.projectKey%20IN%20('TQUALTCM')%20AND%20testRun.key%20IN%20('TQUALTCM-C1062')%20AND%20testRun.onlyLastTestResult%20IS%20false&amp;jql=&amp;title=REPORTS.TEST_RESULTS_ADVANCED.TITLE" xr:uid="{00000000-0004-0000-0200-0000CD000000}"/>
    <hyperlink ref="Y17" r:id="rId180" xr:uid="{00000000-0004-0000-0200-0000CE000000}"/>
    <hyperlink ref="AA17" r:id="rId181" location="/testCycle/TQUALTCM-C2704" xr:uid="{00000000-0004-0000-0200-0000CF000000}"/>
    <hyperlink ref="AH17" r:id="rId182" xr:uid="{00000000-0004-0000-0200-0000D0000000}"/>
    <hyperlink ref="AI17" r:id="rId183" xr:uid="{00000000-0004-0000-0200-0000D1000000}"/>
    <hyperlink ref="AL17" r:id="rId184" location="/reports/testresults/list/view?tql=testResult.projectKey%20IN%20('TQUALTCM')%20AND%20testRun.key%20IN%20('TQUALTCM-C440')%20AND%20testRun.onlyLastTestResult%20IS%20false&amp;jql=&amp;title=REPORTS.TEST_RESULTS_ADVANCED.TITLE" xr:uid="{00000000-0004-0000-0200-0000D2000000}"/>
    <hyperlink ref="AN17" r:id="rId185" location="/reports/testresults/list/view?tql=testResult.projectKey%20IN%20('TQUALTCM')%20AND%20testRun.key%20IN%20('TQUALTCM-C1117')%20AND%20testRun.onlyLastTestResult%20IS%20false&amp;jql=&amp;title=REPORTS.TEST_RESULTS_ADVANCED.TITL" xr:uid="{00000000-0004-0000-0200-0000D3000000}"/>
    <hyperlink ref="AR17" r:id="rId186" location="/cycle?projectId=15704" xr:uid="{00000000-0004-0000-0200-0000D4000000}"/>
    <hyperlink ref="AS17" r:id="rId187" location="/reports/testresults/list/view?tql=testResult.projectKey%20IN%20('TQUALTCM')%20AND%20testRun.key%20IN%20('TQUALTCM-C216')%20AND%20testRun.onlyLastTestResult%20IS%20false&amp;jql=&amp;title=REPORTS.TEST_RESULTS_ADVANCED.TITLE&amp;period=MONTH&amp;traceabilityReportOption=" xr:uid="{00000000-0004-0000-0200-0000D5000000}"/>
    <hyperlink ref="AT17" r:id="rId188" xr:uid="{00000000-0004-0000-0200-0000D6000000}"/>
    <hyperlink ref="AV17" r:id="rId189" xr:uid="{00000000-0004-0000-0200-0000D7000000}"/>
    <hyperlink ref="Q17" r:id="rId190" xr:uid="{00000000-0004-0000-0200-0000D8000000}"/>
    <hyperlink ref="AX17" r:id="rId191" xr:uid="{00000000-0004-0000-0200-0000D9000000}"/>
    <hyperlink ref="AY17" r:id="rId192" xr:uid="{00000000-0004-0000-0200-0000DA000000}"/>
    <hyperlink ref="AZ17" r:id="rId193" xr:uid="{00000000-0004-0000-0200-0000DB000000}"/>
    <hyperlink ref="BA17" r:id="rId194" xr:uid="{00000000-0004-0000-0200-0000DC000000}"/>
    <hyperlink ref="BD17" r:id="rId195" xr:uid="{00000000-0004-0000-0200-0000DD000000}"/>
    <hyperlink ref="BE17" r:id="rId196" xr:uid="{00000000-0004-0000-0200-0000DE000000}"/>
    <hyperlink ref="BF17" r:id="rId197" xr:uid="{00000000-0004-0000-0200-0000DF000000}"/>
    <hyperlink ref="BG17" r:id="rId198" xr:uid="{00000000-0004-0000-0200-0000E0000000}"/>
    <hyperlink ref="BH17" r:id="rId199" xr:uid="{00000000-0004-0000-0200-0000E1000000}"/>
    <hyperlink ref="BI17" r:id="rId200" xr:uid="{00000000-0004-0000-0200-0000E2000000}"/>
    <hyperlink ref="BJ17" r:id="rId201" xr:uid="{00000000-0004-0000-0200-0000E3000000}"/>
    <hyperlink ref="BK17" r:id="rId202" xr:uid="{00000000-0004-0000-0200-0000E4000000}"/>
    <hyperlink ref="BL17" r:id="rId203" xr:uid="{00000000-0004-0000-0200-0000E5000000}"/>
    <hyperlink ref="D18" r:id="rId204" display="https://intranet.atlnz.lc/systest/Jira_Reports/testExecReport/jiraExecReport.php?testPlanKey=17&amp;projectKey=TQUALTCM&amp;Report=Report" xr:uid="{00000000-0004-0000-0200-0000E6000000}"/>
    <hyperlink ref="F18" r:id="rId205" xr:uid="{00000000-0004-0000-0200-0000E7000000}"/>
    <hyperlink ref="G18" r:id="rId206" xr:uid="{00000000-0004-0000-0200-0000E8000000}"/>
    <hyperlink ref="O18" r:id="rId207" xr:uid="{00000000-0004-0000-0200-0000EA000000}"/>
    <hyperlink ref="P18" r:id="rId208" xr:uid="{00000000-0004-0000-0200-0000EB000000}"/>
    <hyperlink ref="S18" r:id="rId209" xr:uid="{00000000-0004-0000-0200-0000EC000000}"/>
    <hyperlink ref="T18" r:id="rId210" xr:uid="{00000000-0004-0000-0200-0000ED000000}"/>
    <hyperlink ref="X18" r:id="rId211" location="/reports/testresults/list/view?tql=testResult.projectKey%20IN%20('TQUALTCM')%20AND%20testRun.key%20IN%20('TQUALTCM-C1064')%20AND%20testRun.onlyLastTestResult%20IS%20false&amp;jql=&amp;title=REPORTS.TEST_RESULTS_ADVANCED.TITLE" xr:uid="{00000000-0004-0000-0200-0000EE000000}"/>
    <hyperlink ref="Y18" r:id="rId212" xr:uid="{00000000-0004-0000-0200-0000EF000000}"/>
    <hyperlink ref="AA18" r:id="rId213" location="/testCycle/TQUALTCM-C2705" xr:uid="{00000000-0004-0000-0200-0000F0000000}"/>
    <hyperlink ref="AH18" r:id="rId214" xr:uid="{00000000-0004-0000-0200-0000F1000000}"/>
    <hyperlink ref="AI18" r:id="rId215" xr:uid="{00000000-0004-0000-0200-0000F2000000}"/>
    <hyperlink ref="AL18" r:id="rId216" location="/reports/testresults/list/view?tql=testResult.projectKey%20IN%20('TQUALTCM')%20AND%20testRun.key%20IN%20('TQUALTCM-C417')%20AND%20testRun.onlyLastTestResult%20IS%20false&amp;jql=&amp;title=REPORTS.TEST_RESULTS_ADVANCED.TITLE" xr:uid="{00000000-0004-0000-0200-0000F3000000}"/>
    <hyperlink ref="AM18" r:id="rId217" xr:uid="{00000000-0004-0000-0200-0000F4000000}"/>
    <hyperlink ref="AN18" r:id="rId218" location="/reports/testresults/list/view?tql=testResult.projectKey%20IN%20('TQUALTCM')%20AND%20testRun.key%20IN%20('TQUALTCM-C1107')%20AND%20testRun.onlyLastTestResult%20IS%20false&amp;jql=&amp;title=REPORTS.TEST_RESULTS_ADVANCED.TITL" xr:uid="{00000000-0004-0000-0200-0000F5000000}"/>
    <hyperlink ref="AR18" r:id="rId219" location="/cycle?projectId=15704" xr:uid="{00000000-0004-0000-0200-0000F6000000}"/>
    <hyperlink ref="AS18" r:id="rId220" location="/reports/testresults/list/view?tql=testResult.projectKey%20IN%20('TQUALTCM')%20AND%20testRun.key%20IN%20('TQUALTCM-C67')%20AND%20testRun.onlyLastTestResult%20IS%20false&amp;jql=&amp;title=REPORTS.TEST_RESULTS_ADVANCED.TITLE&amp;period=MONTH&amp;traceabilityReportOption=C" xr:uid="{00000000-0004-0000-0200-0000F7000000}"/>
    <hyperlink ref="AT18" r:id="rId221" xr:uid="{00000000-0004-0000-0200-0000F8000000}"/>
    <hyperlink ref="AV18" r:id="rId222" xr:uid="{00000000-0004-0000-0200-0000F9000000}"/>
    <hyperlink ref="Q18" r:id="rId223" xr:uid="{00000000-0004-0000-0200-0000FA000000}"/>
    <hyperlink ref="AX18" r:id="rId224" xr:uid="{00000000-0004-0000-0200-0000FB000000}"/>
    <hyperlink ref="AY18" r:id="rId225" xr:uid="{00000000-0004-0000-0200-0000FC000000}"/>
    <hyperlink ref="AZ18" r:id="rId226" xr:uid="{00000000-0004-0000-0200-0000FD000000}"/>
    <hyperlink ref="BA18" r:id="rId227" xr:uid="{00000000-0004-0000-0200-0000FE000000}"/>
    <hyperlink ref="BB18" r:id="rId228" xr:uid="{00000000-0004-0000-0200-0000FF000000}"/>
    <hyperlink ref="BF18" r:id="rId229" xr:uid="{00000000-0004-0000-0200-000000010000}"/>
    <hyperlink ref="BH18" r:id="rId230" xr:uid="{00000000-0004-0000-0200-000001010000}"/>
    <hyperlink ref="BI18" r:id="rId231" xr:uid="{00000000-0004-0000-0200-000002010000}"/>
    <hyperlink ref="BJ18" r:id="rId232" xr:uid="{00000000-0004-0000-0200-000003010000}"/>
    <hyperlink ref="BK18" r:id="rId233" xr:uid="{00000000-0004-0000-0200-000004010000}"/>
    <hyperlink ref="BL18" r:id="rId234" xr:uid="{00000000-0004-0000-0200-000005010000}"/>
    <hyperlink ref="BM18" r:id="rId235" xr:uid="{00000000-0004-0000-0200-000006010000}"/>
    <hyperlink ref="BN18" r:id="rId236" xr:uid="{00000000-0004-0000-0200-000007010000}"/>
    <hyperlink ref="BO18" r:id="rId237" xr:uid="{00000000-0004-0000-0200-000008010000}"/>
    <hyperlink ref="BP18" r:id="rId238" xr:uid="{00000000-0004-0000-0200-000009010000}"/>
    <hyperlink ref="BQ18" r:id="rId239" xr:uid="{00000000-0004-0000-0200-00000A010000}"/>
    <hyperlink ref="BW18" r:id="rId240" xr:uid="{00000000-0004-0000-0200-00000B010000}"/>
    <hyperlink ref="D19" r:id="rId241" display="https://intranet.atlnz.lc/systest/Jira_Reports/testExecReport/jiraExecReport.php?testPlanKey=38&amp;projectKey=TQUALTCM&amp;Report=Report" xr:uid="{00000000-0004-0000-0200-00000C010000}"/>
    <hyperlink ref="F19" r:id="rId242" xr:uid="{00000000-0004-0000-0200-00000D010000}"/>
    <hyperlink ref="G19" r:id="rId243" xr:uid="{00000000-0004-0000-0200-00000E010000}"/>
    <hyperlink ref="O19" r:id="rId244" xr:uid="{00000000-0004-0000-0200-000010010000}"/>
    <hyperlink ref="P19" r:id="rId245" xr:uid="{00000000-0004-0000-0200-000011010000}"/>
    <hyperlink ref="S19" r:id="rId246" xr:uid="{00000000-0004-0000-0200-000012010000}"/>
    <hyperlink ref="T19" r:id="rId247" xr:uid="{00000000-0004-0000-0200-000013010000}"/>
    <hyperlink ref="X19" r:id="rId248" location="/reports/testresults/list/view?tql=testResult.projectKey%20IN%20('TQUALTCM')%20AND%20testRun.key%20IN%20('TQUALTCM-C1063')%20AND%20testRun.onlyLastTestResult%20IS%20false&amp;jql=&amp;title=REPORTS.TEST_RESULTS_ADVANCED.TITLE" xr:uid="{00000000-0004-0000-0200-000014010000}"/>
    <hyperlink ref="Y19" r:id="rId249" xr:uid="{00000000-0004-0000-0200-000015010000}"/>
    <hyperlink ref="AA19" r:id="rId250" location="/testCycle/TQUALTCM-C2706" xr:uid="{00000000-0004-0000-0200-000016010000}"/>
    <hyperlink ref="AH19" r:id="rId251" xr:uid="{00000000-0004-0000-0200-000017010000}"/>
    <hyperlink ref="AI19" r:id="rId252" xr:uid="{00000000-0004-0000-0200-000018010000}"/>
    <hyperlink ref="AL19" r:id="rId253" location="/reports/testresults/list/view?tql=testResult.projectKey%20IN%20('TQUALTCM')%20AND%20testRun.key%20IN%20('TQUALTCM-C438')%20AND%20testRun.onlyLastTestResult%20IS%20false&amp;jql=&amp;title=REPORTS.TEST_RESULTS_ADVANCED.TITLE" xr:uid="{00000000-0004-0000-0200-000019010000}"/>
    <hyperlink ref="AM19" r:id="rId254" xr:uid="{00000000-0004-0000-0200-00001A010000}"/>
    <hyperlink ref="AN19" r:id="rId255" location="/reports/testresults/list/view?tql=testResult.projectKey%20IN%20('TQUALTCM')%20AND%20testRun.key%20IN%20('TQUALTCM-C1115')%20AND%20testRun.onlyLastTestResult%20IS%20false&amp;jql=&amp;title=REPORTS.TEST_RESULTS_ADVANCED.TITL" xr:uid="{00000000-0004-0000-0200-00001B010000}"/>
    <hyperlink ref="AR19" r:id="rId256" location="/cycle?projectId=15704" xr:uid="{00000000-0004-0000-0200-00001C010000}"/>
    <hyperlink ref="AS19" r:id="rId257" location="/reports/testresults/list/view?tql=testResult.projectKey%20IN%20('TQUALTCM')%20AND%20testRun.key%20IN%20('TQUALTCM-C214')%20AND%20testRun.onlyLastTestResult%20IS%20false&amp;jql=&amp;title=REPORTS.TEST_RESULTS_ADVANCED.TITLE&amp;period=MONTH&amp;traceabilityReportOption=" xr:uid="{00000000-0004-0000-0200-00001D010000}"/>
    <hyperlink ref="AT19" r:id="rId258" xr:uid="{00000000-0004-0000-0200-00001E010000}"/>
    <hyperlink ref="AV19" r:id="rId259" xr:uid="{00000000-0004-0000-0200-00001F010000}"/>
    <hyperlink ref="Q19" r:id="rId260" xr:uid="{00000000-0004-0000-0200-000020010000}"/>
    <hyperlink ref="AX19" r:id="rId261" xr:uid="{00000000-0004-0000-0200-000021010000}"/>
    <hyperlink ref="AY19" r:id="rId262" xr:uid="{00000000-0004-0000-0200-000022010000}"/>
    <hyperlink ref="AZ19" r:id="rId263" xr:uid="{00000000-0004-0000-0200-000023010000}"/>
    <hyperlink ref="BB19" r:id="rId264" xr:uid="{00000000-0004-0000-0200-000024010000}"/>
    <hyperlink ref="BF19" r:id="rId265" xr:uid="{00000000-0004-0000-0200-000025010000}"/>
    <hyperlink ref="BH19" r:id="rId266" xr:uid="{00000000-0004-0000-0200-000026010000}"/>
    <hyperlink ref="BI19" r:id="rId267" xr:uid="{00000000-0004-0000-0200-000027010000}"/>
    <hyperlink ref="BJ19" r:id="rId268" xr:uid="{00000000-0004-0000-0200-000028010000}"/>
    <hyperlink ref="BK19" r:id="rId269" xr:uid="{00000000-0004-0000-0200-000029010000}"/>
    <hyperlink ref="BL19" r:id="rId270" xr:uid="{00000000-0004-0000-0200-00002A010000}"/>
    <hyperlink ref="BM19" r:id="rId271" xr:uid="{00000000-0004-0000-0200-00002B010000}"/>
    <hyperlink ref="BN19" r:id="rId272" xr:uid="{00000000-0004-0000-0200-00002C010000}"/>
    <hyperlink ref="BO19" r:id="rId273" xr:uid="{00000000-0004-0000-0200-00002D010000}"/>
    <hyperlink ref="BP19" r:id="rId274" xr:uid="{00000000-0004-0000-0200-00002E010000}"/>
    <hyperlink ref="BQ19" r:id="rId275" xr:uid="{00000000-0004-0000-0200-00002F010000}"/>
    <hyperlink ref="BW19" r:id="rId276" xr:uid="{00000000-0004-0000-0200-000030010000}"/>
    <hyperlink ref="D22" r:id="rId277" display="https://intranet.atlnz.lc/systest/Jira_Reports/testExecReport/jiraExecReport.php?testPlanKey=12&amp;projectKey=TQUALTCM&amp;Report=Report" xr:uid="{00000000-0004-0000-0200-000031010000}"/>
    <hyperlink ref="AS22" r:id="rId278" location="/reports/testresults/list/view?tql=testResult.projectKey%20IN%20('TQUALTCM')%20AND%20testRun.key%20IN%20('TQUALTCM-C81')%20AND%20testRun.onlyLastTestResult%20IS%20false&amp;jql=&amp;title=REPORTS.TEST_RESULTS_ADVANCED.TITLE&amp;period=MONTH&amp;traceabilityReportOption=C" xr:uid="{00000000-0004-0000-0200-000032010000}"/>
    <hyperlink ref="D23" r:id="rId279" display="https://intranet.atlnz.lc/systest/Jira_Reports/testExecReport/jiraExecReport.php?testPlanKey=18&amp;projectKey=TQUALTCM&amp;Report=Report" xr:uid="{00000000-0004-0000-0200-000033010000}"/>
    <hyperlink ref="F23" r:id="rId280" xr:uid="{00000000-0004-0000-0200-000034010000}"/>
    <hyperlink ref="G23" r:id="rId281" xr:uid="{00000000-0004-0000-0200-000035010000}"/>
    <hyperlink ref="N23" r:id="rId282" xr:uid="{00000000-0004-0000-0200-000037010000}"/>
    <hyperlink ref="O23" r:id="rId283" xr:uid="{00000000-0004-0000-0200-000038010000}"/>
    <hyperlink ref="P23" r:id="rId284" xr:uid="{00000000-0004-0000-0200-000039010000}"/>
    <hyperlink ref="S23" r:id="rId285" xr:uid="{00000000-0004-0000-0200-00003A010000}"/>
    <hyperlink ref="T23" r:id="rId286" xr:uid="{00000000-0004-0000-0200-00003B010000}"/>
    <hyperlink ref="Y23" r:id="rId287" xr:uid="{00000000-0004-0000-0200-00003C010000}"/>
    <hyperlink ref="AA23" r:id="rId288" xr:uid="{00000000-0004-0000-0200-00003D010000}"/>
    <hyperlink ref="AF23" r:id="rId289" xr:uid="{00000000-0004-0000-0200-00003F010000}"/>
    <hyperlink ref="AG23" r:id="rId290" xr:uid="{00000000-0004-0000-0200-000040010000}"/>
    <hyperlink ref="AH23" r:id="rId291" xr:uid="{00000000-0004-0000-0200-000041010000}"/>
    <hyperlink ref="AI23" r:id="rId292" xr:uid="{00000000-0004-0000-0200-000042010000}"/>
    <hyperlink ref="AL23" r:id="rId293" xr:uid="{00000000-0004-0000-0200-000043010000}"/>
    <hyperlink ref="AM23" r:id="rId294" xr:uid="{00000000-0004-0000-0200-000044010000}"/>
    <hyperlink ref="AN23" r:id="rId295" xr:uid="{00000000-0004-0000-0200-000045010000}"/>
    <hyperlink ref="AR23" r:id="rId296" xr:uid="{00000000-0004-0000-0200-000048010000}"/>
    <hyperlink ref="AS23" r:id="rId297" xr:uid="{00000000-0004-0000-0200-000049010000}"/>
    <hyperlink ref="AT23" r:id="rId298" xr:uid="{00000000-0004-0000-0200-00004A010000}"/>
    <hyperlink ref="AV23" r:id="rId299" xr:uid="{00000000-0004-0000-0200-00004B010000}"/>
    <hyperlink ref="Q23" r:id="rId300" xr:uid="{00000000-0004-0000-0200-00004C010000}"/>
    <hyperlink ref="AX23" r:id="rId301" xr:uid="{00000000-0004-0000-0200-00004D010000}"/>
    <hyperlink ref="AY23" r:id="rId302" xr:uid="{00000000-0004-0000-0200-00004E010000}"/>
    <hyperlink ref="AZ23" r:id="rId303" xr:uid="{00000000-0004-0000-0200-00004F010000}"/>
    <hyperlink ref="BA23" r:id="rId304" xr:uid="{00000000-0004-0000-0200-000050010000}"/>
    <hyperlink ref="BC23" r:id="rId305" xr:uid="{00000000-0004-0000-0200-000051010000}"/>
    <hyperlink ref="BD23" r:id="rId306" xr:uid="{00000000-0004-0000-0200-000052010000}"/>
    <hyperlink ref="BF23" r:id="rId307" xr:uid="{00000000-0004-0000-0200-000053010000}"/>
    <hyperlink ref="BG23" r:id="rId308" xr:uid="{00000000-0004-0000-0200-000054010000}"/>
    <hyperlink ref="BH23" r:id="rId309" xr:uid="{00000000-0004-0000-0200-000055010000}"/>
    <hyperlink ref="BI23" r:id="rId310" xr:uid="{00000000-0004-0000-0200-000056010000}"/>
    <hyperlink ref="BJ23" r:id="rId311" xr:uid="{00000000-0004-0000-0200-000057010000}"/>
    <hyperlink ref="BK23" r:id="rId312" xr:uid="{00000000-0004-0000-0200-000058010000}"/>
    <hyperlink ref="BL23" r:id="rId313" xr:uid="{00000000-0004-0000-0200-000059010000}"/>
    <hyperlink ref="BM23" r:id="rId314" xr:uid="{00000000-0004-0000-0200-00005A010000}"/>
    <hyperlink ref="BN23" r:id="rId315" xr:uid="{00000000-0004-0000-0200-00005B010000}"/>
    <hyperlink ref="BO23" r:id="rId316" xr:uid="{00000000-0004-0000-0200-00005C010000}"/>
    <hyperlink ref="BP23" r:id="rId317" xr:uid="{00000000-0004-0000-0200-00005D010000}"/>
    <hyperlink ref="BQ23" r:id="rId318" xr:uid="{00000000-0004-0000-0200-00005E010000}"/>
    <hyperlink ref="BS23" r:id="rId319" xr:uid="{00000000-0004-0000-0200-00005F010000}"/>
    <hyperlink ref="BU23" r:id="rId320" xr:uid="{00000000-0004-0000-0200-000060010000}"/>
    <hyperlink ref="BV23" r:id="rId321" xr:uid="{00000000-0004-0000-0200-000061010000}"/>
    <hyperlink ref="BW23" r:id="rId322" xr:uid="{00000000-0004-0000-0200-000062010000}"/>
    <hyperlink ref="BX23" r:id="rId323" xr:uid="{00000000-0004-0000-0200-000063010000}"/>
    <hyperlink ref="CF23" r:id="rId324" xr:uid="{00000000-0004-0000-0200-000064010000}"/>
    <hyperlink ref="D24" r:id="rId325" display="https://intranet.atlnz.lc/systest/Jira_Reports/testExecReport/jiraExecReport.php?testPlanKey=19&amp;projectKey=TQUALTCM&amp;Report=Report" xr:uid="{00000000-0004-0000-0200-000065010000}"/>
    <hyperlink ref="X24" r:id="rId326" location="/reports/testresults/list/view?tql=testResult.projectKey%20IN%20('TQUALTCM')%20AND%20testRun.key%20IN%20('TQUALTCM-C1057')%20AND%20testRun.onlyLastTestResult%20IS%20false&amp;jql=&amp;title=REPORTS.TEST_RESULTS_ADVANCED.TITLE" xr:uid="{00000000-0004-0000-0200-000067010000}"/>
    <hyperlink ref="Y24" r:id="rId327" xr:uid="{00000000-0004-0000-0200-000068010000}"/>
    <hyperlink ref="AA24" r:id="rId328" location="/testCycle/TQUALTCM-C2709" xr:uid="{00000000-0004-0000-0200-000069010000}"/>
    <hyperlink ref="AL24" r:id="rId329" location="/reports/testresults/list/view?tql=testResult.projectKey%20IN%20('TQUALTCM')%20AND%20testRun.key%20IN%20('TQUALTCM-C419')%20AND%20testRun.onlyLastTestResult%20IS%20false&amp;jql=&amp;title=REPORTS.TEST_RESULTS_ADVANCED.TITLE" xr:uid="{00000000-0004-0000-0200-00006A010000}"/>
    <hyperlink ref="AN24" r:id="rId330" location="/reports/testresults/list/view?tql=testResult.projectKey%20IN%20('TQUALTCM')%20AND%20testRun.key%20IN%20('TQUALTCM-C1109')%20AND%20testRun.onlyLastTestResult%20IS%20false&amp;jql=&amp;title=REPORTS.TEST_RESULTS_ADVANCED.TITL" xr:uid="{00000000-0004-0000-0200-00006B010000}"/>
    <hyperlink ref="AR24" r:id="rId331" location="/cycle?projectId=15704" xr:uid="{00000000-0004-0000-0200-00006C010000}"/>
    <hyperlink ref="AS24" r:id="rId332" location="/reports/testresults/list/view?tql=testResult.projectKey%20IN%20('TQUALTCM')%20AND%20testRun.key%20IN%20('TQUALTCM-C52')%20AND%20testRun.onlyLastTestResult%20IS%20false&amp;jql=&amp;title=REPORTS.TEST_RESULTS_ADVANCED.TITLE&amp;period=MONTH&amp;traceabilityReportOption=C" xr:uid="{00000000-0004-0000-0200-00006D010000}"/>
    <hyperlink ref="AV24" r:id="rId333" xr:uid="{00000000-0004-0000-0200-00006E010000}"/>
    <hyperlink ref="Q24" r:id="rId334" xr:uid="{00000000-0004-0000-0200-00006F010000}"/>
    <hyperlink ref="R24" r:id="rId335" xr:uid="{00000000-0004-0000-0200-000070010000}"/>
    <hyperlink ref="AX24" r:id="rId336" xr:uid="{00000000-0004-0000-0200-000071010000}"/>
    <hyperlink ref="BF24" r:id="rId337" xr:uid="{00000000-0004-0000-0200-000072010000}"/>
    <hyperlink ref="BG24" r:id="rId338" xr:uid="{00000000-0004-0000-0200-000073010000}"/>
    <hyperlink ref="D25" r:id="rId339" display="https://intranet.atlnz.lc/systest/Jira_Reports/testExecReport/jiraExecReport.php?testPlanKey=20&amp;projectKey=TQUALTCM&amp;Report=Report" xr:uid="{00000000-0004-0000-0200-000074010000}"/>
    <hyperlink ref="F25" r:id="rId340" xr:uid="{00000000-0004-0000-0200-000075010000}"/>
    <hyperlink ref="G25" r:id="rId341" xr:uid="{00000000-0004-0000-0200-000076010000}"/>
    <hyperlink ref="N25" r:id="rId342" xr:uid="{00000000-0004-0000-0200-000078010000}"/>
    <hyperlink ref="O25" r:id="rId343" xr:uid="{00000000-0004-0000-0200-000079010000}"/>
    <hyperlink ref="P25" r:id="rId344" xr:uid="{00000000-0004-0000-0200-00007A010000}"/>
    <hyperlink ref="S25" r:id="rId345" xr:uid="{00000000-0004-0000-0200-00007B010000}"/>
    <hyperlink ref="T25" r:id="rId346" xr:uid="{00000000-0004-0000-0200-00007C010000}"/>
    <hyperlink ref="X25" r:id="rId347" location="/reports/testresults/list/view?tql=testResult.projectKey%20IN%20('TQUALTCM')%20AND%20testRun.key%20IN%20('TQUALTCM-C1052')%20AND%20testRun.onlyLastTestResult%20IS%20false&amp;jql=&amp;title=REPORTS.TEST_RESULTS_ADVANCED.TITLE" xr:uid="{00000000-0004-0000-0200-00007D010000}"/>
    <hyperlink ref="Y25" r:id="rId348" xr:uid="{00000000-0004-0000-0200-00007E010000}"/>
    <hyperlink ref="AA25" r:id="rId349" location="/testCycle/TQUALTCM-C2710" xr:uid="{00000000-0004-0000-0200-00007F010000}"/>
    <hyperlink ref="AF25" r:id="rId350" location="/reports/testresults/list/view?tql=testResult.projectKey%20IN%20('TQUALTCM')%20AND%20testRun.key%20IN%20('TQUALTCM-C1287')%20AND%20testRun.onlyLastTestResult%20IS%20false&amp;jql=&amp;title=REPORTS.TEST_RESULTS_ADVANCED.TITLE" xr:uid="{00000000-0004-0000-0200-000081010000}"/>
    <hyperlink ref="AG25" r:id="rId351" xr:uid="{00000000-0004-0000-0200-000082010000}"/>
    <hyperlink ref="AH25" r:id="rId352" xr:uid="{00000000-0004-0000-0200-000083010000}"/>
    <hyperlink ref="AI25" r:id="rId353" xr:uid="{00000000-0004-0000-0200-000084010000}"/>
    <hyperlink ref="AL25" r:id="rId354" location="/reports/testresults/list/view?tql=testResult.projectKey%20IN%20('TQUALTCM')%20AND%20testRun.key%20IN%20('TQUALTCM-C420')%20AND%20testRun.onlyLastTestResult%20IS%20false&amp;jql=&amp;title=REPORTS.TEST_RESULTS_ADVANCED.TITLE" xr:uid="{00000000-0004-0000-0200-000085010000}"/>
    <hyperlink ref="AM25" r:id="rId355" xr:uid="{00000000-0004-0000-0200-000086010000}"/>
    <hyperlink ref="AN25" r:id="rId356" location="/reports/testresults/list/view?tql=testResult.projectKey%20IN%20('TQUALTCM')%20AND%20testRun.key%20IN%20('TQUALTCM-C1110')%20AND%20testRun.onlyLastTestResult%20IS%20false&amp;jql=&amp;title=REPORTS.TEST_RESULTS_ADVANCED.TITL" xr:uid="{00000000-0004-0000-0200-000087010000}"/>
    <hyperlink ref="AR25" r:id="rId357" location="/cycle?projectId=15704" xr:uid="{00000000-0004-0000-0200-00008A010000}"/>
    <hyperlink ref="AS25" r:id="rId358" location="/reports/testresults/list/view?tql=testResult.projectKey%20IN%20('TQUALTCM')%20AND%20testRun.key%20IN%20('TQUALTCM-C53')%20AND%20testRun.onlyLastTestResult%20IS%20false&amp;jql=&amp;title=REPORTS.TEST_RESULTS_ADVANCED.TITLE&amp;period=MONTH&amp;traceabilityReportOption=C" xr:uid="{00000000-0004-0000-0200-00008B010000}"/>
    <hyperlink ref="AT25" r:id="rId359" xr:uid="{00000000-0004-0000-0200-00008C010000}"/>
    <hyperlink ref="AV25" r:id="rId360" xr:uid="{00000000-0004-0000-0200-00008D010000}"/>
    <hyperlink ref="Q25" r:id="rId361" xr:uid="{00000000-0004-0000-0200-00008E010000}"/>
    <hyperlink ref="AX25" r:id="rId362" xr:uid="{00000000-0004-0000-0200-00008F010000}"/>
    <hyperlink ref="AY25" r:id="rId363" xr:uid="{00000000-0004-0000-0200-000090010000}"/>
    <hyperlink ref="AZ25" r:id="rId364" xr:uid="{00000000-0004-0000-0200-000091010000}"/>
    <hyperlink ref="BA25" r:id="rId365" xr:uid="{00000000-0004-0000-0200-000092010000}"/>
    <hyperlink ref="BC25" r:id="rId366" xr:uid="{00000000-0004-0000-0200-000093010000}"/>
    <hyperlink ref="BD25" r:id="rId367" xr:uid="{00000000-0004-0000-0200-000094010000}"/>
    <hyperlink ref="BE25" r:id="rId368" xr:uid="{00000000-0004-0000-0200-000095010000}"/>
    <hyperlink ref="BF25" r:id="rId369" xr:uid="{00000000-0004-0000-0200-000096010000}"/>
    <hyperlink ref="BG25" r:id="rId370" xr:uid="{00000000-0004-0000-0200-000097010000}"/>
    <hyperlink ref="BH25" r:id="rId371" xr:uid="{00000000-0004-0000-0200-000098010000}"/>
    <hyperlink ref="BI25" r:id="rId372" xr:uid="{00000000-0004-0000-0200-000099010000}"/>
    <hyperlink ref="BJ25" r:id="rId373" xr:uid="{00000000-0004-0000-0200-00009A010000}"/>
    <hyperlink ref="BK25" r:id="rId374" xr:uid="{00000000-0004-0000-0200-00009B010000}"/>
    <hyperlink ref="BL25" r:id="rId375" xr:uid="{00000000-0004-0000-0200-00009C010000}"/>
    <hyperlink ref="BM25" r:id="rId376" xr:uid="{00000000-0004-0000-0200-00009D010000}"/>
    <hyperlink ref="BN25" r:id="rId377" xr:uid="{00000000-0004-0000-0200-00009E010000}"/>
    <hyperlink ref="BO25" r:id="rId378" xr:uid="{00000000-0004-0000-0200-00009F010000}"/>
    <hyperlink ref="BP25" r:id="rId379" xr:uid="{00000000-0004-0000-0200-0000A0010000}"/>
    <hyperlink ref="BQ25" r:id="rId380" xr:uid="{00000000-0004-0000-0200-0000A1010000}"/>
    <hyperlink ref="BS25" r:id="rId381" xr:uid="{00000000-0004-0000-0200-0000A2010000}"/>
    <hyperlink ref="BV25" r:id="rId382" xr:uid="{00000000-0004-0000-0200-0000A3010000}"/>
    <hyperlink ref="BW25" r:id="rId383" xr:uid="{00000000-0004-0000-0200-0000A4010000}"/>
    <hyperlink ref="BX25" r:id="rId384" xr:uid="{00000000-0004-0000-0200-0000A5010000}"/>
    <hyperlink ref="BZ25" r:id="rId385" xr:uid="{00000000-0004-0000-0200-0000A6010000}"/>
    <hyperlink ref="CA25" r:id="rId386" xr:uid="{00000000-0004-0000-0200-0000A7010000}"/>
    <hyperlink ref="CC25" r:id="rId387" xr:uid="{00000000-0004-0000-0200-0000A8010000}"/>
    <hyperlink ref="CD25" r:id="rId388" xr:uid="{00000000-0004-0000-0200-0000A9010000}"/>
    <hyperlink ref="CF25" r:id="rId389" xr:uid="{00000000-0004-0000-0200-0000AA010000}"/>
    <hyperlink ref="D26" r:id="rId390" display="https://intranet.atlnz.lc/systest/Jira_Reports/testExecReport/jiraExecReport.php?testPlanKey=21&amp;projectKey=TQUALTCM&amp;Report=Report" xr:uid="{00000000-0004-0000-0200-0000AB010000}"/>
    <hyperlink ref="X26" r:id="rId391" location="/reports/testresults/list/view?tql=testResult.projectKey%20IN%20('TQUALTCM')%20AND%20testRun.key%20IN%20('TQUALTCM-C1054')%20AND%20testRun.onlyLastTestResult%20IS%20false&amp;jql=&amp;title=REPORTS.TEST_RESULTS_ADVANCED.TITLE" xr:uid="{00000000-0004-0000-0200-0000AD010000}"/>
    <hyperlink ref="Y26" r:id="rId392" xr:uid="{00000000-0004-0000-0200-0000AE010000}"/>
    <hyperlink ref="AA26" r:id="rId393" location="/testCycle/TQUALTCM-C2712" xr:uid="{00000000-0004-0000-0200-0000AF010000}"/>
    <hyperlink ref="AL26" r:id="rId394" location="/reports/testresults/list/view?tql=testResult.projectKey%20IN%20('TQUALTCM')%20AND%20testRun.key%20IN%20('TQUALTCM-C421')%20AND%20testRun.onlyLastTestResult%20IS%20false&amp;jql=&amp;title=REPORTS.TEST_RESULTS_ADVANCED.TITLE" xr:uid="{00000000-0004-0000-0200-0000B0010000}"/>
    <hyperlink ref="AN26" r:id="rId395" location="/reports/testresults/list/view?tql=testResult.projectKey%20IN%20('TQUALTCM')%20AND%20testRun.key%20IN%20('TQUALTCM-C1111')%20AND%20testRun.onlyLastTestResult%20IS%20false&amp;jql=&amp;title=REPORTS.TEST_RESULTS_ADVANCED.TITL" xr:uid="{00000000-0004-0000-0200-0000B1010000}"/>
    <hyperlink ref="AR26" r:id="rId396" location="/cycle?projectId=15704" xr:uid="{00000000-0004-0000-0200-0000B2010000}"/>
    <hyperlink ref="AS26" r:id="rId397" location="/reports/testresults/list/view?tql=testResult.projectKey%20IN%20('TQUALTCM')%20AND%20testRun.key%20IN%20('TQUALTCM-C54')%20AND%20testRun.onlyLastTestResult%20IS%20false&amp;jql=&amp;title=REPORTS.TEST_RESULTS_ADVANCED.TITLE&amp;period=MONTH&amp;traceabilityReportOption=C" xr:uid="{00000000-0004-0000-0200-0000B3010000}"/>
    <hyperlink ref="AV26" r:id="rId398" xr:uid="{00000000-0004-0000-0200-0000B4010000}"/>
    <hyperlink ref="Q26" r:id="rId399" xr:uid="{00000000-0004-0000-0200-0000B5010000}"/>
    <hyperlink ref="R26" r:id="rId400" xr:uid="{00000000-0004-0000-0200-0000B6010000}"/>
    <hyperlink ref="AX26" r:id="rId401" xr:uid="{00000000-0004-0000-0200-0000B7010000}"/>
    <hyperlink ref="BF26" r:id="rId402" xr:uid="{00000000-0004-0000-0200-0000B8010000}"/>
    <hyperlink ref="BG26" r:id="rId403" xr:uid="{00000000-0004-0000-0200-0000B9010000}"/>
    <hyperlink ref="D27" r:id="rId404" display="https://intranet.atlnz.lc/systest/Jira_Reports/testExecReport/jiraExecReport.php?testPlanKey=22&amp;projectKey=TQUALTCM&amp;Report=Report" xr:uid="{00000000-0004-0000-0200-0000BA010000}"/>
    <hyperlink ref="F27" r:id="rId405" xr:uid="{00000000-0004-0000-0200-0000BB010000}"/>
    <hyperlink ref="G27" r:id="rId406" xr:uid="{00000000-0004-0000-0200-0000BC010000}"/>
    <hyperlink ref="O27" r:id="rId407" xr:uid="{00000000-0004-0000-0200-0000BE010000}"/>
    <hyperlink ref="P27" r:id="rId408" xr:uid="{00000000-0004-0000-0200-0000BF010000}"/>
    <hyperlink ref="S27" r:id="rId409" xr:uid="{00000000-0004-0000-0200-0000C0010000}"/>
    <hyperlink ref="T27" r:id="rId410" xr:uid="{00000000-0004-0000-0200-0000C1010000}"/>
    <hyperlink ref="X27" r:id="rId411" location="/reports/testresults/list/view?tql=testResult.projectKey%20IN%20('TQUALTCM')%20AND%20testRun.key%20IN%20('TQUALTCM-C1058')%20AND%20testRun.onlyLastTestResult%20IS%20false&amp;jql=&amp;title=REPORTS.TEST_RESULTS_ADVANCED.TITLE" xr:uid="{00000000-0004-0000-0200-0000C2010000}"/>
    <hyperlink ref="Y27" r:id="rId412" xr:uid="{00000000-0004-0000-0200-0000C3010000}"/>
    <hyperlink ref="AA27" r:id="rId413" location="/testCycle/TQUALTCM-C2713" xr:uid="{00000000-0004-0000-0200-0000C4010000}"/>
    <hyperlink ref="AH27" r:id="rId414" xr:uid="{00000000-0004-0000-0200-0000C5010000}"/>
    <hyperlink ref="AI27" r:id="rId415" xr:uid="{00000000-0004-0000-0200-0000C6010000}"/>
    <hyperlink ref="AL27" r:id="rId416" location="/reports/testresults/list/view?tql=testResult.projectKey%20IN%20('TQUALTCM')%20AND%20testRun.key%20IN%20('TQUALTCM-C1077')%20AND%20testRun.onlyLastTestResult%20IS%20false&amp;jql=&amp;title=REPORTS.TEST_RESULTS_ADVANCED.TITL" xr:uid="{00000000-0004-0000-0200-0000C7010000}"/>
    <hyperlink ref="AM27" r:id="rId417" xr:uid="{00000000-0004-0000-0200-0000C8010000}"/>
    <hyperlink ref="AN27" r:id="rId418" location="/reports/testresults/list/view?tql=testResult.projectKey%20IN%20('TQUALTCM')%20AND%20testRun.key%20IN%20('TQUALTCM-C422')%20AND%20testRun.onlyLastTestResult%20IS%20false&amp;jql=&amp;title=REPORTS.TEST_RESULTS_ADVANCED.TITLE" xr:uid="{00000000-0004-0000-0200-0000C9010000}"/>
    <hyperlink ref="AR27" r:id="rId419" location="/cycle?projectId=15704" xr:uid="{00000000-0004-0000-0200-0000CC010000}"/>
    <hyperlink ref="AS27" r:id="rId420" location="/reports/testresults/list/view?tql=testResult.projectKey%20IN%20('TQUALTCM')%20AND%20testRun.key%20IN%20('TQUALTCM-C55')%20AND%20testRun.onlyLastTestResult%20IS%20false&amp;jql=&amp;title=REPORTS.TEST_RESULTS_ADVANCED.TITLE&amp;period=MONTH&amp;traceabilityReportOption=C" xr:uid="{00000000-0004-0000-0200-0000CD010000}"/>
    <hyperlink ref="AT27" r:id="rId421" xr:uid="{00000000-0004-0000-0200-0000CE010000}"/>
    <hyperlink ref="AV27" r:id="rId422" xr:uid="{00000000-0004-0000-0200-0000CF010000}"/>
    <hyperlink ref="Q27" r:id="rId423" xr:uid="{00000000-0004-0000-0200-0000D0010000}"/>
    <hyperlink ref="R27" r:id="rId424" xr:uid="{00000000-0004-0000-0200-0000D1010000}"/>
    <hyperlink ref="AX27" r:id="rId425" xr:uid="{00000000-0004-0000-0200-0000D2010000}"/>
    <hyperlink ref="AY27" r:id="rId426" xr:uid="{00000000-0004-0000-0200-0000D3010000}"/>
    <hyperlink ref="AZ27" r:id="rId427" xr:uid="{00000000-0004-0000-0200-0000D4010000}"/>
    <hyperlink ref="BA27" r:id="rId428" xr:uid="{00000000-0004-0000-0200-0000D5010000}"/>
    <hyperlink ref="BD27" r:id="rId429" xr:uid="{00000000-0004-0000-0200-0000D6010000}"/>
    <hyperlink ref="BF27" r:id="rId430" xr:uid="{00000000-0004-0000-0200-0000D7010000}"/>
    <hyperlink ref="BH27" r:id="rId431" xr:uid="{00000000-0004-0000-0200-0000D8010000}"/>
    <hyperlink ref="BI27" r:id="rId432" xr:uid="{00000000-0004-0000-0200-0000D9010000}"/>
    <hyperlink ref="BJ27" r:id="rId433" xr:uid="{00000000-0004-0000-0200-0000DA010000}"/>
    <hyperlink ref="BK27" r:id="rId434" xr:uid="{00000000-0004-0000-0200-0000DB010000}"/>
    <hyperlink ref="BL27" r:id="rId435" xr:uid="{00000000-0004-0000-0200-0000DC010000}"/>
    <hyperlink ref="BM27" r:id="rId436" xr:uid="{00000000-0004-0000-0200-0000DD010000}"/>
    <hyperlink ref="BN27" r:id="rId437" xr:uid="{00000000-0004-0000-0200-0000DE010000}"/>
    <hyperlink ref="BO27" r:id="rId438" xr:uid="{00000000-0004-0000-0200-0000DF010000}"/>
    <hyperlink ref="BP27" r:id="rId439" xr:uid="{00000000-0004-0000-0200-0000E0010000}"/>
    <hyperlink ref="BQ27" r:id="rId440" xr:uid="{00000000-0004-0000-0200-0000E1010000}"/>
    <hyperlink ref="D28" r:id="rId441" display="https://intranet.atlnz.lc/systest/Jira_Reports/testExecReport/jiraExecReport.php?testPlanKey=233&amp;projectKey=TQUALTCM&amp;Report=Report" xr:uid="{00000000-0004-0000-0200-0000E2010000}"/>
    <hyperlink ref="E28" r:id="rId442" location="/reports/testresults/list/view?tql=testResult.projectKey%20IN%20('TQUALTCM')%20AND%20testRun.key%20IN%20('TQUALTCM-C937')%20AND%20testRun.onlyLastTestResult%20IS%20false&amp;jql=&amp;title=REPORTS.TEST_RESULTS_ADVANCED.TITLE" xr:uid="{00000000-0004-0000-0200-0000E3010000}"/>
    <hyperlink ref="F28" r:id="rId443" location="/reports/testresults/list/view?tql=testResult.projectKey%20IN%20('TQUALTCM')%20AND%20testRun.key%20IN%20('TQUALTCM-C937')%20AND%20testRun.onlyLastTestResult%20IS%20false&amp;jql=&amp;title=REPORTS.TEST_RESULTS_ADVANCED.TITLE" xr:uid="{00000000-0004-0000-0200-0000E4010000}"/>
    <hyperlink ref="G28" r:id="rId444" location="/reports/testresults/list/view?tql=testResult.projectKey%20IN%20('TQUALTCM')%20AND%20testRun.key%20IN%20('TQUALTCM-C1608')%20AND%20testRun.onlyLastTestResult%20IS%20true&amp;jql=&amp;title=REPORTS.TEST_RESULTS_ADVANCED.TITLE" xr:uid="{00000000-0004-0000-0200-0000E5010000}"/>
    <hyperlink ref="N28" r:id="rId445" location="/reports/testresults/list/view?tql=testResult.projectKey%20IN%20('TQUALTCM')%20AND%20testRun.key%20IN%20('TQUALTCM-C1648')%20AND%20testRun.onlyLastTestResult%20IS%20true&amp;jql=&amp;title=REPORTS.TEST_RESULTS_ADVANCED.TITLE" xr:uid="{00000000-0004-0000-0200-0000E7010000}"/>
    <hyperlink ref="O28" r:id="rId446" location="/reports/testresults/list/view?tql=testResult.projectKey%20IN%20('TQUALTCM')%20AND%20testRun.key%20IN%20('TQUALTCM-C1627')%20AND%20testRun.onlyLastTestResult%20IS%20true&amp;jql=&amp;title=REPORTS.TEST_RESULTS_ADVANCED.TITLE" xr:uid="{00000000-0004-0000-0200-0000E8010000}"/>
    <hyperlink ref="P28" r:id="rId447" location="/reports/testresults/list/view?tql=testResult.projectKey%20IN%20('TQUALTCM')%20AND%20testRun.key%20IN%20('TQUALTCM-C1628')%20AND%20testRun.onlyLastTestResult%20IS%20true&amp;jql=&amp;title=REPORTS.TEST_RESULTS_ADVANCED.TITLE" xr:uid="{00000000-0004-0000-0200-0000E9010000}"/>
    <hyperlink ref="S28" r:id="rId448" location="/reports/testresults/list/view?tql=testResult.projectKey%20IN%20('TQUALTCM')%20AND%20testRun.key%20IN%20('TQUALTCM-C1630')%20AND%20testRun.onlyLastTestResult%20IS%20true&amp;jql=&amp;title=REPORTS.TEST_RESULTS_ADVANCED.TITLE" xr:uid="{00000000-0004-0000-0200-0000EA010000}"/>
    <hyperlink ref="T28" r:id="rId449" location="/reports/testresults/list/view?tql=testResult.projectKey%20IN%20('TQUALTCM')%20AND%20testRun.key%20IN%20('TQUALTCM-C1629')%20AND%20testRun.onlyLastTestResult%20IS%20true&amp;jql=&amp;title=REPORTS.TEST_RESULTS_ADVANCED.TITLE" xr:uid="{00000000-0004-0000-0200-0000EB010000}"/>
    <hyperlink ref="X28" r:id="rId450" location="/reports/testresults/list/view?tql=testResult.projectKey%20IN%20('TQUALTCM')%20AND%20testRun.key%20IN%20('TQUALTCM-C1650')%20AND%20testRun.onlyLastTestResult%20IS%20true&amp;jql=&amp;title=REPORTS.TEST_RESULTS_ADVANCED.TITLE" xr:uid="{00000000-0004-0000-0200-0000EC010000}"/>
    <hyperlink ref="Y28" r:id="rId451" xr:uid="{00000000-0004-0000-0200-0000ED010000}"/>
    <hyperlink ref="AA28" r:id="rId452" location="/testCycle/TQUALTCM-C2711" xr:uid="{00000000-0004-0000-0200-0000EE010000}"/>
    <hyperlink ref="AB28" r:id="rId453" location="/reports/testresults/list/view?tql=testResult.projectKey%20IN%20('TQUALTCM')%20AND%20testRun.key%20IN%20('TQUALTCM-C1634')%20AND%20testRun.onlyLastTestResult%20IS%20true&amp;jql=&amp;title=REPORTS.TEST_RESULTS_ADVANCED.TITLE" xr:uid="{00000000-0004-0000-0200-0000EF010000}"/>
    <hyperlink ref="AF28" r:id="rId454" location="/reports/testresults/list/view?tql=testResult.projectKey%20IN%20('TQUALTCM')%20AND%20testRun.key%20IN%20('TQUALTCM-C1637')%20AND%20testRun.onlyLastTestResult%20IS%20true&amp;jql=&amp;title=REPORTS.TEST_RESULTS_ADVANCED.TITLE" xr:uid="{00000000-0004-0000-0200-0000F1010000}"/>
    <hyperlink ref="AG28" r:id="rId455" location="/reports/testresults/list/view?tql=testResult.projectKey%20IN%20('TQUALTCM')%20AND%20testRun.key%20IN%20('TQUALTCM-C1635')%20AND%20testRun.onlyLastTestResult%20IS%20true&amp;jql=&amp;title=REPORTS.TEST_RESULTS_ADVANCED.TITLE" xr:uid="{00000000-0004-0000-0200-0000F2010000}"/>
    <hyperlink ref="AH28" r:id="rId456" location="/reports/testresults/list/view?tql=testResult.projectKey%20IN%20('TQUALTCM')%20AND%20testRun.key%20IN%20('TQUALTCM-C1643')%20AND%20testRun.onlyLastTestResult%20IS%20true&amp;jql=&amp;title=REPORTS.TEST_RESULTS_ADVANCED.TITLE" xr:uid="{00000000-0004-0000-0200-0000F3010000}"/>
    <hyperlink ref="AI28" r:id="rId457" location="/reports/testresults/list/view?tql=testResult.projectKey%20IN%20('TQUALTCM')%20AND%20testRun.key%20IN%20('TQUALTCM-C1644')%20AND%20testRun.onlyLastTestResult%20IS%20true&amp;jql=&amp;title=REPORTS.TEST_RESULTS_ADVANCED.TITLE" xr:uid="{00000000-0004-0000-0200-0000F4010000}"/>
    <hyperlink ref="AJ28" r:id="rId458" location="/reports/testresults/list/view?tql=testResult.projectKey%20IN%20('TQUALTCM')%20AND%20testRun.key%20IN%20('TQUALTCM-C1645')%20AND%20testRun.onlyLastTestResult%20IS%20true&amp;jql=&amp;title=REPORTS.TEST_RESULTS_ADVANCED.TITLE" xr:uid="{00000000-0004-0000-0200-0000F5010000}"/>
    <hyperlink ref="AK28" r:id="rId459" location="/reports/testresults/list/view?tql=testResult.projectKey%20IN%20('TQUALTCM')%20AND%20testRun.key%20IN%20('TQUALTCM-C1646')%20AND%20testRun.onlyLastTestResult%20IS%20true&amp;jql=&amp;title=REPORTS.TEST_RESULTS_ADVANCED.TITLE" xr:uid="{00000000-0004-0000-0200-0000F6010000}"/>
    <hyperlink ref="AL28" r:id="rId460" location="/reports/testresults/list/view?tql=testResult.projectKey%20IN%20('TQUALTCM')%20AND%20testRun.key%20IN%20('TQUALTCM-C1647')%20AND%20testRun.onlyLastTestResult%20IS%20true&amp;jql=&amp;title=REPORTS.TEST_RESULTS_ADVANCED.TITLE" xr:uid="{00000000-0004-0000-0200-0000F7010000}"/>
    <hyperlink ref="AM28" r:id="rId461" location="/reports/testresults/list/view?tql=testResult.projectKey%20IN%20('TQUALTCM')%20AND%20testRun.key%20IN%20('TQUALTCM-C1641')%20AND%20testRun.onlyLastTestResult%20IS%20true&amp;jql=&amp;title=REPORTS.TEST_RESULTS_ADVANCED.TITLE" xr:uid="{00000000-0004-0000-0200-0000F8010000}"/>
    <hyperlink ref="AN28" r:id="rId462" location="/reports/testresults/list/view?tql=testResult.projectKey%20IN%20('TQUALTCM')%20AND%20testRun.key%20IN%20('TQUALTCM-C1642')%20AND%20testRun.onlyLastTestResult%20IS%20true&amp;jql=&amp;title=REPORTS.TEST_RESULTS_ADVANCED.TITLE" xr:uid="{00000000-0004-0000-0200-0000F9010000}"/>
    <hyperlink ref="AR28" r:id="rId463" location="/reports/testresults/list/view?tql=testResult.projectKey%20IN%20('TQUALTCM')%20AND%20testRun.key%20IN%20('TQUALTCM-C1620')%20AND%20testRun.onlyLastTestResult%20IS%20true&amp;jql=&amp;title=REPORTS.TEST_RESULTS_ADVANCED.TITLE" xr:uid="{00000000-0004-0000-0200-0000FC010000}"/>
    <hyperlink ref="AS28" r:id="rId464" location="/reports/testresults/list/view?tql=testResult.projectKey%20IN%20('TQUALTCM')%20AND%20testRun.key%20IN%20('TQUALTCM-C1783')%20AND%20testRun.onlyLastTestResult%20IS%20true&amp;jql=&amp;title=REPORTS.TEST_RESULTS_ADVANCED.TITLE" xr:uid="{00000000-0004-0000-0200-0000FD010000}"/>
    <hyperlink ref="AT28" r:id="rId465" location="/reports/testresults/list/view?tql=testResult.projectKey%20IN%20('TQUALTCM')%20AND%20testRun.key%20IN%20('TQUALTCM-C1622')%20AND%20testRun.onlyLastTestResult%20IS%20true&amp;jql=&amp;title=REPORTS.TEST_RESULTS_ADVANCED.TITLE" xr:uid="{00000000-0004-0000-0200-0000FE010000}"/>
    <hyperlink ref="AV28" r:id="rId466" location="/reports/testresults/list/view?tql=testResult.projectKey%20IN%20('TQUALTCM')%20AND%20testRun.key%20IN%20('TQUALTCM-C1613')%20AND%20testRun.onlyLastTestResult%20IS%20true&amp;jql=&amp;title=REPORTS.TEST_RESULTS_ADVANCED.TITLE" xr:uid="{00000000-0004-0000-0200-0000FF010000}"/>
    <hyperlink ref="AW28" r:id="rId467" xr:uid="{00000000-0004-0000-0200-000000020000}"/>
    <hyperlink ref="Q28" r:id="rId468" location="/reports/testresults/list/view?tql=testResult.projectKey%20IN%20('TQUALTCM')%20AND%20testRun.key%20IN%20('TQUALTCM-C1615')%20AND%20testRun.onlyLastTestResult%20IS%20true&amp;jql=&amp;title=REPORTS.TEST_RESULTS_ADVANCED.TITLE" xr:uid="{00000000-0004-0000-0200-000001020000}"/>
    <hyperlink ref="AX28" r:id="rId469" location="/reports/testresults/list/view?tql=testResult.projectKey%20IN%20('TQUALTCM')%20AND%20testRun.key%20IN%20('TQUALTCM-C1616')%20AND%20testRun.onlyLastTestResult%20IS%20true&amp;jql=&amp;title=REPORTS.TEST_RESULTS_ADVANCED.TITLE" xr:uid="{00000000-0004-0000-0200-000002020000}"/>
    <hyperlink ref="AY28" r:id="rId470" location="/reports/testresults/list/view?tql=testResult.projectKey%20IN%20('TQUALTCM')%20AND%20testRun.key%20IN%20('TQUALTCM-C1631')%20AND%20testRun.onlyLastTestResult%20IS%20true&amp;jql=&amp;title=REPORTS.TEST_RESULTS_ADVANCED.TITLE" xr:uid="{00000000-0004-0000-0200-000003020000}"/>
    <hyperlink ref="AZ28" r:id="rId471" location="/reports/testresults/list/view?tql=testResult.projectKey%20IN%20('TQUALTCM')%20AND%20testRun.key%20IN%20('TQUALTCM-C1632')%20AND%20testRun.onlyLastTestResult%20IS%20true&amp;jql=&amp;title=REPORTS.TEST_RESULTS_ADVANCED.TITLE" xr:uid="{00000000-0004-0000-0200-000004020000}"/>
    <hyperlink ref="BA28" r:id="rId472" location="/reports/testresults/list/view?tql=testResult.projectKey%20IN%20('TQUALTCM')%20AND%20testRun.key%20IN%20('TQUALTCM-C1633')%20AND%20testRun.onlyLastTestResult%20IS%20true&amp;jql=&amp;title=REPORTS.TEST_RESULTS_ADVANCED.TITLE" xr:uid="{00000000-0004-0000-0200-000005020000}"/>
    <hyperlink ref="BB28" r:id="rId473" location="/reports/testresults/list/view?tql=testResult.projectKey%20IN%20('TQUALTCM')%20AND%20testRun.key%20IN%20('TQUALTCM-C1612')%20AND%20testRun.onlyLastTestResult%20IS%20true&amp;jql=&amp;title=REPORTS.TEST_RESULTS_ADVANCED.TITLE" xr:uid="{00000000-0004-0000-0200-000006020000}"/>
    <hyperlink ref="BC28" r:id="rId474" location="/reports/testresults/list/view?tql=testResult.projectKey%20IN%20('TQUALTCM')%20AND%20testRun.key%20IN%20('TQUALTCM-C1609')%20AND%20testRun.onlyLastTestResult%20IS%20true&amp;jql=&amp;title=REPORTS.TEST_RESULTS_ADVANCED.TITLE" xr:uid="{00000000-0004-0000-0200-000007020000}"/>
    <hyperlink ref="BD28" r:id="rId475" location="/reports/testresults/list/view?tql=testResult.projectKey%20IN%20('TQUALTCM')%20AND%20testRun.key%20IN%20('TQUALTCM-C1610')%20AND%20testRun.onlyLastTestResult%20IS%20true&amp;jql=&amp;title=REPORTS.TEST_RESULTS_ADVANCED.TITLE" xr:uid="{00000000-0004-0000-0200-000008020000}"/>
    <hyperlink ref="BE28" r:id="rId476" location="/reports/testresults/list/view?tql=testResult.projectKey%20IN%20('TQUALTCM')%20AND%20testRun.key%20IN%20('TQUALTCM-C1611')%20AND%20testRun.onlyLastTestResult%20IS%20true&amp;jql=&amp;title=REPORTS.TEST_RESULTS_ADVANCED.TITLE" xr:uid="{00000000-0004-0000-0200-000009020000}"/>
    <hyperlink ref="BF28" r:id="rId477" location="/reports/testresults/list/view?tql=testResult.projectKey%20IN%20('TQUALTCM')%20AND%20testRun.key%20IN%20('TQUALTCM-C1619')%20AND%20testRun.onlyLastTestResult%20IS%20true&amp;jql=&amp;title=REPORTS.TEST_RESULTS_ADVANCED.TITLE" xr:uid="{00000000-0004-0000-0200-00000A020000}"/>
    <hyperlink ref="BG28" r:id="rId478" location="/reports/testresults/list/view?tql=testResult.projectKey%20IN%20('TQUALTCM')%20AND%20testRun.key%20IN%20('TQUALTCM-C1618')%20AND%20testRun.onlyLastTestResult%20IS%20true&amp;jql=&amp;title=REPORTS.TEST_RESULTS_ADVANCED.TITLE" xr:uid="{00000000-0004-0000-0200-00000B020000}"/>
    <hyperlink ref="BH28" r:id="rId479" location="/reports/testresults/list/view?tql=testResult.projectKey%20IN%20('TQUALTCM')%20AND%20testRun.key%20IN%20('TQUALTCM-C1626')%20AND%20testRun.onlyLastTestResult%20IS%20true&amp;jql=&amp;title=REPORTS.TEST_RESULTS_ADVANCED.TITLE" xr:uid="{00000000-0004-0000-0200-00000C020000}"/>
    <hyperlink ref="BI28" r:id="rId480" location="/reports/testresults/list/view?tql=testResult.projectKey%20IN%20('TQUALTCM')%20AND%20testRun.key%20IN%20('TQUALTCM-C1625')%20AND%20testRun.onlyLastTestResult%20IS%20true&amp;jql=&amp;title=REPORTS.TEST_RESULTS_ADVANCED.TITLE" xr:uid="{00000000-0004-0000-0200-00000D020000}"/>
    <hyperlink ref="BJ28" r:id="rId481" location="/reports/testresults/list/view?tql=testResult.projectKey%20IN%20('TQUALTCM')%20AND%20testRun.key%20IN%20('TQUALTCM-C1639')%20AND%20testRun.onlyLastTestResult%20IS%20true&amp;jql=&amp;title=REPORTS.TEST_RESULTS_ADVANCED.TITLE" xr:uid="{00000000-0004-0000-0200-00000E020000}"/>
    <hyperlink ref="BK28" r:id="rId482" location="/reports/testresults/list/view?tql=testResult.projectKey%20IN%20('TQUALTCM')%20AND%20testRun.key%20IN%20('TQUALTCM-C1640')%20AND%20testRun.onlyLastTestResult%20IS%20true&amp;jql=&amp;title=REPORTS.TEST_RESULTS_ADVANCED.TITLE" xr:uid="{00000000-0004-0000-0200-00000F020000}"/>
    <hyperlink ref="BL28" r:id="rId483" location="/reports/testresults/list/view?tql=testResult.projectKey%20IN%20('TQUALTCM')%20AND%20testRun.key%20IN%20('TQUALTCM-C1640')%20AND%20testRun.onlyLastTestResult%20IS%20true&amp;jql=&amp;title=REPORTS.TEST_RESULTS_ADVANCED.TITLE" xr:uid="{00000000-0004-0000-0200-000010020000}"/>
    <hyperlink ref="D30" r:id="rId484" display="https://intranet.atlnz.lc/systest/Jira_Reports/testExecReport/jiraExecReport.php?testPlanKey=23&amp;projectKey=TQUALTCM&amp;Report=Report" xr:uid="{00000000-0004-0000-0200-000011020000}"/>
    <hyperlink ref="F30" r:id="rId485" xr:uid="{00000000-0004-0000-0200-000012020000}"/>
    <hyperlink ref="G30" r:id="rId486" xr:uid="{00000000-0004-0000-0200-000013020000}"/>
    <hyperlink ref="N30" r:id="rId487" xr:uid="{00000000-0004-0000-0200-000015020000}"/>
    <hyperlink ref="O30" r:id="rId488" xr:uid="{00000000-0004-0000-0200-000016020000}"/>
    <hyperlink ref="P30" r:id="rId489" xr:uid="{00000000-0004-0000-0200-000017020000}"/>
    <hyperlink ref="S30" r:id="rId490" xr:uid="{00000000-0004-0000-0200-000018020000}"/>
    <hyperlink ref="T30" r:id="rId491" xr:uid="{00000000-0004-0000-0200-000019020000}"/>
    <hyperlink ref="X30" r:id="rId492" location="/reports/testresults/list/view?tql=testResult.projectKey%20IN%20('TQUALTCM')%20AND%20testRun.key%20IN%20('TQUALTCM-C1068')%20AND%20testRun.onlyLastTestResult%20IS%20false&amp;jql=&amp;title=REPORTS.TEST_RESULTS_ADVANCED.TITLE" xr:uid="{00000000-0004-0000-0200-00001A020000}"/>
    <hyperlink ref="Y30" r:id="rId493" xr:uid="{00000000-0004-0000-0200-00001B020000}"/>
    <hyperlink ref="AA30" r:id="rId494" location="/testCycle/TQUALTCM-C2714" xr:uid="{00000000-0004-0000-0200-00001C020000}"/>
    <hyperlink ref="AF30" r:id="rId495" location="/reports/testresults/list/view?tql=testResult.projectKey%20IN%20('TQUALTCM')%20AND%20testRun.key%20IN%20('TQUALTCM-C1305')%20AND%20testRun.onlyLastTestResult%20IS%20false&amp;jql=&amp;title=REPORTS.TEST_RESULTS_ADVANCED.TITLE" xr:uid="{00000000-0004-0000-0200-00001E020000}"/>
    <hyperlink ref="AG30" r:id="rId496" xr:uid="{00000000-0004-0000-0200-00001F020000}"/>
    <hyperlink ref="AH30" r:id="rId497" xr:uid="{00000000-0004-0000-0200-000020020000}"/>
    <hyperlink ref="AI30" r:id="rId498" xr:uid="{00000000-0004-0000-0200-000021020000}"/>
    <hyperlink ref="AL30" r:id="rId499" location="/reports/testresults/list/view?tql=testResult.projectKey%20IN%20('TQUALTCM')%20AND%20testRun.key%20IN%20('TQUALTCM-C1078')%20AND%20testRun.onlyLastTestResult%20IS%20false&amp;jql=&amp;title=REPORTS.TEST_RESULTS_ADVANCED.TITL" xr:uid="{00000000-0004-0000-0200-000022020000}"/>
    <hyperlink ref="AM30" r:id="rId500" xr:uid="{00000000-0004-0000-0200-000023020000}"/>
    <hyperlink ref="AN30" r:id="rId501" location="/reports/testresults/list/view?tql=testResult.projectKey%20IN%20('TQUALTCM')%20AND%20testRun.key%20IN%20('TQUALTCM-C423')%20AND%20testRun.onlyLastTestResult%20IS%20false&amp;jql=&amp;title=REPORTS.TEST_RESULTS_ADVANCED.TITLE" xr:uid="{00000000-0004-0000-0200-000024020000}"/>
    <hyperlink ref="AR30" r:id="rId502" location="/cycle?projectId=15704" xr:uid="{00000000-0004-0000-0200-000027020000}"/>
    <hyperlink ref="AS30" r:id="rId503" location="/reports/testresults/list/view?tql=testResult.projectKey%20IN%20('TQUALTCM')%20AND%20testRun.key%20IN%20('TQUALTCM-56')%20AND%20testRun.onlyLastTestResult%20IS%20false&amp;jql=&amp;title=REPORTS.TEST_RESULTS_ADVANCED.TITLE&amp;period=MONTH&amp;traceabilityReportOption=CO" xr:uid="{00000000-0004-0000-0200-000028020000}"/>
    <hyperlink ref="AT30" r:id="rId504" xr:uid="{00000000-0004-0000-0200-000029020000}"/>
    <hyperlink ref="AV30" r:id="rId505" xr:uid="{00000000-0004-0000-0200-00002A020000}"/>
    <hyperlink ref="Q30" r:id="rId506" xr:uid="{00000000-0004-0000-0200-00002B020000}"/>
    <hyperlink ref="AX30" r:id="rId507" xr:uid="{00000000-0004-0000-0200-00002C020000}"/>
    <hyperlink ref="AY30" r:id="rId508" xr:uid="{00000000-0004-0000-0200-00002D020000}"/>
    <hyperlink ref="AZ30" r:id="rId509" xr:uid="{00000000-0004-0000-0200-00002E020000}"/>
    <hyperlink ref="BA30" r:id="rId510" xr:uid="{00000000-0004-0000-0200-00002F020000}"/>
    <hyperlink ref="BD30" r:id="rId511" xr:uid="{00000000-0004-0000-0200-000030020000}"/>
    <hyperlink ref="BF30" r:id="rId512" xr:uid="{00000000-0004-0000-0200-000031020000}"/>
    <hyperlink ref="BG30" r:id="rId513" xr:uid="{00000000-0004-0000-0200-000032020000}"/>
    <hyperlink ref="BH30" r:id="rId514" xr:uid="{00000000-0004-0000-0200-000033020000}"/>
    <hyperlink ref="BI30" r:id="rId515" xr:uid="{00000000-0004-0000-0200-000034020000}"/>
    <hyperlink ref="BJ30" r:id="rId516" xr:uid="{00000000-0004-0000-0200-000035020000}"/>
    <hyperlink ref="BK30" r:id="rId517" xr:uid="{00000000-0004-0000-0200-000036020000}"/>
    <hyperlink ref="BL30" r:id="rId518" xr:uid="{00000000-0004-0000-0200-000037020000}"/>
    <hyperlink ref="BM30" r:id="rId519" xr:uid="{00000000-0004-0000-0200-000038020000}"/>
    <hyperlink ref="BN30" r:id="rId520" xr:uid="{00000000-0004-0000-0200-000039020000}"/>
    <hyperlink ref="BO30" r:id="rId521" xr:uid="{00000000-0004-0000-0200-00003A020000}"/>
    <hyperlink ref="BP30" r:id="rId522" xr:uid="{00000000-0004-0000-0200-00003B020000}"/>
    <hyperlink ref="BQ30" r:id="rId523" xr:uid="{00000000-0004-0000-0200-00003C020000}"/>
    <hyperlink ref="CA30" r:id="rId524" xr:uid="{00000000-0004-0000-0200-00003D020000}"/>
    <hyperlink ref="CC30" r:id="rId525" xr:uid="{00000000-0004-0000-0200-00003E020000}"/>
    <hyperlink ref="CD30" r:id="rId526" xr:uid="{00000000-0004-0000-0200-00003F020000}"/>
    <hyperlink ref="D32" r:id="rId527" display="https://intranet.atlnz.lc/systest/Jira_Reports/testExecReport/jiraExecReport.php?testPlanKey=24&amp;projectKey=TQUALTCM&amp;Report=Report" xr:uid="{00000000-0004-0000-0200-000041020000}"/>
    <hyperlink ref="X32" r:id="rId528" location="/reports/testresults/list/view?tql=testResult.projectKey%20IN%20('TQUALTCM')%20AND%20testRun.key%20IN%20('TQUALTCM-C1070')%20AND%20testRun.onlyLastTestResult%20IS%20false&amp;jql=&amp;title=REPORTS.TEST_RESULTS_ADVANCED.TITLE" xr:uid="{00000000-0004-0000-0200-000043020000}"/>
    <hyperlink ref="Y32" r:id="rId529" xr:uid="{00000000-0004-0000-0200-000044020000}"/>
    <hyperlink ref="AA32" r:id="rId530" location="/testCycle/TQUALTCM-C2715" xr:uid="{00000000-0004-0000-0200-000045020000}"/>
    <hyperlink ref="AL32" r:id="rId531" location="/reports/testresults/list/view?tql=testResult.projectKey%20IN%20('TQUALTCM')%20AND%20testRun.key%20IN%20('TQUALTCM-C1079')%20AND%20testRun.onlyLastTestResult%20IS%20false&amp;jql=&amp;title=REPORTS.TEST_RESULTS_ADVANCED.TITL" xr:uid="{00000000-0004-0000-0200-000046020000}"/>
    <hyperlink ref="AN32" r:id="rId532" location="/reports/testresults/list/view?tql=testResult.projectKey%20IN%20('TQUALTCM')%20AND%20testRun.key%20IN%20('TQUALTCM-C424')%20AND%20testRun.onlyLastTestResult%20IS%20false&amp;jql=&amp;title=REPORTS.TEST_RESULTS_ADVANCED.TITLE" xr:uid="{00000000-0004-0000-0200-000047020000}"/>
    <hyperlink ref="AR32" r:id="rId533" location="/reports/testresults/list/view?tql=testResult.projectKey%20IN%20('TQUALTCM')%20AND%20testRun.key%20IN%20('TQUALTCM-C372')%20AND%20testRun.onlyLastTestResult%20IS%20false&amp;jql=&amp;title=REPORTS.TEST_RESULTS_ADVANCED.TITLE" xr:uid="{00000000-0004-0000-0200-000048020000}"/>
    <hyperlink ref="AS32" r:id="rId534" location="/reports/testresults/list/view?tql=testResult.projectKey%20IN%20('TQUALTCM')%20AND%20testRun.key%20IN%20('TQUALTCM-C57')%20AND%20testRun.onlyLastTestResult%20IS%20false&amp;jql=&amp;title=REPORTS.TEST_RESULTS_ADVANCED.TITLE&amp;period=MONTH&amp;traceabilityReportOption=C" xr:uid="{00000000-0004-0000-0200-000049020000}"/>
    <hyperlink ref="AV32" r:id="rId535" xr:uid="{00000000-0004-0000-0200-00004A020000}"/>
    <hyperlink ref="Q32" r:id="rId536" xr:uid="{00000000-0004-0000-0200-00004B020000}"/>
    <hyperlink ref="R32" r:id="rId537" xr:uid="{00000000-0004-0000-0200-00004C020000}"/>
    <hyperlink ref="AX32" r:id="rId538" xr:uid="{00000000-0004-0000-0200-00004D020000}"/>
    <hyperlink ref="BF32" r:id="rId539" xr:uid="{00000000-0004-0000-0200-00004E020000}"/>
    <hyperlink ref="BG32" r:id="rId540" xr:uid="{00000000-0004-0000-0200-00004F020000}"/>
    <hyperlink ref="D75" r:id="rId541" display="https://intranet.atlnz.lc/systest/Jira_Reports/testExecReport/jiraExecReport.php?testPlanKey=25&amp;projectKey=TQUALTCM&amp;Report=Report" xr:uid="{00000000-0004-0000-0200-000050020000}"/>
    <hyperlink ref="F75" r:id="rId542" xr:uid="{00000000-0004-0000-0200-000051020000}"/>
    <hyperlink ref="G75" r:id="rId543" xr:uid="{00000000-0004-0000-0200-000052020000}"/>
    <hyperlink ref="N75" r:id="rId544" xr:uid="{00000000-0004-0000-0200-000054020000}"/>
    <hyperlink ref="O75" r:id="rId545" xr:uid="{00000000-0004-0000-0200-000055020000}"/>
    <hyperlink ref="P75" r:id="rId546" xr:uid="{00000000-0004-0000-0200-000056020000}"/>
    <hyperlink ref="S75" r:id="rId547" xr:uid="{00000000-0004-0000-0200-000057020000}"/>
    <hyperlink ref="T75" r:id="rId548" xr:uid="{00000000-0004-0000-0200-000058020000}"/>
    <hyperlink ref="X75" r:id="rId549" location="/reports/testresults/list/view?tql=testResult.projectKey%20IN%20('TQUALTCM')%20AND%20testRun.key%20IN%20('TQUALTCM-C1071')%20AND%20testRun.onlyLastTestResult%20IS%20false&amp;jql=&amp;title=REPORTS.TEST_RESULTS_ADVANCED.TITLE" xr:uid="{00000000-0004-0000-0200-000059020000}"/>
    <hyperlink ref="Y75" r:id="rId550" xr:uid="{00000000-0004-0000-0200-00005A020000}"/>
    <hyperlink ref="AA75" r:id="rId551" location="/testCycle/TQUALTCM-C2716" xr:uid="{00000000-0004-0000-0200-00005B020000}"/>
    <hyperlink ref="AF75" r:id="rId552" location="/reports/testresults/list/view?tql=testResult.projectKey%20IN%20('TQUALTCM')%20AND%20testRun.key%20IN%20('TQUALTCM-C1286')%20AND%20testRun.onlyLastTestResult%20IS%20false&amp;jql=&amp;title=REPORTS.TEST_RESULTS_ADVANCED.TITLE" xr:uid="{00000000-0004-0000-0200-00005D020000}"/>
    <hyperlink ref="AG75" r:id="rId553" xr:uid="{00000000-0004-0000-0200-00005E020000}"/>
    <hyperlink ref="AI75" r:id="rId554" xr:uid="{00000000-0004-0000-0200-00005F020000}"/>
    <hyperlink ref="AL75" r:id="rId555" location="/reports/testresults/list/view?tql=testResult.projectKey%20IN%20('TQUALTCM')%20AND%20testRun.key%20IN%20('TQUALTCM-C1080')%20AND%20testRun.onlyLastTestResult%20IS%20false&amp;jql=&amp;title=REPORTS.TEST_RESULTS_ADVANCED.TITL" xr:uid="{00000000-0004-0000-0200-000060020000}"/>
    <hyperlink ref="AM75" r:id="rId556" xr:uid="{00000000-0004-0000-0200-000061020000}"/>
    <hyperlink ref="AN75" r:id="rId557" location="/reports/testresults/list/view?tql=testResult.projectKey%20IN%20('TQUALTCM')%20AND%20testRun.key%20IN%20('TQUALTCM-C425')%20AND%20testRun.onlyLastTestResult%20IS%20false&amp;jql=&amp;title=REPORTS.TEST_RESULTS_ADVANCED.TITLE" xr:uid="{00000000-0004-0000-0200-000062020000}"/>
    <hyperlink ref="AR75" r:id="rId558" location="/cycle?projectId=15704" xr:uid="{00000000-0004-0000-0200-000065020000}"/>
    <hyperlink ref="AS75" r:id="rId559" location="/reports/testresults/list/view?tql=testResult.projectKey%20IN%20('TQUALTCM')%20AND%20testRun.key%20IN%20('TQUALTCM-C58')%20AND%20testRun.onlyLastTestResult%20IS%20false&amp;jql=&amp;title=REPORTS.TEST_RESULTS_ADVANCED.TITLE&amp;period=MONTH&amp;traceabilityReportOption=C" xr:uid="{00000000-0004-0000-0200-000066020000}"/>
    <hyperlink ref="AT75" r:id="rId560" xr:uid="{00000000-0004-0000-0200-000067020000}"/>
    <hyperlink ref="AV75" r:id="rId561" xr:uid="{00000000-0004-0000-0200-000068020000}"/>
    <hyperlink ref="Q75" r:id="rId562" xr:uid="{00000000-0004-0000-0200-000069020000}"/>
    <hyperlink ref="R75" r:id="rId563" xr:uid="{00000000-0004-0000-0200-00006A020000}"/>
    <hyperlink ref="AX75" r:id="rId564" xr:uid="{00000000-0004-0000-0200-00006B020000}"/>
    <hyperlink ref="AY75" r:id="rId565" xr:uid="{00000000-0004-0000-0200-00006C020000}"/>
    <hyperlink ref="AZ75" r:id="rId566" xr:uid="{00000000-0004-0000-0200-00006D020000}"/>
    <hyperlink ref="BA75" r:id="rId567" xr:uid="{00000000-0004-0000-0200-00006E020000}"/>
    <hyperlink ref="BC75" r:id="rId568" xr:uid="{00000000-0004-0000-0200-00006F020000}"/>
    <hyperlink ref="BD75" r:id="rId569" xr:uid="{00000000-0004-0000-0200-000070020000}"/>
    <hyperlink ref="BF75" r:id="rId570" xr:uid="{00000000-0004-0000-0200-000071020000}"/>
    <hyperlink ref="BG75" r:id="rId571" xr:uid="{00000000-0004-0000-0200-000072020000}"/>
    <hyperlink ref="BH75" r:id="rId572" xr:uid="{00000000-0004-0000-0200-000073020000}"/>
    <hyperlink ref="BI75" r:id="rId573" xr:uid="{00000000-0004-0000-0200-000074020000}"/>
    <hyperlink ref="BJ75" r:id="rId574" xr:uid="{00000000-0004-0000-0200-000075020000}"/>
    <hyperlink ref="BK75" r:id="rId575" xr:uid="{00000000-0004-0000-0200-000076020000}"/>
    <hyperlink ref="BL75" r:id="rId576" xr:uid="{00000000-0004-0000-0200-000077020000}"/>
    <hyperlink ref="BM75" r:id="rId577" xr:uid="{00000000-0004-0000-0200-000078020000}"/>
    <hyperlink ref="BN75" r:id="rId578" xr:uid="{00000000-0004-0000-0200-000079020000}"/>
    <hyperlink ref="BO75" r:id="rId579" xr:uid="{00000000-0004-0000-0200-00007A020000}"/>
    <hyperlink ref="BP75" r:id="rId580" xr:uid="{00000000-0004-0000-0200-00007B020000}"/>
    <hyperlink ref="BQ75" r:id="rId581" xr:uid="{00000000-0004-0000-0200-00007C020000}"/>
    <hyperlink ref="BS75" r:id="rId582" xr:uid="{00000000-0004-0000-0200-00007D020000}"/>
    <hyperlink ref="BU75" r:id="rId583" xr:uid="{00000000-0004-0000-0200-00007E020000}"/>
    <hyperlink ref="BV75" r:id="rId584" xr:uid="{00000000-0004-0000-0200-00007F020000}"/>
    <hyperlink ref="BW75" r:id="rId585" xr:uid="{00000000-0004-0000-0200-000080020000}"/>
    <hyperlink ref="D33" r:id="rId586" display="https://intranet.atlnz.lc/systest/Jira_Reports/testExecReport/jiraExecReport.php?testPlanKey=422&amp;projectKey=TQUALTCM&amp;Report=Report" xr:uid="{00000000-0004-0000-0200-000081020000}"/>
    <hyperlink ref="N33" r:id="rId587" xr:uid="{00000000-0004-0000-0200-000084020000}"/>
    <hyperlink ref="O33" r:id="rId588" xr:uid="{00000000-0004-0000-0200-000085020000}"/>
    <hyperlink ref="P33" r:id="rId589" xr:uid="{00000000-0004-0000-0200-000086020000}"/>
    <hyperlink ref="S33" r:id="rId590" xr:uid="{00000000-0004-0000-0200-000087020000}"/>
    <hyperlink ref="T33" r:id="rId591" xr:uid="{00000000-0004-0000-0200-000088020000}"/>
    <hyperlink ref="X33" r:id="rId592" xr:uid="{00000000-0004-0000-0200-000089020000}"/>
    <hyperlink ref="Y33" r:id="rId593" xr:uid="{00000000-0004-0000-0200-00008A020000}"/>
    <hyperlink ref="AA33" r:id="rId594" xr:uid="{00000000-0004-0000-0200-00008B020000}"/>
    <hyperlink ref="AB33" r:id="rId595" xr:uid="{00000000-0004-0000-0200-00008C020000}"/>
    <hyperlink ref="AF33" r:id="rId596" xr:uid="{00000000-0004-0000-0200-00008E020000}"/>
    <hyperlink ref="AG33" r:id="rId597" xr:uid="{00000000-0004-0000-0200-00008F020000}"/>
    <hyperlink ref="AH33" r:id="rId598" xr:uid="{00000000-0004-0000-0200-000090020000}"/>
    <hyperlink ref="AI33" r:id="rId599" xr:uid="{00000000-0004-0000-0200-000091020000}"/>
    <hyperlink ref="AJ33" r:id="rId600" xr:uid="{00000000-0004-0000-0200-000092020000}"/>
    <hyperlink ref="AM33" r:id="rId601" xr:uid="{00000000-0004-0000-0200-000093020000}"/>
    <hyperlink ref="AN33" r:id="rId602" xr:uid="{00000000-0004-0000-0200-000094020000}"/>
    <hyperlink ref="AR33" r:id="rId603" xr:uid="{00000000-0004-0000-0200-000097020000}"/>
    <hyperlink ref="AS33" r:id="rId604" xr:uid="{00000000-0004-0000-0200-000098020000}"/>
    <hyperlink ref="AT33" r:id="rId605" xr:uid="{00000000-0004-0000-0200-000099020000}"/>
    <hyperlink ref="AV33" r:id="rId606" xr:uid="{00000000-0004-0000-0200-00009A020000}"/>
    <hyperlink ref="AW33" r:id="rId607" xr:uid="{00000000-0004-0000-0200-00009B020000}"/>
    <hyperlink ref="Q33" r:id="rId608" xr:uid="{00000000-0004-0000-0200-00009C020000}"/>
    <hyperlink ref="AX33" r:id="rId609" xr:uid="{00000000-0004-0000-0200-00009D020000}"/>
    <hyperlink ref="AY33" r:id="rId610" xr:uid="{00000000-0004-0000-0200-00009E020000}"/>
    <hyperlink ref="AZ33" r:id="rId611" xr:uid="{00000000-0004-0000-0200-00009F020000}"/>
    <hyperlink ref="BA33" r:id="rId612" xr:uid="{00000000-0004-0000-0200-0000A0020000}"/>
    <hyperlink ref="BB33" r:id="rId613" xr:uid="{00000000-0004-0000-0200-0000A1020000}"/>
    <hyperlink ref="BD33" r:id="rId614" xr:uid="{00000000-0004-0000-0200-0000A2020000}"/>
    <hyperlink ref="BE33" r:id="rId615" xr:uid="{00000000-0004-0000-0200-0000A3020000}"/>
    <hyperlink ref="BH33" r:id="rId616" xr:uid="{00000000-0004-0000-0200-0000A4020000}"/>
    <hyperlink ref="BI33" r:id="rId617" xr:uid="{00000000-0004-0000-0200-0000A5020000}"/>
    <hyperlink ref="BM33" r:id="rId618" xr:uid="{00000000-0004-0000-0200-0000A6020000}"/>
    <hyperlink ref="BP33" r:id="rId619" xr:uid="{00000000-0004-0000-0200-0000A7020000}"/>
    <hyperlink ref="D34" r:id="rId620" display="https://intranet.atlnz.lc/systest/Jira_Reports/testExecReport/jiraExecReport.php?testPlanKey=27&amp;projectKey=TQUALTCM&amp;Report=Report" xr:uid="{00000000-0004-0000-0200-0000A8020000}"/>
    <hyperlink ref="X34" r:id="rId621" location="/reports/testresults/list/view?tql=testResult.projectKey%20IN%20('TQUALTCM')%20AND%20testRun.key%20IN%20('TQUALTCM-C1069')%20AND%20testRun.onlyLastTestResult%20IS%20false&amp;jql=&amp;title=REPORTS.TEST_RESULTS_ADVANCED.TITLE" xr:uid="{00000000-0004-0000-0200-0000AA020000}"/>
    <hyperlink ref="Y34" r:id="rId622" xr:uid="{00000000-0004-0000-0200-0000AB020000}"/>
    <hyperlink ref="AA34" r:id="rId623" location="/testCycle/TQUALTCM-C2719" xr:uid="{00000000-0004-0000-0200-0000AC020000}"/>
    <hyperlink ref="AL34" r:id="rId624" location="/reports/testresults/list/view?tql=testResult.projectKey%20IN%20('TQUALTCM')%20AND%20testRun.key%20IN%20('TQUALTCM-C1082')%20AND%20testRun.onlyLastTestResult%20IS%20false&amp;jql=&amp;title=REPORTS.TEST_RESULTS_ADVANCED.TITL" xr:uid="{00000000-0004-0000-0200-0000AD020000}"/>
    <hyperlink ref="AN34" r:id="rId625" location="/reports/testresults/list/view?tql=testResult.projectKey%20IN%20('TQUALTCM')%20AND%20testRun.key%20IN%20('TQUALTCM-C427')%20AND%20testRun.onlyLastTestResult%20IS%20false&amp;jql=&amp;title=REPORTS.TEST_RESULTS_ADVANCED.TITLE" xr:uid="{00000000-0004-0000-0200-0000AE020000}"/>
    <hyperlink ref="AR34" r:id="rId626" location="/cycle?projectId=15704" xr:uid="{00000000-0004-0000-0200-0000AF020000}"/>
    <hyperlink ref="AS34" r:id="rId627" location="/reports/testresults/list/view?tql=testResult.projectKey%20IN%20('TQUALTCM')%20AND%20testRun.key%20IN%20('TQUALTCM-C60')%20AND%20testRun.onlyLastTestResult%20IS%20false&amp;jql=&amp;title=REPORTS.TEST_RESULTS_ADVANCED.TITLE&amp;period=MONTH&amp;traceabilityReportOption=C" xr:uid="{00000000-0004-0000-0200-0000B0020000}"/>
    <hyperlink ref="AV34" r:id="rId628" xr:uid="{00000000-0004-0000-0200-0000B1020000}"/>
    <hyperlink ref="Q34" r:id="rId629" xr:uid="{00000000-0004-0000-0200-0000B2020000}"/>
    <hyperlink ref="R34" r:id="rId630" xr:uid="{00000000-0004-0000-0200-0000B3020000}"/>
    <hyperlink ref="AX34" r:id="rId631" xr:uid="{00000000-0004-0000-0200-0000B4020000}"/>
    <hyperlink ref="BF34" r:id="rId632" xr:uid="{00000000-0004-0000-0200-0000B5020000}"/>
    <hyperlink ref="BG34" r:id="rId633" xr:uid="{00000000-0004-0000-0200-0000B6020000}"/>
    <hyperlink ref="D35" r:id="rId634" display="https://intranet.atlnz.lc/systest/Jira_Reports/testExecReport/jiraExecReport.php?testPlanKey=28&amp;projectKey=TQUALTCM&amp;Report=Report" xr:uid="{00000000-0004-0000-0200-0000B7020000}"/>
    <hyperlink ref="F35" r:id="rId635" xr:uid="{00000000-0004-0000-0200-0000B8020000}"/>
    <hyperlink ref="G35" r:id="rId636" xr:uid="{00000000-0004-0000-0200-0000B9020000}"/>
    <hyperlink ref="O35" r:id="rId637" xr:uid="{00000000-0004-0000-0200-0000BB020000}"/>
    <hyperlink ref="P35" r:id="rId638" xr:uid="{00000000-0004-0000-0200-0000BC020000}"/>
    <hyperlink ref="S35" r:id="rId639" xr:uid="{00000000-0004-0000-0200-0000BD020000}"/>
    <hyperlink ref="T35" r:id="rId640" xr:uid="{00000000-0004-0000-0200-0000BE020000}"/>
    <hyperlink ref="X35" r:id="rId641" location="/reports/testresults/list/view?tql=testResult.projectKey%20IN%20('TQUALTCM')%20AND%20testRun.key%20IN%20('TQUALTCM-C1073')%20AND%20testRun.onlyLastTestResult%20IS%20false&amp;jql=&amp;title=REPORTS.TEST_RESULTS_ADVANCED.TITLE" xr:uid="{00000000-0004-0000-0200-0000BF020000}"/>
    <hyperlink ref="Y35" r:id="rId642" xr:uid="{00000000-0004-0000-0200-0000C0020000}"/>
    <hyperlink ref="AA35" r:id="rId643" location="/testCycle/TQUALTCM-C2718" xr:uid="{00000000-0004-0000-0200-0000C1020000}"/>
    <hyperlink ref="AH35" r:id="rId644" xr:uid="{00000000-0004-0000-0200-0000C2020000}"/>
    <hyperlink ref="AI35" r:id="rId645" xr:uid="{00000000-0004-0000-0200-0000C3020000}"/>
    <hyperlink ref="AL35" r:id="rId646" location="/reports/testresults/list/view?tql=testResult.projectKey%20IN%20('TQUALTCM')%20AND%20testRun.key%20IN%20('TQUALTCM-C1083')%20AND%20testRun.onlyLastTestResult%20IS%20false&amp;jql=&amp;title=REPORTS.TEST_RESULTS_ADVANCED.TITL" xr:uid="{00000000-0004-0000-0200-0000C4020000}"/>
    <hyperlink ref="AM35" r:id="rId647" xr:uid="{00000000-0004-0000-0200-0000C5020000}"/>
    <hyperlink ref="AN35" r:id="rId648" location="/reports/testresults/list/view?tql=testResult.projectKey%20IN%20('TQUALTCM')%20AND%20testRun.key%20IN%20('TQUALTCM-C428')%20AND%20testRun.onlyLastTestResult%20IS%20false&amp;jql=&amp;title=REPORTS.TEST_RESULTS_ADVANCED.TITLE" xr:uid="{00000000-0004-0000-0200-0000C6020000}"/>
    <hyperlink ref="AR35" r:id="rId649" location="/cycle?projectId=15704" xr:uid="{00000000-0004-0000-0200-0000C9020000}"/>
    <hyperlink ref="AS35" r:id="rId650" location="/reports/testresults/list/view?tql=testResult.projectKey%20IN%20('TQUALTCM')%20AND%20testRun.key%20IN%20('TQUALTCM-C62')%20AND%20testRun.onlyLastTestResult%20IS%20false&amp;jql=&amp;title=REPORTS.TEST_RESULTS_ADVANCED.TITLE&amp;period=MONTH&amp;traceabilityReportOption=C" xr:uid="{00000000-0004-0000-0200-0000CA020000}"/>
    <hyperlink ref="AT35" r:id="rId651" xr:uid="{00000000-0004-0000-0200-0000CB020000}"/>
    <hyperlink ref="AV35" r:id="rId652" xr:uid="{00000000-0004-0000-0200-0000CC020000}"/>
    <hyperlink ref="Q35" r:id="rId653" xr:uid="{00000000-0004-0000-0200-0000CD020000}"/>
    <hyperlink ref="R35" r:id="rId654" xr:uid="{00000000-0004-0000-0200-0000CE020000}"/>
    <hyperlink ref="AX35" r:id="rId655" xr:uid="{00000000-0004-0000-0200-0000CF020000}"/>
    <hyperlink ref="AY35" r:id="rId656" xr:uid="{00000000-0004-0000-0200-0000D0020000}"/>
    <hyperlink ref="BA35" r:id="rId657" xr:uid="{00000000-0004-0000-0200-0000D1020000}"/>
    <hyperlink ref="BD35" r:id="rId658" xr:uid="{00000000-0004-0000-0200-0000D2020000}"/>
    <hyperlink ref="BE35" r:id="rId659" xr:uid="{00000000-0004-0000-0200-0000D3020000}"/>
    <hyperlink ref="BF35" r:id="rId660" xr:uid="{00000000-0004-0000-0200-0000D4020000}"/>
    <hyperlink ref="BH35" r:id="rId661" xr:uid="{00000000-0004-0000-0200-0000D5020000}"/>
    <hyperlink ref="BI35" r:id="rId662" xr:uid="{00000000-0004-0000-0200-0000D6020000}"/>
    <hyperlink ref="BJ35" r:id="rId663" xr:uid="{00000000-0004-0000-0200-0000D7020000}"/>
    <hyperlink ref="BK35" r:id="rId664" xr:uid="{00000000-0004-0000-0200-0000D8020000}"/>
    <hyperlink ref="BL35" r:id="rId665" xr:uid="{00000000-0004-0000-0200-0000D9020000}"/>
    <hyperlink ref="BM35" r:id="rId666" xr:uid="{00000000-0004-0000-0200-0000DA020000}"/>
    <hyperlink ref="BN35" r:id="rId667" xr:uid="{00000000-0004-0000-0200-0000DB020000}"/>
    <hyperlink ref="BO35" r:id="rId668" xr:uid="{00000000-0004-0000-0200-0000DC020000}"/>
    <hyperlink ref="BP35" r:id="rId669" xr:uid="{00000000-0004-0000-0200-0000DD020000}"/>
    <hyperlink ref="BQ35" r:id="rId670" xr:uid="{00000000-0004-0000-0200-0000DE020000}"/>
    <hyperlink ref="BS35" r:id="rId671" xr:uid="{00000000-0004-0000-0200-0000DF020000}"/>
    <hyperlink ref="BV35" r:id="rId672" xr:uid="{00000000-0004-0000-0200-0000E0020000}"/>
    <hyperlink ref="BW35" r:id="rId673" xr:uid="{00000000-0004-0000-0200-0000E1020000}"/>
    <hyperlink ref="BX35" r:id="rId674" xr:uid="{00000000-0004-0000-0200-0000E2020000}"/>
    <hyperlink ref="BZ35" r:id="rId675" xr:uid="{00000000-0004-0000-0200-0000E3020000}"/>
    <hyperlink ref="CA35" r:id="rId676" xr:uid="{00000000-0004-0000-0200-0000E4020000}"/>
    <hyperlink ref="CB35" r:id="rId677" xr:uid="{00000000-0004-0000-0200-0000E5020000}"/>
    <hyperlink ref="CF35" r:id="rId678" xr:uid="{00000000-0004-0000-0200-0000E6020000}"/>
    <hyperlink ref="D36" r:id="rId679" display="https://intranet.atlnz.lc/systest/Jira_Reports/testExecReport/jiraExecReport.php?testPlanKey=29&amp;projectKey=TQUALTCM&amp;Report=Report" xr:uid="{00000000-0004-0000-0200-0000E7020000}"/>
    <hyperlink ref="E36" r:id="rId680" xr:uid="{00000000-0004-0000-0200-0000E8020000}"/>
    <hyperlink ref="G36" r:id="rId681" xr:uid="{00000000-0004-0000-0200-0000E9020000}"/>
    <hyperlink ref="S36" r:id="rId682" xr:uid="{00000000-0004-0000-0200-0000EB020000}"/>
    <hyperlink ref="T36" r:id="rId683" xr:uid="{00000000-0004-0000-0200-0000EC020000}"/>
    <hyperlink ref="X36" r:id="rId684" location="/reports/testresults/list/view?tql=testResult.projectKey%20IN%20('TQUALTCM')%20AND%20testRun.key%20IN%20('TQUALTCM-C1066')%20AND%20testRun.onlyLastTestResult%20IS%20false&amp;jql=&amp;title=REPORTS.TEST_RESULTS_ADVANCED.TITLE" xr:uid="{00000000-0004-0000-0200-0000ED020000}"/>
    <hyperlink ref="Y36" r:id="rId685" xr:uid="{00000000-0004-0000-0200-0000EE020000}"/>
    <hyperlink ref="AA36" r:id="rId686" location="/testCycle/TQUALTCM-C2720" xr:uid="{00000000-0004-0000-0200-0000EF020000}"/>
    <hyperlink ref="AH36" r:id="rId687" xr:uid="{00000000-0004-0000-0200-0000F0020000}"/>
    <hyperlink ref="AI36" r:id="rId688" xr:uid="{00000000-0004-0000-0200-0000F1020000}"/>
    <hyperlink ref="AL36" r:id="rId689" location="/reports/testresults/list/view?tql=testResult.projectKey%20IN%20('TQUALTCM')%20AND%20testRun.key%20IN%20('TQUALTCM-C1084')%20AND%20testRun.onlyLastTestResult%20IS%20false&amp;jql=&amp;title=REPORTS.TEST_RESULTS_ADVANCED.TITL" xr:uid="{00000000-0004-0000-0200-0000F2020000}"/>
    <hyperlink ref="AN36" r:id="rId690" location="/reports/testresults/list/view?tql=testResult.projectKey%20IN%20('TQUALTCM')%20AND%20testRun.key%20IN%20('TQUALTCM-C429')%20AND%20testRun.onlyLastTestResult%20IS%20false&amp;jql=&amp;title=REPORTS.TEST_RESULTS_ADVANCED.TITLE" xr:uid="{00000000-0004-0000-0200-0000F3020000}"/>
    <hyperlink ref="AR36" r:id="rId691" location="/cycle?projectId=15704" xr:uid="{00000000-0004-0000-0200-0000F6020000}"/>
    <hyperlink ref="AS36" r:id="rId692" location="/reports/testresults/list/view?tql=testResult.projectKey%20IN%20('TQUALTCM')%20AND%20testRun.key%20IN%20('TQUALTCM-C62')%20AND%20testRun.onlyLastTestResult%20IS%20false&amp;jql=&amp;title=REPORTS.TEST_RESULTS_ADVANCED.TITLE&amp;period=MONTH&amp;traceabilityReportOption=C" xr:uid="{00000000-0004-0000-0200-0000F7020000}"/>
    <hyperlink ref="AT36" r:id="rId693" xr:uid="{00000000-0004-0000-0200-0000F8020000}"/>
    <hyperlink ref="AV36" r:id="rId694" xr:uid="{00000000-0004-0000-0200-0000F9020000}"/>
    <hyperlink ref="AX36" r:id="rId695" xr:uid="{00000000-0004-0000-0200-0000FA020000}"/>
    <hyperlink ref="AY36" r:id="rId696" xr:uid="{00000000-0004-0000-0200-0000FB020000}"/>
    <hyperlink ref="AZ36" r:id="rId697" xr:uid="{00000000-0004-0000-0200-0000FC020000}"/>
    <hyperlink ref="BA36" r:id="rId698" xr:uid="{00000000-0004-0000-0200-0000FD020000}"/>
    <hyperlink ref="BB36" r:id="rId699" xr:uid="{00000000-0004-0000-0200-0000FE020000}"/>
    <hyperlink ref="BD36" r:id="rId700" xr:uid="{00000000-0004-0000-0200-0000FF020000}"/>
    <hyperlink ref="BE36" r:id="rId701" xr:uid="{00000000-0004-0000-0200-000000030000}"/>
    <hyperlink ref="BF36" r:id="rId702" xr:uid="{00000000-0004-0000-0200-000001030000}"/>
    <hyperlink ref="BG36" r:id="rId703" xr:uid="{00000000-0004-0000-0200-000002030000}"/>
    <hyperlink ref="BH36" r:id="rId704" xr:uid="{00000000-0004-0000-0200-000003030000}"/>
    <hyperlink ref="BI36" r:id="rId705" xr:uid="{00000000-0004-0000-0200-000004030000}"/>
    <hyperlink ref="BJ36" r:id="rId706" xr:uid="{00000000-0004-0000-0200-000005030000}"/>
    <hyperlink ref="BK36" r:id="rId707" xr:uid="{00000000-0004-0000-0200-000006030000}"/>
    <hyperlink ref="BL36" r:id="rId708" xr:uid="{00000000-0004-0000-0200-000007030000}"/>
    <hyperlink ref="D37" r:id="rId709" display="https://intranet.atlnz.lc/systest/Jira_Reports/testExecReport/jiraExecReport.php?testPlanKey=94&amp;projectKey=TQUALTCM&amp;Report=Report" xr:uid="{00000000-0004-0000-0200-000008030000}"/>
    <hyperlink ref="BC37" r:id="rId710" location="/reports/testresults/list/view?tql=testResult.projectKey%20IN%20('TQUALTCM')%20AND%20testRun.key%20IN%20('TQUALTCM-C976')%20AND%20testRun.onlyLastTestResult%20IS%20false&amp;jql=&amp;title=REPORTS.TEST_RESULTS_ADVANCED.TITLE" xr:uid="{00000000-0004-0000-0200-00002D030000}"/>
    <hyperlink ref="BH37" r:id="rId711" xr:uid="{00000000-0004-0000-0200-000032030000}"/>
    <hyperlink ref="BI37" r:id="rId712" xr:uid="{00000000-0004-0000-0200-000033030000}"/>
    <hyperlink ref="BJ37" r:id="rId713" xr:uid="{00000000-0004-0000-0200-000034030000}"/>
    <hyperlink ref="BK37" r:id="rId714" xr:uid="{00000000-0004-0000-0200-000035030000}"/>
    <hyperlink ref="BL37" r:id="rId715" xr:uid="{00000000-0004-0000-0200-000036030000}"/>
    <hyperlink ref="D38" r:id="rId716" display="https://intranet.atlnz.lc/systest/Jira_Reports/testExecReport/jiraExecReport.php?testPlanKey=32&amp;projectKey=TQUALTCM&amp;Report=Report" xr:uid="{00000000-0004-0000-0200-000037030000}"/>
    <hyperlink ref="O38" r:id="rId717" xr:uid="{00000000-0004-0000-0200-000039030000}"/>
    <hyperlink ref="P38" r:id="rId718" xr:uid="{00000000-0004-0000-0200-00003A030000}"/>
    <hyperlink ref="S38" r:id="rId719" xr:uid="{00000000-0004-0000-0200-00003B030000}"/>
    <hyperlink ref="T38" r:id="rId720" xr:uid="{00000000-0004-0000-0200-00003C030000}"/>
    <hyperlink ref="X38" r:id="rId721" location="/reports/testresults/list/view?tql=testResult.projectKey%20IN%20('TQUALTCM')%20AND%20testRun.key%20IN%20('TQUALTCM-C1050')%20AND%20testRun.onlyLastTestResult%20IS%20false&amp;jql=&amp;title=REPORTS.TEST_RESULTS_ADVANCED.TITLE" xr:uid="{00000000-0004-0000-0200-00003D030000}"/>
    <hyperlink ref="Y38" r:id="rId722" xr:uid="{00000000-0004-0000-0200-00003E030000}"/>
    <hyperlink ref="AA38" r:id="rId723" location="/testCycle/TQUALTCM-C2943" xr:uid="{00000000-0004-0000-0200-00003F030000}"/>
    <hyperlink ref="AH38" r:id="rId724" xr:uid="{00000000-0004-0000-0200-000040030000}"/>
    <hyperlink ref="AL38" r:id="rId725" location="/reports/testresults/list/view?tql=testResult.projectKey%20IN%20('TQUALTCM')%20AND%20testRun.key%20IN%20('TQUALTCM-C1087')%20AND%20testRun.onlyLastTestResult%20IS%20false&amp;jql=&amp;title=REPORTS.TEST_RESULTS_ADVANCED.TITL" xr:uid="{00000000-0004-0000-0200-000041030000}"/>
    <hyperlink ref="AM38" r:id="rId726" xr:uid="{00000000-0004-0000-0200-000042030000}"/>
    <hyperlink ref="AN38" r:id="rId727" location="/reports/testresults/list/view?tql=testResult.projectKey%20IN%20('TQUALTCM')%20AND%20testRun.key%20IN%20('TQUALTCM-C432')%20AND%20testRun.onlyLastTestResult%20IS%20false&amp;jql=&amp;title=REPORTS.TEST_RESULTS_ADVANCED.TITLE" xr:uid="{00000000-0004-0000-0200-000043030000}"/>
    <hyperlink ref="AR38" r:id="rId728" location="/cycle?projectId=15704" xr:uid="{00000000-0004-0000-0200-000046030000}"/>
    <hyperlink ref="AS38" r:id="rId729" location="/reports/testresults/list/view?tql=testResult.projectKey%20IN%20('TQUALTCM')%20AND%20testRun.key%20IN%20('TQUALTCM-C48')%20AND%20testRun.onlyLastTestResult%20IS%20false&amp;jql=&amp;title=REPORTS.TEST_RESULTS_ADVANCED.TITLE&amp;period=MONTH&amp;traceabilityReportOption=C" xr:uid="{00000000-0004-0000-0200-000047030000}"/>
    <hyperlink ref="AT38" r:id="rId730" xr:uid="{00000000-0004-0000-0200-000048030000}"/>
    <hyperlink ref="Q38" r:id="rId731" xr:uid="{00000000-0004-0000-0200-000049030000}"/>
    <hyperlink ref="R38" r:id="rId732" xr:uid="{00000000-0004-0000-0200-00004A030000}"/>
    <hyperlink ref="BA38" r:id="rId733" xr:uid="{00000000-0004-0000-0200-00004B030000}"/>
    <hyperlink ref="BC38" r:id="rId734" xr:uid="{00000000-0004-0000-0200-00004C030000}"/>
    <hyperlink ref="BE38" r:id="rId735" xr:uid="{00000000-0004-0000-0200-00004D030000}"/>
    <hyperlink ref="BH38" r:id="rId736" xr:uid="{00000000-0004-0000-0200-00004E030000}"/>
    <hyperlink ref="BK38" r:id="rId737" xr:uid="{00000000-0004-0000-0200-00004F030000}"/>
    <hyperlink ref="BL38" r:id="rId738" xr:uid="{00000000-0004-0000-0200-000050030000}"/>
    <hyperlink ref="BM38" r:id="rId739" xr:uid="{00000000-0004-0000-0200-000051030000}"/>
    <hyperlink ref="BO38" r:id="rId740" xr:uid="{00000000-0004-0000-0200-000052030000}"/>
    <hyperlink ref="BP38" r:id="rId741" xr:uid="{00000000-0004-0000-0200-000053030000}"/>
    <hyperlink ref="BQ38" r:id="rId742" xr:uid="{00000000-0004-0000-0200-000054030000}"/>
    <hyperlink ref="BS38" r:id="rId743" xr:uid="{00000000-0004-0000-0200-000055030000}"/>
    <hyperlink ref="BZ38" r:id="rId744" xr:uid="{00000000-0004-0000-0200-000056030000}"/>
    <hyperlink ref="CA38" r:id="rId745" xr:uid="{00000000-0004-0000-0200-000057030000}"/>
    <hyperlink ref="CC38" r:id="rId746" xr:uid="{00000000-0004-0000-0200-000058030000}"/>
    <hyperlink ref="CD38" r:id="rId747" xr:uid="{00000000-0004-0000-0200-000059030000}"/>
    <hyperlink ref="CF38" r:id="rId748" xr:uid="{00000000-0004-0000-0200-00005A030000}"/>
    <hyperlink ref="D39" r:id="rId749" display="https://intranet.atlnz.lc/systest/Jira_Reports/testExecReport/jiraExecReport.php?testPlanKey=33&amp;projectKey=TQUALTCM&amp;Report=Report" xr:uid="{00000000-0004-0000-0200-00005B030000}"/>
    <hyperlink ref="X39" r:id="rId750" location="/reports/testresults/list/view?tql=testResult.projectKey%20IN%20('TQUALTCM')%20AND%20testRun.key%20IN%20('TQUALTCM-C1049')%20AND%20testRun.onlyLastTestResult%20IS%20false&amp;jql=&amp;title=REPORTS.TEST_RESULTS_ADVANCED.TITLE" xr:uid="{00000000-0004-0000-0200-00005D030000}"/>
    <hyperlink ref="AA39" r:id="rId751" location="/testPlayer/TQUALTCM-C2722" xr:uid="{00000000-0004-0000-0200-00005E030000}"/>
    <hyperlink ref="AL39" r:id="rId752" location="/reports/testresults/list/view?tql=testResult.projectKey%20IN%20('TQUALTCM')%20AND%20testRun.key%20IN%20('TQUALTCM-C1088')%20AND%20testRun.onlyLastTestResult%20IS%20false&amp;jql=&amp;title=REPORTS.TEST_RESULTS_ADVANCED.TITL" xr:uid="{00000000-0004-0000-0200-00005F030000}"/>
    <hyperlink ref="AN39" r:id="rId753" location="/reports/testresults/list/view?tql=testResult.projectKey%20IN%20('TQUALTCM')%20AND%20testRun.key%20IN%20('TQUALTCM-C433')%20AND%20testRun.onlyLastTestResult%20IS%20false&amp;jql=&amp;title=REPORTS.TEST_RESULTS_ADVANCED.TITLE" xr:uid="{00000000-0004-0000-0200-000060030000}"/>
    <hyperlink ref="AR39" r:id="rId754" location="/cycle?projectId=15704" xr:uid="{00000000-0004-0000-0200-000061030000}"/>
    <hyperlink ref="AS39" r:id="rId755" location="/reports/testresults/list/view?tql=testResult.projectKey%20IN%20('TQUALTCM')%20AND%20testRun.key%20IN%20('TQUALTCM-C356')%20AND%20testRun.onlyLastTestResult%20IS%20false&amp;jql=&amp;title=REPORTS.TEST_RESULTS_ADVANCED.TITLE&amp;period=MONTH&amp;traceabilityReportOption=" xr:uid="{00000000-0004-0000-0200-000062030000}"/>
    <hyperlink ref="AV39" r:id="rId756" xr:uid="{00000000-0004-0000-0200-000063030000}"/>
    <hyperlink ref="Q39" r:id="rId757" xr:uid="{00000000-0004-0000-0200-000064030000}"/>
    <hyperlink ref="R39" r:id="rId758" xr:uid="{00000000-0004-0000-0200-000065030000}"/>
    <hyperlink ref="AX39" r:id="rId759" xr:uid="{00000000-0004-0000-0200-000066030000}"/>
    <hyperlink ref="BF39" r:id="rId760" xr:uid="{00000000-0004-0000-0200-000067030000}"/>
    <hyperlink ref="D40" r:id="rId761" display="https://intranet.atlnz.lc/systest/Jira_Reports/testExecReport/jiraExecReport.php?testPlanKey=34&amp;projectKey=TQUALTCM&amp;Report=Report" xr:uid="{00000000-0004-0000-0200-000068030000}"/>
    <hyperlink ref="N40" r:id="rId762" xr:uid="{00000000-0004-0000-0200-00006A030000}"/>
    <hyperlink ref="O40" r:id="rId763" xr:uid="{00000000-0004-0000-0200-00006B030000}"/>
    <hyperlink ref="P40" r:id="rId764" xr:uid="{00000000-0004-0000-0200-00006C030000}"/>
    <hyperlink ref="S40" r:id="rId765" xr:uid="{00000000-0004-0000-0200-00006D030000}"/>
    <hyperlink ref="T40" r:id="rId766" xr:uid="{00000000-0004-0000-0200-00006E030000}"/>
    <hyperlink ref="X40" r:id="rId767" location="/reports/testresults/list/view?tql=testResult.projectKey%20IN%20('TQUALTCM')%20AND%20testRun.key%20IN%20('TQUALTCM-C1051')%20AND%20testRun.onlyLastTestResult%20IS%20false&amp;jql=&amp;title=REPORTS.TEST_RESULTS_ADVANCED.TITLE" xr:uid="{00000000-0004-0000-0200-00006F030000}"/>
    <hyperlink ref="Y40" r:id="rId768" xr:uid="{00000000-0004-0000-0200-000070030000}"/>
    <hyperlink ref="AA40" r:id="rId769" location="/testCycle/TQUALTCM-C2724" xr:uid="{00000000-0004-0000-0200-000071030000}"/>
    <hyperlink ref="AF40" r:id="rId770" location="/reports/testresults/list/view?tql=testResult.projectKey%20IN%20('TQUALTCM')%20AND%20testRun.key%20IN%20('TQUALTCM-C1272')%20AND%20testRun.onlyLastTestResult%20IS%20false&amp;jql=&amp;title=REPORTS.TEST_RESULTS_ADVANCED.TITLE" xr:uid="{00000000-0004-0000-0200-000073030000}"/>
    <hyperlink ref="AG40" r:id="rId771" xr:uid="{00000000-0004-0000-0200-000074030000}"/>
    <hyperlink ref="AH40" r:id="rId772" xr:uid="{00000000-0004-0000-0200-000075030000}"/>
    <hyperlink ref="AL40" r:id="rId773" location="/reports/testresults/list/view?tql=testResult.projectKey%20IN%20('TQUALTCM')%20AND%20testRun.key%20IN%20('TQUALTCM-C1089')%20AND%20testRun.onlyLastTestResult%20IS%20false&amp;jql=&amp;title=REPORTS.TEST_RESULTS_ADVANCED.TITL" xr:uid="{00000000-0004-0000-0200-000076030000}"/>
    <hyperlink ref="AM40" r:id="rId774" xr:uid="{00000000-0004-0000-0200-000077030000}"/>
    <hyperlink ref="AN40" r:id="rId775" location="/reports/testresults/list/view?tql=testResult.projectKey%20IN%20('TQUALTCM')%20AND%20testRun.key%20IN%20('TQUALTCM-C434')%20AND%20testRun.onlyLastTestResult%20IS%20false&amp;jql=&amp;title=REPORTS.TEST_RESULTS_ADVANCED.TITLE" xr:uid="{00000000-0004-0000-0200-000078030000}"/>
    <hyperlink ref="AR40" r:id="rId776" location="/cycle?projectId=15704" xr:uid="{00000000-0004-0000-0200-00007B030000}"/>
    <hyperlink ref="AS40" r:id="rId777" location="/reports/testresults/list/view?tql=testResult.projectKey%20IN%20('TQUALTCM')%20AND%20testRun.key%20IN%20('TQUALTCM-C355')%20AND%20testRun.onlyLastTestResult%20IS%20false&amp;jql=&amp;title=REPORTS.TEST_RESULTS_ADVANCED.TITLE&amp;period=MONTH&amp;traceabilityReportOption=" xr:uid="{00000000-0004-0000-0200-00007C030000}"/>
    <hyperlink ref="AT40" r:id="rId778" xr:uid="{00000000-0004-0000-0200-00007D030000}"/>
    <hyperlink ref="AV40" r:id="rId779" xr:uid="{00000000-0004-0000-0200-00007E030000}"/>
    <hyperlink ref="Q40" r:id="rId780" xr:uid="{00000000-0004-0000-0200-00007F030000}"/>
    <hyperlink ref="R40" r:id="rId781" xr:uid="{00000000-0004-0000-0200-000080030000}"/>
    <hyperlink ref="AX40" r:id="rId782" xr:uid="{00000000-0004-0000-0200-000081030000}"/>
    <hyperlink ref="AZ40" r:id="rId783" xr:uid="{00000000-0004-0000-0200-000082030000}"/>
    <hyperlink ref="BA40" r:id="rId784" xr:uid="{00000000-0004-0000-0200-000083030000}"/>
    <hyperlink ref="BC40" r:id="rId785" xr:uid="{00000000-0004-0000-0200-000084030000}"/>
    <hyperlink ref="BE40" r:id="rId786" xr:uid="{00000000-0004-0000-0200-000085030000}"/>
    <hyperlink ref="BF40" r:id="rId787" xr:uid="{00000000-0004-0000-0200-000086030000}"/>
    <hyperlink ref="BG40" r:id="rId788" xr:uid="{00000000-0004-0000-0200-000087030000}"/>
    <hyperlink ref="BH40" r:id="rId789" xr:uid="{00000000-0004-0000-0200-000088030000}"/>
    <hyperlink ref="BK40" r:id="rId790" xr:uid="{00000000-0004-0000-0200-000089030000}"/>
    <hyperlink ref="BL40" r:id="rId791" xr:uid="{00000000-0004-0000-0200-00008A030000}"/>
    <hyperlink ref="BM40" r:id="rId792" xr:uid="{00000000-0004-0000-0200-00008B030000}"/>
    <hyperlink ref="BO40" r:id="rId793" xr:uid="{00000000-0004-0000-0200-00008C030000}"/>
    <hyperlink ref="BQ40" r:id="rId794" xr:uid="{00000000-0004-0000-0200-00008D030000}"/>
    <hyperlink ref="D42" r:id="rId795" display="https://intranet.atlnz.lc/systest/Jira_Reports/testExecReport/jiraExecReport.php?testPlanKey=428&amp;projectKey=TQUALTCM&amp;Report=Report" xr:uid="{00000000-0004-0000-0200-00008E030000}"/>
    <hyperlink ref="N42" r:id="rId796" xr:uid="{00000000-0004-0000-0200-00008F030000}"/>
    <hyperlink ref="O42" r:id="rId797" xr:uid="{00000000-0004-0000-0200-000090030000}"/>
    <hyperlink ref="Q42" r:id="rId798" xr:uid="{00000000-0004-0000-0200-0000A4030000}"/>
    <hyperlink ref="BA42" r:id="rId799" xr:uid="{00000000-0004-0000-0200-0000A5030000}"/>
    <hyperlink ref="BE42" r:id="rId800" xr:uid="{00000000-0004-0000-0200-0000A6030000}"/>
    <hyperlink ref="D43" r:id="rId801" display="https://intranet.atlnz.lc/systest/Jira_Reports/testExecReport/jiraExecReport.php?testPlanKey=30&amp;projectKey=TQUALTCM&amp;Report=Report" xr:uid="{00000000-0004-0000-0200-0000A7030000}"/>
    <hyperlink ref="X43" r:id="rId802" location="/reports/testresults/list/view?tql=testResult.projectKey%20IN%20('TQUALTCM')%20AND%20testRun.key%20IN%20('TQUALTCM-C1074')%20AND%20testRun.onlyLastTestResult%20IS%20false&amp;jql=&amp;title=REPORTS.TEST_RESULTS_ADVANCED.TITLE" xr:uid="{00000000-0004-0000-0200-0000A9030000}"/>
    <hyperlink ref="Y43" r:id="rId803" xr:uid="{00000000-0004-0000-0200-0000AA030000}"/>
    <hyperlink ref="AA43" r:id="rId804" location="/testCycle/TQUALTCM-C2726" xr:uid="{00000000-0004-0000-0200-0000AB030000}"/>
    <hyperlink ref="AI43" r:id="rId805" xr:uid="{00000000-0004-0000-0200-0000AC030000}"/>
    <hyperlink ref="AJ43" r:id="rId806" xr:uid="{00000000-0004-0000-0200-0000AD030000}"/>
    <hyperlink ref="AL43" r:id="rId807" location="/reports/testresults/list/view?tql=testResult.projectKey%20IN%20('TQUALTCM')%20AND%20testRun.key%20IN%20('TQUALTCM-C1085')%20AND%20testRun.onlyLastTestResult%20IS%20false&amp;jql=&amp;title=REPORTS.TEST_RESULTS_ADVANCED.TITL" xr:uid="{00000000-0004-0000-0200-0000AE030000}"/>
    <hyperlink ref="AM43" r:id="rId808" xr:uid="{00000000-0004-0000-0200-0000AF030000}"/>
    <hyperlink ref="AN43" r:id="rId809" location="/reports/testresults/list/view?tql=testResult.projectKey%20IN%20('TQUALTCM')%20AND%20testRun.key%20IN%20('TQUALTCM-C430')%20AND%20testRun.onlyLastTestResult%20IS%20false&amp;jql=&amp;title=REPORTS.TEST_RESULTS_ADVANCED.TITLE" xr:uid="{00000000-0004-0000-0200-0000B0030000}"/>
    <hyperlink ref="AR43" r:id="rId810" location="/cycle?projectId=15704" xr:uid="{00000000-0004-0000-0200-0000B3030000}"/>
    <hyperlink ref="AS43" r:id="rId811" location="/reports/testresults/list/view?tql=testResult.projectKey%20IN%20('TQUALTCM')%20AND%20testRun.key%20IN%20('TQUALTCM-C63')%20AND%20testRun.onlyLastTestResult%20IS%20false&amp;jql=&amp;title=REPORTS.TEST_RESULTS_ADVANCED.TITLE&amp;period=MONTH&amp;traceabilityReportOption=C" xr:uid="{00000000-0004-0000-0200-0000B4030000}"/>
    <hyperlink ref="AT43" r:id="rId812" xr:uid="{00000000-0004-0000-0200-0000B5030000}"/>
    <hyperlink ref="D44" r:id="rId813" display="https://intranet.atlnz.lc/systest/Jira_Reports/testExecReport/jiraExecReport.php?testPlanKey=31&amp;projectKey=TQUALTCM&amp;Report=Report" xr:uid="{00000000-0004-0000-0200-0000B6030000}"/>
    <hyperlink ref="F44" r:id="rId814" xr:uid="{00000000-0004-0000-0200-0000B7030000}"/>
    <hyperlink ref="G44" r:id="rId815" xr:uid="{00000000-0004-0000-0200-0000B8030000}"/>
    <hyperlink ref="O44" r:id="rId816" xr:uid="{00000000-0004-0000-0200-0000BA030000}"/>
    <hyperlink ref="P44" r:id="rId817" xr:uid="{00000000-0004-0000-0200-0000BB030000}"/>
    <hyperlink ref="S44" r:id="rId818" xr:uid="{00000000-0004-0000-0200-0000BC030000}"/>
    <hyperlink ref="T44" r:id="rId819" xr:uid="{00000000-0004-0000-0200-0000BD030000}"/>
    <hyperlink ref="X44" r:id="rId820" location="/reports/testresults/list/view?tql=testResult.projectKey%20IN%20('TQUALTCM')%20AND%20testRun.key%20IN%20('TQUALTCM-C1165')%20AND%20testRun.onlyLastTestResult%20IS%20false&amp;jql=&amp;title=REPORTS.TEST_RESULTS_ADVANCED.TITLE" xr:uid="{00000000-0004-0000-0200-0000BE030000}"/>
    <hyperlink ref="Y44" r:id="rId821" xr:uid="{00000000-0004-0000-0200-0000BF030000}"/>
    <hyperlink ref="AA44" r:id="rId822" location="/testPlayer/TQUALTCM-C2727" xr:uid="{00000000-0004-0000-0200-0000C0030000}"/>
    <hyperlink ref="AH44" r:id="rId823" xr:uid="{00000000-0004-0000-0200-0000C1030000}"/>
    <hyperlink ref="AI44" r:id="rId824" xr:uid="{00000000-0004-0000-0200-0000C2030000}"/>
    <hyperlink ref="AL44" r:id="rId825" location="/reports/testresults/list/view?tql=testResult.projectKey%20IN%20('TQUALTCM')%20AND%20testRun.key%20IN%20('TQUALTCM-C1086')%20AND%20testRun.onlyLastTestResult%20IS%20false&amp;jql=&amp;title=REPORTS.TEST_RESULTS_ADVANCED.TITL" xr:uid="{00000000-0004-0000-0200-0000C3030000}"/>
    <hyperlink ref="AM44" r:id="rId826" xr:uid="{00000000-0004-0000-0200-0000C4030000}"/>
    <hyperlink ref="AN44" r:id="rId827" location="/reports/testresults/list/view?tql=testResult.projectKey%20IN%20('TQUALTCM')%20AND%20testRun.key%20IN%20('TQUALTCM-C431')%20AND%20testRun.onlyLastTestResult%20IS%20false&amp;jql=&amp;title=REPORTS.TEST_RESULTS_ADVANCED.TITLE" xr:uid="{00000000-0004-0000-0200-0000C5030000}"/>
    <hyperlink ref="AR44" r:id="rId828" location="/cycle?projectId=15704" xr:uid="{00000000-0004-0000-0200-0000C8030000}"/>
    <hyperlink ref="AS44" r:id="rId829" location="/reports/testresults/list/view?tql=testResult.projectKey%20IN%20('TQUALTCM')%20AND%20testRun.key%20IN%20('TQUALTCM-C64')%20AND%20testRun.onlyLastTestResult%20IS%20false&amp;jql=&amp;title=REPORTS.TEST_RESULTS_ADVANCED.TITLE&amp;period=MONTH&amp;traceabilityReportOption=C" xr:uid="{00000000-0004-0000-0200-0000C9030000}"/>
    <hyperlink ref="AT44" r:id="rId830" xr:uid="{00000000-0004-0000-0200-0000CA030000}"/>
    <hyperlink ref="AV44" r:id="rId831" xr:uid="{00000000-0004-0000-0200-0000CB030000}"/>
    <hyperlink ref="Q44" r:id="rId832" xr:uid="{00000000-0004-0000-0200-0000CC030000}"/>
    <hyperlink ref="R44" r:id="rId833" xr:uid="{00000000-0004-0000-0200-0000CD030000}"/>
    <hyperlink ref="AX44" r:id="rId834" xr:uid="{00000000-0004-0000-0200-0000CE030000}"/>
    <hyperlink ref="AY44" r:id="rId835" xr:uid="{00000000-0004-0000-0200-0000CF030000}"/>
    <hyperlink ref="AZ44" r:id="rId836" xr:uid="{00000000-0004-0000-0200-0000D0030000}"/>
    <hyperlink ref="BA44" r:id="rId837" xr:uid="{00000000-0004-0000-0200-0000D1030000}"/>
    <hyperlink ref="BD44" r:id="rId838" xr:uid="{00000000-0004-0000-0200-0000D2030000}"/>
    <hyperlink ref="BF44" r:id="rId839" xr:uid="{00000000-0004-0000-0200-0000D3030000}"/>
    <hyperlink ref="BG44" r:id="rId840" xr:uid="{00000000-0004-0000-0200-0000D4030000}"/>
    <hyperlink ref="BH44" r:id="rId841" xr:uid="{00000000-0004-0000-0200-0000D5030000}"/>
    <hyperlink ref="BI44" r:id="rId842" xr:uid="{00000000-0004-0000-0200-0000D6030000}"/>
    <hyperlink ref="BJ44" r:id="rId843" xr:uid="{00000000-0004-0000-0200-0000D7030000}"/>
    <hyperlink ref="BK44" r:id="rId844" xr:uid="{00000000-0004-0000-0200-0000D8030000}"/>
    <hyperlink ref="BL44" r:id="rId845" xr:uid="{00000000-0004-0000-0200-0000D9030000}"/>
    <hyperlink ref="BM44" r:id="rId846" xr:uid="{00000000-0004-0000-0200-0000DA030000}"/>
    <hyperlink ref="BN44" r:id="rId847" xr:uid="{00000000-0004-0000-0200-0000DB030000}"/>
    <hyperlink ref="BO44" r:id="rId848" xr:uid="{00000000-0004-0000-0200-0000DC030000}"/>
    <hyperlink ref="BP44" r:id="rId849" xr:uid="{00000000-0004-0000-0200-0000DD030000}"/>
    <hyperlink ref="BQ44" r:id="rId850" xr:uid="{00000000-0004-0000-0200-0000DE030000}"/>
    <hyperlink ref="D45" r:id="rId851" display="https://intranet.atlnz.lc/systest/Jira_Reports/testExecReport/jiraExecReport.php?testPlanKey=214&amp;projectKey=TQUALTCM&amp;Report=Report" xr:uid="{00000000-0004-0000-0200-0000DF030000}"/>
    <hyperlink ref="BJ47" r:id="rId852" xr:uid="{00000000-0004-0000-0200-0000E0030000}"/>
    <hyperlink ref="BK47" r:id="rId853" xr:uid="{00000000-0004-0000-0200-0000E1030000}"/>
    <hyperlink ref="BL47" r:id="rId854" xr:uid="{00000000-0004-0000-0200-0000E2030000}"/>
    <hyperlink ref="BM67" r:id="rId855" xr:uid="{00000000-0004-0000-0200-0000E3030000}"/>
    <hyperlink ref="BN67" r:id="rId856" xr:uid="{00000000-0004-0000-0200-0000E4030000}"/>
    <hyperlink ref="BO67" r:id="rId857" xr:uid="{00000000-0004-0000-0200-0000E5030000}"/>
    <hyperlink ref="BP67" r:id="rId858" xr:uid="{00000000-0004-0000-0200-0000E6030000}"/>
    <hyperlink ref="BZ67" r:id="rId859" xr:uid="{00000000-0004-0000-0200-0000E7030000}"/>
    <hyperlink ref="CF67" r:id="rId860" xr:uid="{00000000-0004-0000-0200-0000E8030000}"/>
    <hyperlink ref="BM68" r:id="rId861" xr:uid="{00000000-0004-0000-0200-0000E9030000}"/>
    <hyperlink ref="BN68" r:id="rId862" xr:uid="{00000000-0004-0000-0200-0000EA030000}"/>
    <hyperlink ref="BO68" r:id="rId863" xr:uid="{00000000-0004-0000-0200-0000EB030000}"/>
    <hyperlink ref="BP68" r:id="rId864" xr:uid="{00000000-0004-0000-0200-0000EC030000}"/>
    <hyperlink ref="BZ68" r:id="rId865" xr:uid="{00000000-0004-0000-0200-0000ED030000}"/>
    <hyperlink ref="CF68" r:id="rId866" xr:uid="{00000000-0004-0000-0200-0000EE030000}"/>
    <hyperlink ref="BU70" r:id="rId867" xr:uid="{00000000-0004-0000-0200-0000EF030000}"/>
    <hyperlink ref="CC70" r:id="rId868" xr:uid="{00000000-0004-0000-0200-0000F0030000}"/>
    <hyperlink ref="CD70" r:id="rId869" xr:uid="{00000000-0004-0000-0200-0000F1030000}"/>
    <hyperlink ref="BU71" r:id="rId870" xr:uid="{00000000-0004-0000-0200-0000F2030000}"/>
    <hyperlink ref="CC71" r:id="rId871" xr:uid="{00000000-0004-0000-0200-0000F3030000}"/>
    <hyperlink ref="CD71" r:id="rId872" xr:uid="{00000000-0004-0000-0200-0000F4030000}"/>
    <hyperlink ref="BM72" r:id="rId873" xr:uid="{00000000-0004-0000-0200-0000F5030000}"/>
    <hyperlink ref="BP72" r:id="rId874" xr:uid="{00000000-0004-0000-0200-0000F6030000}"/>
    <hyperlink ref="BU72" r:id="rId875" xr:uid="{00000000-0004-0000-0200-0000F7030000}"/>
    <hyperlink ref="CC72" r:id="rId876" xr:uid="{00000000-0004-0000-0200-0000F8030000}"/>
    <hyperlink ref="CD72" r:id="rId877" xr:uid="{00000000-0004-0000-0200-0000F9030000}"/>
    <hyperlink ref="BM73" r:id="rId878" xr:uid="{00000000-0004-0000-0200-0000FA030000}"/>
    <hyperlink ref="BP73" r:id="rId879" xr:uid="{00000000-0004-0000-0200-0000FB030000}"/>
    <hyperlink ref="BU73" r:id="rId880" xr:uid="{00000000-0004-0000-0200-0000FC030000}"/>
    <hyperlink ref="CC73" r:id="rId881" xr:uid="{00000000-0004-0000-0200-0000FD030000}"/>
    <hyperlink ref="CD73" r:id="rId882" xr:uid="{00000000-0004-0000-0200-0000FE030000}"/>
    <hyperlink ref="D76" r:id="rId883" display="https://intranet.atlnz.lc/systest/Jira_Reports/testExecReport/jiraExecReport.php?testPlanKey=95&amp;projectKey=TQUALTCM&amp;Report=Report" xr:uid="{00000000-0004-0000-0200-0000FF030000}"/>
    <hyperlink ref="E76" r:id="rId884" location="/reports/testresults/list/view?tql=testResult.projectKey%20IN%20('TQUALTCM')%20AND%20testRun.key%20IN%20('TQUALTCM-C897')%20AND%20testRun.onlyLastTestResult%20IS%20false&amp;jql=&amp;title=REPORTS.TEST_RESULTS_ADVANCED.TITLE" xr:uid="{00000000-0004-0000-0200-000000040000}"/>
    <hyperlink ref="F76" r:id="rId885" location="/reports/testresults/list/view?tql=testResult.projectKey%20IN%20('TQUALTCM')%20AND%20testRun.key%20IN%20('TQUALTCM-C897')%20AND%20testRun.onlyLastTestResult%20IS%20false&amp;jql=&amp;title=REPORTS.TEST_RESULTS_ADVANCED.TITLE" xr:uid="{00000000-0004-0000-0200-000001040000}"/>
    <hyperlink ref="G76" r:id="rId886" location="/reports/testresults/list/view?tql=testResult.projectKey%20IN%20('TQUALTCM')%20AND%20testRun.key%20IN%20('TQUALTCM-C897')%20AND%20testRun.onlyLastTestResult%20IS%20false&amp;jql=&amp;title=REPORTS.TEST_RESULTS_ADVANCED.TITLE" xr:uid="{00000000-0004-0000-0200-000002040000}"/>
    <hyperlink ref="I76" r:id="rId887" location="/reports/testresults/list/view?tql=testResult.projectKey%20IN%20('TQUALTCM')%20AND%20testRun.key%20IN%20('TQUALTCM-C685')%20AND%20testRun.onlyLastTestResult%20IS%20false&amp;jql=&amp;title=REPORTS.TEST_RESULTS_ADVANCED.TITLE" xr:uid="{00000000-0004-0000-0200-000003040000}"/>
    <hyperlink ref="N76" r:id="rId888" location="/reports/testresults/list/view?tql=testResult.projectKey%20IN%20('TQUALTCM')%20AND%20testRun.key%20IN%20('TQUALTCM-C934')%20AND%20testRun.onlyLastTestResult%20IS%20false&amp;jql=&amp;title=REPORTS.TEST_RESULTS_ADVANCED.TITLE" xr:uid="{00000000-0004-0000-0200-000004040000}"/>
    <hyperlink ref="O76" r:id="rId889" location="/reports/testresults/list/view?tql=testResult.projectKey%20IN%20('TQUALTCM')%20AND%20testRun.key%20IN%20('TQUALTCM-C910')%20AND%20testRun.onlyLastTestResult%20IS%20false&amp;jql=&amp;title=REPORTS.TEST_RESULTS_ADVANCED.TITLE" xr:uid="{00000000-0004-0000-0200-000005040000}"/>
    <hyperlink ref="P76" r:id="rId890" location="/reports/testresults/list/view?tql=testResult.projectKey%20IN%20('TQUALTCM')%20AND%20testRun.key%20IN%20('TQUALTCM-C911')%20AND%20testRun.onlyLastTestResult%20IS%20false&amp;jql=&amp;title=REPORTS.TEST_RESULTS_ADVANCED.TITLE" xr:uid="{00000000-0004-0000-0200-000006040000}"/>
    <hyperlink ref="S76" r:id="rId891" location="/reports/testresults/list/view?tql=testResult.projectKey%20IN%20('TQUALTCM')%20AND%20testRun.key%20IN%20('TQUALTCM-C913')%20AND%20testRun.onlyLastTestResult%20IS%20false&amp;jql=&amp;title=REPORTS.TEST_RESULTS_ADVANCED.TITLE" xr:uid="{00000000-0004-0000-0200-000007040000}"/>
    <hyperlink ref="T76" r:id="rId892" location="/reports/testresults/list/view?tql=testResult.projectKey%20IN%20('TQUALTCM')%20AND%20testRun.key%20IN%20('TQUALTCM-C912')%20AND%20testRun.onlyLastTestResult%20IS%20false&amp;jql=&amp;title=REPORTS.TEST_RESULTS_ADVANCED.TITLE" xr:uid="{00000000-0004-0000-0200-000008040000}"/>
    <hyperlink ref="X76" r:id="rId893" location="/reports/testresults/list/view?tql=testResult.projectKey%20IN%20('TQUALTCM')%20AND%20testRun.key%20IN%20('TQUALTCM-C1065')%20AND%20testRun.onlyLastTestResult%20IS%20false&amp;jql=&amp;title=REPORTS.TEST_RESULTS_ADVANCED.TITLE" xr:uid="{00000000-0004-0000-0200-000009040000}"/>
    <hyperlink ref="Y76" r:id="rId894" xr:uid="{00000000-0004-0000-0200-00000A040000}"/>
    <hyperlink ref="AA76" r:id="rId895" location="/testCycle/TQUALTCM-C2708" xr:uid="{00000000-0004-0000-0200-00000B040000}"/>
    <hyperlink ref="AB76" r:id="rId896" location="/reports/testresults/list/view?tql=testResult.projectKey%20IN%20('TQUALTCM')%20AND%20testRun.key%20IN%20('TQUALTCM-C918')%20AND%20testRun.onlyLastTestResult%20IS%20false&amp;jql=&amp;title=REPORTS.TEST_RESULTS_ADVANCED.TITLE" xr:uid="{00000000-0004-0000-0200-00000C040000}"/>
    <hyperlink ref="AF76" r:id="rId897" location="/reports/testresults/list/view?tql=testResult.projectKey%20IN%20('TQUALTCM')%20AND%20testRun.key%20IN%20('TQUALTCM-C919')%20AND%20testRun.onlyLastTestResult%20IS%20false&amp;jql=&amp;title=REPORTS.TEST_RESULTS_ADVANCED.TITLE" xr:uid="{00000000-0004-0000-0200-00000E040000}"/>
    <hyperlink ref="AG76" r:id="rId898" location="/reports/testresults/list/view?tql=testResult.projectKey%20IN%20('TQUALTCM')%20AND%20testRun.key%20IN%20('TQUALTCM-C921')%20AND%20testRun.onlyLastTestResult%20IS%20false&amp;jql=&amp;title=REPORTS.TEST_RESULTS_ADVANCED.TITLE" xr:uid="{00000000-0004-0000-0200-00000F040000}"/>
    <hyperlink ref="AH76" r:id="rId899" location="/reports/testresults/list/view?tql=testResult.projectKey%20IN%20('TQUALTCM')%20AND%20testRun.key%20IN%20('TQUALTCM-C923')%20AND%20testRun.onlyLastTestResult%20IS%20false&amp;jql=&amp;title=REPORTS.TEST_RESULTS_ADVANCED.TITLE" xr:uid="{00000000-0004-0000-0200-000010040000}"/>
    <hyperlink ref="AI76" r:id="rId900" location="/reports/testresults/list/view?tql=testResult.projectKey%20IN%20('TQUALTCM')%20AND%20testRun.key%20IN%20('TQUALTCM-C922')%20AND%20testRun.onlyLastTestResult%20IS%20false&amp;jql=&amp;title=REPORTS.TEST_RESULTS_ADVANCED.TITLE" xr:uid="{00000000-0004-0000-0200-000011040000}"/>
    <hyperlink ref="AJ76" r:id="rId901" location="/reports/testresults/list/view?tql=testResult.projectKey%20IN%20('TQUALTCM')%20AND%20testRun.key%20IN%20('TQUALTCM-C924')%20AND%20testRun.onlyLastTestResult%20IS%20false&amp;jql=&amp;title=REPORTS.TEST_RESULTS_ADVANCED.TITLE" xr:uid="{00000000-0004-0000-0200-000012040000}"/>
    <hyperlink ref="AK76" r:id="rId902" location="/reports/testresults/list/view?tql=testResult.projectKey%20IN%20('TQUALTCM')%20AND%20testRun.key%20IN%20('TQUALTCM-C926')%20AND%20testRun.onlyLastTestResult%20IS%20false&amp;jql=&amp;title=REPORTS.TEST_RESULTS_ADVANCED.TITL" xr:uid="{00000000-0004-0000-0200-000013040000}"/>
    <hyperlink ref="AL76" r:id="rId903" location="/reports/testresults/list/view?tql=testResult.projectKey%20IN%20('TQUALTCM')%20AND%20testRun.key%20IN%20('TQUALTCM-C1104')%20AND%20testRun.onlyLastTestResult%20IS%20false&amp;jql=&amp;title=REPORTS.TEST_RESULTS_ADVANCED.TITL" xr:uid="{00000000-0004-0000-0200-000014040000}"/>
    <hyperlink ref="AM76" r:id="rId904" location="/reports/testresults/list/view?tql=testResult.projectKey%20IN%20('TQUALTCM')%20AND%20testRun.key%20IN%20('TQUALTCM-C927')%20AND%20testRun.onlyLastTestResult%20IS%20false&amp;jql=&amp;title=REPORTS.TEST_RESULTS_ADVANCED.TITL" xr:uid="{00000000-0004-0000-0200-000015040000}"/>
    <hyperlink ref="AN76" r:id="rId905" location="/reports/testresults/list/view?tql=testResult.projectKey%20IN%20('TQUALTCM')%20AND%20testRun.key%20IN%20('TQUALTCM-C709')%20AND%20testRun.onlyLastTestResult%20IS%20false&amp;jql=&amp;title=REPORTS.TEST_RESULTS_ADVANCED.TITLE" xr:uid="{00000000-0004-0000-0200-000016040000}"/>
    <hyperlink ref="AR76" r:id="rId906" location="/reports/testresults/list/view?tql=testResult.projectKey%20IN%20('TQUALTCM')%20AND%20testRun.key%20IN%20('TQUALTCM-C931')%20AND%20testRun.onlyLastTestResult%20IS%20false&amp;jql=&amp;title=REPORTS.TEST_RESULTS_ADVANCED.TITLE" xr:uid="{00000000-0004-0000-0200-000019040000}"/>
    <hyperlink ref="AS76" r:id="rId907" location="/reports/testresults/list/view?tql=testResult.projectKey%20IN%20('TQUALTCM')%20AND%20testRun.key%20IN%20('TQUALTCM-C932')%20AND%20testRun.onlyLastTestResult%20IS%20false&amp;jql=&amp;title=REPORTS.TEST_RESULTS_ADVANCED.TITLE" xr:uid="{00000000-0004-0000-0200-00001A040000}"/>
    <hyperlink ref="AT76" r:id="rId908" location="/reports/testresults/list/view?tql=testResult.projectKey%20IN%20('TQUALTCM')%20AND%20testRun.key%20IN%20('TQUALTCM-C933')%20AND%20testRun.onlyLastTestResult%20IS%20false&amp;jql=&amp;title=REPORTS.TEST_RESULTS_ADVANCED.TITLE" xr:uid="{00000000-0004-0000-0200-00001B040000}"/>
    <hyperlink ref="AV76" r:id="rId909" location="/reports/testresults/list/view?tql=testResult.projectKey%20IN%20('TQUALTCM')%20AND%20testRun.key%20IN%20('TQUALTCM-C901')%20AND%20testRun.onlyLastTestResult%20IS%20false&amp;jql=&amp;title=REPORTS.TEST_RESULTS_ADVANCED.TITLE" xr:uid="{00000000-0004-0000-0200-00001C040000}"/>
    <hyperlink ref="AW76" r:id="rId910" location="/reports/testresults/list/view?tql=testResult.projectKey%20IN%20('TQUALTCM')%20AND%20testRun.key%20IN%20('TQUALTCM-C902')%20AND%20testRun.onlyLastTestResult%20IS%20false&amp;jql=&amp;title=REPORTS.TEST_RESULTS_ADVANCED.TITLE" xr:uid="{00000000-0004-0000-0200-00001D040000}"/>
    <hyperlink ref="Q76" r:id="rId911" location="/reports/testresults/list/view?tql=testResult.projectKey%20IN%20('TQUALTCM')%20AND%20testRun.key%20IN%20('TQUALTCM-C903')%20AND%20testRun.onlyLastTestResult%20IS%20false&amp;jql=&amp;title=REPORTS.TEST_RESULTS_ADVANCED.TITLE" xr:uid="{00000000-0004-0000-0200-00001E040000}"/>
    <hyperlink ref="AX76" r:id="rId912" location="/reports/testresults/list/view?tql=testResult.projectKey%20IN%20('TQUALTCM')%20AND%20testRun.key%20IN%20('TQUALTCM-C904')%20AND%20testRun.onlyLastTestResult%20IS%20false&amp;jql=&amp;title=REPORTS.TEST_RESULTS_ADVANCED.TITLE" xr:uid="{00000000-0004-0000-0200-00001F040000}"/>
    <hyperlink ref="AY76" r:id="rId913" location="/reports/testresults/list/view?tql=testResult.projectKey%20IN%20('TQUALTCM')%20AND%20testRun.key%20IN%20('TQUALTCM-C914')%20AND%20testRun.onlyLastTestResult%20IS%20false&amp;jql=&amp;title=REPORTS.TEST_RESULTS_ADVANCED.TITLE" xr:uid="{00000000-0004-0000-0200-000020040000}"/>
    <hyperlink ref="AZ76" r:id="rId914" location="/reports/testresults/list/view?tql=testResult.projectKey%20IN%20('TQUALTCM')%20AND%20testRun.key%20IN%20('TQUALTCM-C915')%20AND%20testRun.onlyLastTestResult%20IS%20false&amp;jql=&amp;title=REPORTS.TEST_RESULTS_ADVANCED.TITLE" xr:uid="{00000000-0004-0000-0200-000021040000}"/>
    <hyperlink ref="BA76" r:id="rId915" location="/reports/testresults/list/view?tql=testResult.projectKey%20IN%20('TQUALTCM')%20AND%20testRun.key%20IN%20('TQUALTCM-C916')%20AND%20testRun.onlyLastTestResult%20IS%20false&amp;jql=&amp;title=REPORTS.TEST_RESULTS_ADVANCED.TITLE" xr:uid="{00000000-0004-0000-0200-000022040000}"/>
    <hyperlink ref="BB76" r:id="rId916" location="/reports/testresults/list/view?tql=testResult.projectKey%20IN%20('TQUALTCM')%20AND%20testRun.key%20IN%20('TQUALTCM-C900')%20AND%20testRun.onlyLastTestResult%20IS%20false&amp;jql=&amp;title=REPORTS.TEST_RESULTS_ADVANCED.TITLE" xr:uid="{00000000-0004-0000-0200-000023040000}"/>
    <hyperlink ref="BC76" r:id="rId917" location="/reports/testresults/list/view?tql=testResult.projectKey%20IN%20('TQUALTCM')%20AND%20testRun.key%20IN%20('TQUALTCM-C935')%20AND%20testRun.onlyLastTestResult%20IS%20false&amp;jql=&amp;title=REPORTS.TEST_RESULTS_ADVANCED.TITLE" xr:uid="{00000000-0004-0000-0200-000024040000}"/>
    <hyperlink ref="BD76" r:id="rId918" location="/reports/testresults/list/view?tql=testResult.projectKey%20IN%20('TQUALTCM')%20AND%20testRun.key%20IN%20('TQUALTCM-C898')%20AND%20testRun.onlyLastTestResult%20IS%20false&amp;jql=&amp;title=REPORTS.TEST_RESULTS_ADVANCED.TITLE" xr:uid="{00000000-0004-0000-0200-000025040000}"/>
    <hyperlink ref="BE76" r:id="rId919" location="/reports/testresults/list/view?tql=testResult.projectKey%20IN%20('TQUALTCM')%20AND%20testRun.key%20IN%20('TQUALTCM-C898')%20AND%20testRun.onlyLastTestResult%20IS%20false&amp;jql=&amp;title=REPORTS.TEST_RESULTS_ADVANCED.TITLE" xr:uid="{00000000-0004-0000-0200-000026040000}"/>
    <hyperlink ref="BF76" r:id="rId920" location="/reports/testresults/list/view?tql=testResult.projectKey%20IN%20('TQUALTCM')%20AND%20testRun.key%20IN%20('TQUALTCM-C906')%20AND%20testRun.onlyLastTestResult%20IS%20false&amp;jql=&amp;title=REPORTS.TEST_RESULTS_ADVANCED.TITLE" xr:uid="{00000000-0004-0000-0200-000027040000}"/>
    <hyperlink ref="BG76" r:id="rId921" location="/reports/testresults/list/view?tql=testResult.projectKey%20IN%20('TQUALTCM')%20AND%20testRun.key%20IN%20('TQUALTCM-C907')%20AND%20testRun.onlyLastTestResult%20IS%20false&amp;jql=&amp;title=REPORTS.TEST_RESULTS_ADVANCED.TITLE" xr:uid="{00000000-0004-0000-0200-000028040000}"/>
    <hyperlink ref="BH76" r:id="rId922" location="/reports/testresults/list/view?tql=testResult.projectKey%20IN%20('TQUALTCM')%20AND%20testRun.key%20IN%20('TQUALTCM-C908')%20AND%20testRun.onlyLastTestResult%20IS%20false&amp;jql=&amp;title=REPORTS.TEST_RESULTS_ADVANCED.TITLE" xr:uid="{00000000-0004-0000-0200-000029040000}"/>
    <hyperlink ref="BI76" r:id="rId923" location="/reports/testresults/list/view?tql=testResult.projectKey%20IN%20('TQUALTCM')%20AND%20testRun.key%20IN%20('TQUALTCM-C909')%20AND%20testRun.onlyLastTestResult%20IS%20false&amp;jql=&amp;title=REPORTS.TEST_RESULTS_ADVANCED.TITLE" xr:uid="{00000000-0004-0000-0200-00002A040000}"/>
    <hyperlink ref="BJ76" r:id="rId924" location="/reports/testresults/list/view?tql=testResult.projectKey%20IN%20('TQUALTCM')%20AND%20testRun.key%20IN%20('TQUALTCM-C1158')%20AND%20testRun.onlyLastTestResult%20IS%20false&amp;jql=&amp;title=REPORTS.TEST_RESULTS_ADVANCED.TITLE" xr:uid="{00000000-0004-0000-0200-00002B040000}"/>
    <hyperlink ref="BK76" r:id="rId925" location="/reports/testresults/list/view?tql=testResult.projectKey%20IN%20('TQUALTCM')%20AND%20testRun.key%20IN%20('TQUALTCM-C1157')%20AND%20testRun.onlyLastTestResult%20IS%20false&amp;jql=&amp;title=REPORTS.TEST_RESULTS_ADVANCED.TITLE" xr:uid="{00000000-0004-0000-0200-00002C040000}"/>
    <hyperlink ref="BL76" r:id="rId926" location="/reports/testresults/list/view?tql=testResult.projectKey%20IN%20('TQUALTCM')%20AND%20testRun.key%20IN%20('TQUALTCM-C936')%20AND%20testRun.onlyLastTestResult%20IS%20false&amp;jql=&amp;title=REPORTS.TEST_RESULTS_ADVANCED.TITL" xr:uid="{00000000-0004-0000-0200-00002D040000}"/>
    <hyperlink ref="D77" r:id="rId927" display="https://intranet.atlnz.lc/systest/Jira_Reports/testExecReport/jiraExecReport.php?testPlanKey=225&amp;projectKey=TQUALTCM&amp;Report=Report" xr:uid="{00000000-0004-0000-0200-00002E040000}"/>
    <hyperlink ref="I77" r:id="rId928" location="/reports/testresults/list/view?tql=testResult.projectKey%20IN%20('TQUALTCM')%20AND%20testRun.key%20IN%20('TQUALTCM-C1405')%20AND%20testRun.onlyLastTestResult%20IS%20false&amp;jql=&amp;title=REPORTS.TEST_RESULTS_ADVANCED.TITLE" xr:uid="{00000000-0004-0000-0200-00002F040000}"/>
    <hyperlink ref="N77" r:id="rId929" location="/reports/testresults/list/view?tql=testResult.projectKey%20IN%20('TQUALTCM')%20AND%20testRun.key%20IN%20('TQUALTCM-C1374')%20AND%20testRun.onlyLastTestResult%20IS%20false&amp;jql=&amp;title=REPORTS.TEST_RESULTS_ADVANCED.TITLE" xr:uid="{00000000-0004-0000-0200-000030040000}"/>
    <hyperlink ref="O77" r:id="rId930" location="/reports/testresults/list/view?tql=testResult.projectKey%20IN%20('TQUALTCM')%20AND%20testRun.key%20IN%20('TQUALTCM-C1395')%20AND%20testRun.onlyLastTestResult%20IS%20false&amp;jql=&amp;title=REPORTS.TEST_RESULTS_ADVANCED.TITLE" xr:uid="{00000000-0004-0000-0200-000031040000}"/>
    <hyperlink ref="P77" r:id="rId931" location="/reports/testresults/list/view?tql=testResult.projectKey%20IN%20('TQUALTCM')%20AND%20testRun.key%20IN%20('TQUALTCM-C1394')%20AND%20testRun.onlyLastTestResult%20IS%20false&amp;jql=&amp;title=REPORTS.TEST_RESULTS_ADVANCED.TITLE" xr:uid="{00000000-0004-0000-0200-000032040000}"/>
    <hyperlink ref="S77" r:id="rId932" location="/reports/testresults/list/view?tql=testResult.projectKey%20IN%20('TQUALTCM')%20AND%20testRun.key%20IN%20('TQUALTCM-C1392')%20AND%20testRun.onlyLastTestResult%20IS%20false&amp;jql=&amp;title=REPORTS.TEST_RESULTS_ADVANCED.TITLE" xr:uid="{00000000-0004-0000-0200-000033040000}"/>
    <hyperlink ref="T77" r:id="rId933" location="/reports/testresults/list/view?tql=testResult.projectKey%20IN%20('TQUALTCM')%20AND%20testRun.key%20IN%20('TQUALTCM-C1393')%20AND%20testRun.onlyLastTestResult%20IS%20false&amp;jql=&amp;title=REPORTS.TEST_RESULTS_ADVANCED.TITLE" xr:uid="{00000000-0004-0000-0200-000034040000}"/>
    <hyperlink ref="X77" r:id="rId934" location="/reports/testresults/list/view?tql=testResult.projectKey%20IN%20('TQUALTCM')%20AND%20testRun.key%20IN%20('TQUALTCM-C2941')%20AND%20testRun.onlyLastTestResult%20IS%20false&amp;jql=&amp;title=REPORTS.TEST_RESULTS_ADVANCED.TITLE" xr:uid="{00000000-0004-0000-0200-000035040000}"/>
    <hyperlink ref="AA77" r:id="rId935" location="/testCycle/TQUALTCM-C2725" xr:uid="{00000000-0004-0000-0200-000036040000}"/>
    <hyperlink ref="AB77" r:id="rId936" location="/reports/testresults/list/view?tql=testResult.projectKey%20IN%20('TQUALTCM')%20AND%20testRun.key%20IN%20('TQUALTCM-C1387')%20AND%20testRun.onlyLastTestResult%20IS%20false&amp;jql=&amp;title=REPORTS.TEST_RESULTS_ADVANCED.TITLE" xr:uid="{00000000-0004-0000-0200-000037040000}"/>
    <hyperlink ref="AF77" r:id="rId937" location="/reports/testresults/list/view?tql=testResult.projectKey%20IN%20('TQUALTCM')%20AND%20testRun.key%20IN%20('TQUALTCM-C1384')%20AND%20testRun.onlyLastTestResult%20IS%20false&amp;jql=&amp;title=REPORTS.TEST_RESULTS_ADVANCED.TITLE" xr:uid="{00000000-0004-0000-0200-000039040000}"/>
    <hyperlink ref="AG77" r:id="rId938" location="/reports/testresults/list/view?tql=testResult.projectKey%20IN%20('TQUALTCM')%20AND%20testRun.key%20IN%20('TQUALTCM-C1386')%20AND%20testRun.onlyLastTestResult%20IS%20false&amp;jql=&amp;title=REPORTS.TEST_RESULTS_ADVANCED.TITLE" xr:uid="{00000000-0004-0000-0200-00003A040000}"/>
    <hyperlink ref="AH77" r:id="rId939" location="/reports/testresults/list/view?tql=testResult.projectKey%20IN%20('TQUALTCM')%20AND%20testRun.key%20IN%20('TQUALTCM-C1379')%20AND%20testRun.onlyLastTestResult%20IS%20false&amp;jql=&amp;title=REPORTS.TEST_RESULTS_ADVANCED.TITLE" xr:uid="{00000000-0004-0000-0200-00003B040000}"/>
    <hyperlink ref="AJ77" r:id="rId940" location="/reports/testresults/list/view?tql=testResult.projectKey%20IN%20('TQUALTCM')%20AND%20testRun.key%20IN%20('TQUALTCM-C1377')%20AND%20testRun.onlyLastTestResult%20IS%20false&amp;jql=&amp;title=REPORTS.TEST_RESULTS_ADVANCED.TITLE" xr:uid="{00000000-0004-0000-0200-00003C040000}"/>
    <hyperlink ref="AK77" r:id="rId941" location="/reports/testresults/list/view?tql=testResult.projectKey%20IN%20('TQUALTCM')%20AND%20testRun.key%20IN%20('TQUALTCM-C1376')%20AND%20testRun.onlyLastTestResult%20IS%20false&amp;jql=&amp;title=REPORTS.TEST_RESULTS_ADVANCED.TITLE" xr:uid="{00000000-0004-0000-0200-00003D040000}"/>
    <hyperlink ref="AL77" r:id="rId942" location="/reports/testresults/list/view?tql=testResult.projectKey%20IN%20('TQUALTCM')%20AND%20testRun.key%20IN%20('TQUALTCM-C1375')%20AND%20testRun.onlyLastTestResult%20IS%20false&amp;jql=&amp;title=REPORTS.TEST_RESULTS_ADVANCED.TITLE" xr:uid="{00000000-0004-0000-0200-00003E040000}"/>
    <hyperlink ref="AM77" r:id="rId943" location="/reports/testresults/list/view?tql=testResult.projectKey%20IN%20('TQUALTCM')%20AND%20testRun.key%20IN%20('TQUALTCM-C1380')%20AND%20testRun.onlyLastTestResult%20IS%20false&amp;jql=&amp;title=REPORTS.TEST_RESULTS_ADVANCED.TITLE" xr:uid="{00000000-0004-0000-0200-00003F040000}"/>
    <hyperlink ref="AN77" r:id="rId944" location="/reports/testresults/list/view?tql=testResult.projectKey%20IN%20('TQUALTCM')%20AND%20testRun.key%20IN%20('TQUALTCM-C1606')%20AND%20testRun.onlyLastTestResult%20IS%20false&amp;jql=&amp;title=REPORTS.TEST_RESULTS_ADVANCED.TITLE" xr:uid="{00000000-0004-0000-0200-000040040000}"/>
    <hyperlink ref="AR77" r:id="rId945" location="/reports/testresults/list/view?tql=testResult.projectKey%20IN%20('TQUALTCM')%20AND%20testRun.key%20IN%20('TQUALTCM-C1402')%20AND%20testRun.onlyLastTestResult%20IS%20false&amp;jql=&amp;title=REPORTS.TEST_RESULTS_ADVANCED.TITLE" xr:uid="{00000000-0004-0000-0200-000043040000}"/>
    <hyperlink ref="AS77" r:id="rId946" location="/reports/testresults/list/view?tql=testResult.projectKey%20IN%20('TQUALTCM')%20AND%20testRun.key%20IN%20('TQUALTCM-C1401')%20AND%20testRun.onlyLastTestResult%20IS%20false&amp;jql=&amp;title=REPORTS.TEST_RESULTS_ADVANCED.TITLE" xr:uid="{00000000-0004-0000-0200-000044040000}"/>
    <hyperlink ref="AT77" r:id="rId947" location="/reports/testresults/list/view?tql=testResult.projectKey%20IN%20('TQUALTCM')%20AND%20testRun.key%20IN%20('TQUALTCM-C1400')%20AND%20testRun.onlyLastTestResult%20IS%20false&amp;jql=&amp;title=REPORTS.TEST_RESULTS_ADVANCED.TITLE" xr:uid="{00000000-0004-0000-0200-000045040000}"/>
    <hyperlink ref="Q77" r:id="rId948" location="/reports/testresults/list/view?tql=testResult.projectKey%20IN%20('TQUALTCM')%20AND%20testRun.key%20IN%20('TQUALTCM-C1407')%20AND%20testRun.onlyLastTestResult%20IS%20false&amp;jql=&amp;title=REPORTS.TEST_RESULTS_ADVANCED.TITLE" xr:uid="{00000000-0004-0000-0200-000046040000}"/>
    <hyperlink ref="AX77" r:id="rId949" location="/reports/testresults/list/view?tql=testResult.projectKey%20IN%20('TQUALTCM')%20AND%20testRun.key%20IN%20('TQUALTCM-C1406')%20AND%20testRun.onlyLastTestResult%20IS%20false&amp;jql=&amp;title=REPORTS.TEST_RESULTS_ADVANCED.TITLE" xr:uid="{00000000-0004-0000-0200-000047040000}"/>
    <hyperlink ref="BE77" r:id="rId950" location="/reports/testresults/list/view?tql=testResult.projectKey%20IN%20('TQUALTCM')%20AND%20testRun.key%20IN%20('TQUALTCM-C1411')%20AND%20testRun.onlyLastTestResult%20IS%20false&amp;jql=&amp;title=REPORTS.TEST_RESULTS_ADVANCED.TITLE" xr:uid="{00000000-0004-0000-0200-000048040000}"/>
    <hyperlink ref="BH77" r:id="rId951" location="/reports/testresults/list/view?tql=testResult.projectKey%20IN%20('TQUALTCM')%20AND%20testRun.key%20IN%20('TQUALTCM-C1396')%20AND%20testRun.onlyLastTestResult%20IS%20false&amp;jql=&amp;title=REPORTS.TEST_RESULTS_ADVANCED.TITLE" xr:uid="{00000000-0004-0000-0200-000049040000}"/>
    <hyperlink ref="D78" r:id="rId952" display="https://intranet.atlnz.lc/systest/Jira_Reports/testExecReport/jiraExecReport.php?testPlanKey=26&amp;projectKey=TQUALTCM&amp;Report=Report" xr:uid="{00000000-0004-0000-0200-00004A040000}"/>
    <hyperlink ref="E78" r:id="rId953" xr:uid="{00000000-0004-0000-0200-00004B040000}"/>
    <hyperlink ref="F78" r:id="rId954" xr:uid="{00000000-0004-0000-0200-00004C040000}"/>
    <hyperlink ref="G78" r:id="rId955" xr:uid="{00000000-0004-0000-0200-00004D040000}"/>
    <hyperlink ref="I78" r:id="rId956" location="/reports/testresults/list/view?tql=testResult.projectKey%20IN%20('TQUALTCM')%20AND%20testRun.key%20IN%20('TQUALTCM-C812')%20AND%20testRun.onlyLastTestResult%20IS%20false&amp;jql=&amp;title=REPORTS.TEST_RESULTS_ADVANCED.TITLE" xr:uid="{00000000-0004-0000-0200-00004E040000}"/>
    <hyperlink ref="N78" r:id="rId957" xr:uid="{00000000-0004-0000-0200-00004F040000}"/>
    <hyperlink ref="O78" r:id="rId958" xr:uid="{00000000-0004-0000-0200-000050040000}"/>
    <hyperlink ref="P78" r:id="rId959" xr:uid="{00000000-0004-0000-0200-000051040000}"/>
    <hyperlink ref="S78" r:id="rId960" xr:uid="{00000000-0004-0000-0200-000052040000}"/>
    <hyperlink ref="T78" r:id="rId961" xr:uid="{00000000-0004-0000-0200-000053040000}"/>
    <hyperlink ref="X78" r:id="rId962" location="/reports/testresults/list/view?tql=testResult.projectKey%20IN%20('TQUALTCM')%20AND%20testRun.key%20IN%20('TQUALTCM-C1072')%20AND%20testRun.onlyLastTestResult%20IS%20false&amp;jql=&amp;title=REPORTS.TEST_RESULTS_ADVANCED.TITLE" xr:uid="{00000000-0004-0000-0200-000054040000}"/>
    <hyperlink ref="Y78" r:id="rId963" location="/testPlayer/TQUALTCM-C3254" xr:uid="{00000000-0004-0000-0200-000055040000}"/>
    <hyperlink ref="AA78" r:id="rId964" location="/testPlayer/TQUALTCM-C2717" xr:uid="{00000000-0004-0000-0200-000056040000}"/>
    <hyperlink ref="AF78" r:id="rId965" location="/reports/testresults/list/view?tql=testResult.projectKey%20IN%20('TQUALTCM')%20AND%20testRun.key%20IN%20('TQUALTCM-C1273')%20AND%20testRun.onlyLastTestResult%20IS%20false&amp;jql=&amp;title=REPORTS.TEST_RESULTS_ADVANCED.TITLE" xr:uid="{00000000-0004-0000-0200-000058040000}"/>
    <hyperlink ref="AG78" r:id="rId966" xr:uid="{00000000-0004-0000-0200-000059040000}"/>
    <hyperlink ref="AH78" r:id="rId967" xr:uid="{00000000-0004-0000-0200-00005A040000}"/>
    <hyperlink ref="AI78" r:id="rId968" xr:uid="{00000000-0004-0000-0200-00005B040000}"/>
    <hyperlink ref="AJ78" r:id="rId969" xr:uid="{00000000-0004-0000-0200-00005C040000}"/>
    <hyperlink ref="AL78" r:id="rId970" location="/reports/testresults/list/view?tql=testResult.projectKey%20IN%20('TQUALTCM')%20AND%20testRun.key%20IN%20('TQUALTCM-C1081')%20AND%20testRun.onlyLastTestResult%20IS%20false&amp;jql=&amp;title=REPORTS.TEST_RESULTS_ADVANCED.TITL" xr:uid="{00000000-0004-0000-0200-00005D040000}"/>
    <hyperlink ref="AM78" r:id="rId971" xr:uid="{00000000-0004-0000-0200-00005E040000}"/>
    <hyperlink ref="AN78" r:id="rId972" location="/reports/testresults/list/view?tql=testResult.projectKey%20IN%20('TQUALTCM')%20AND%20testRun.key%20IN%20('TQUALTCM-C426')%20AND%20testRun.onlyLastTestResult%20IS%20false&amp;jql=&amp;title=REPORTS.TEST_RESULTS_ADVANCED.TITLE" xr:uid="{00000000-0004-0000-0200-00005F040000}"/>
    <hyperlink ref="AR78" r:id="rId973" location="/cycle?projectId=15704" xr:uid="{00000000-0004-0000-0200-000062040000}"/>
    <hyperlink ref="AS78" r:id="rId974" location="/reports/testresults/list/view?tql=testResult.projectKey%20IN%20('TQUALTCM')%20AND%20testRun.key%20IN%20('TQUALTCM-C59')%20AND%20testRun.onlyLastTestResult%20IS%20false&amp;jql=&amp;title=REPORTS.TEST_RESULTS_ADVANCED.TITLE&amp;period=MONTH&amp;traceabilityReportOption=C" xr:uid="{00000000-0004-0000-0200-000063040000}"/>
    <hyperlink ref="AT78" r:id="rId975" xr:uid="{00000000-0004-0000-0200-000064040000}"/>
    <hyperlink ref="AV78" r:id="rId976" xr:uid="{00000000-0004-0000-0200-000065040000}"/>
    <hyperlink ref="Q78" r:id="rId977" xr:uid="{00000000-0004-0000-0200-000066040000}"/>
    <hyperlink ref="R78" r:id="rId978" xr:uid="{00000000-0004-0000-0200-000067040000}"/>
    <hyperlink ref="AX78" r:id="rId979" xr:uid="{00000000-0004-0000-0200-000068040000}"/>
    <hyperlink ref="AY78" r:id="rId980" xr:uid="{00000000-0004-0000-0200-000069040000}"/>
    <hyperlink ref="AZ78" r:id="rId981" xr:uid="{00000000-0004-0000-0200-00006A040000}"/>
    <hyperlink ref="BA78" r:id="rId982" xr:uid="{00000000-0004-0000-0200-00006B040000}"/>
    <hyperlink ref="BB78" r:id="rId983" xr:uid="{00000000-0004-0000-0200-00006C040000}"/>
    <hyperlink ref="BC78" r:id="rId984" xr:uid="{00000000-0004-0000-0200-00006D040000}"/>
    <hyperlink ref="BD78" r:id="rId985" xr:uid="{00000000-0004-0000-0200-00006E040000}"/>
    <hyperlink ref="BE78" r:id="rId986" xr:uid="{00000000-0004-0000-0200-00006F040000}"/>
    <hyperlink ref="BF78" r:id="rId987" xr:uid="{00000000-0004-0000-0200-000070040000}"/>
    <hyperlink ref="BG78" r:id="rId988" xr:uid="{00000000-0004-0000-0200-000071040000}"/>
    <hyperlink ref="BH78" r:id="rId989" xr:uid="{00000000-0004-0000-0200-000072040000}"/>
    <hyperlink ref="BI78" r:id="rId990" xr:uid="{00000000-0004-0000-0200-000073040000}"/>
    <hyperlink ref="BJ78" r:id="rId991" xr:uid="{00000000-0004-0000-0200-000074040000}"/>
    <hyperlink ref="BK78" r:id="rId992" xr:uid="{00000000-0004-0000-0200-000075040000}"/>
    <hyperlink ref="BL78" r:id="rId993" xr:uid="{00000000-0004-0000-0200-000076040000}"/>
    <hyperlink ref="BM78" r:id="rId994" xr:uid="{00000000-0004-0000-0200-000077040000}"/>
    <hyperlink ref="BP78" r:id="rId995" xr:uid="{00000000-0004-0000-0200-000078040000}"/>
    <hyperlink ref="D79" r:id="rId996" display="https://intranet.atlnz.lc/systest/Jira_Reports/testExecReport/jiraExecReport.php?testPlanKey=233&amp;projectKey=TQUALTCM&amp;Report=Report" xr:uid="{00000000-0004-0000-0200-000079040000}"/>
    <hyperlink ref="E79" r:id="rId997" location="/reports/testresults/list/view?tql=testResult.projectKey%20IN%20('TQUALTCM')%20AND%20testRun.key%20IN%20('TQUALTCM-C937')%20AND%20testRun.onlyLastTestResult%20IS%20false&amp;jql=&amp;title=REPORTS.TEST_RESULTS_ADVANCED.TITLE" xr:uid="{00000000-0004-0000-0200-00007A040000}"/>
    <hyperlink ref="F79" r:id="rId998" location="/reports/testresults/list/view?tql=testResult.projectKey%20IN%20('TQUALTCM')%20AND%20testRun.key%20IN%20('TQUALTCM-C937')%20AND%20testRun.onlyLastTestResult%20IS%20false&amp;jql=&amp;title=REPORTS.TEST_RESULTS_ADVANCED.TITLE" xr:uid="{00000000-0004-0000-0200-00007B040000}"/>
    <hyperlink ref="G79" r:id="rId999" location="/reports/testresults/list/view?tql=testResult.projectKey%20IN%20('TQUALTCM')%20AND%20testRun.key%20IN%20('TQUALTCM-C1608')%20AND%20testRun.onlyLastTestResult%20IS%20true&amp;jql=&amp;title=REPORTS.TEST_RESULTS_ADVANCED.TITLE" xr:uid="{00000000-0004-0000-0200-00007C040000}"/>
    <hyperlink ref="I79" r:id="rId1000" location="/reports/testresults/list/view?tql=testResult.projectKey%20IN%20('TQUALTCM')%20AND%20testRun.key%20IN%20('TQUALTCM-C1617')%20AND%20testRun.onlyLastTestResult%20IS%20true&amp;jql=&amp;title=REPORTS.TEST_RESULTS_ADVANCED.TITLE" xr:uid="{00000000-0004-0000-0200-00007D040000}"/>
    <hyperlink ref="N79" r:id="rId1001" location="/reports/testresults/list/view?tql=testResult.projectKey%20IN%20('TQUALTCM')%20AND%20testRun.key%20IN%20('TQUALTCM-C1648')%20AND%20testRun.onlyLastTestResult%20IS%20true&amp;jql=&amp;title=REPORTS.TEST_RESULTS_ADVANCED.TITLE" xr:uid="{00000000-0004-0000-0200-00007E040000}"/>
    <hyperlink ref="O79" r:id="rId1002" location="/reports/testresults/list/view?tql=testResult.projectKey%20IN%20('TQUALTCM')%20AND%20testRun.key%20IN%20('TQUALTCM-C1627')%20AND%20testRun.onlyLastTestResult%20IS%20true&amp;jql=&amp;title=REPORTS.TEST_RESULTS_ADVANCED.TITLE" xr:uid="{00000000-0004-0000-0200-00007F040000}"/>
    <hyperlink ref="P79" r:id="rId1003" location="/reports/testresults/list/view?tql=testResult.projectKey%20IN%20('TQUALTCM')%20AND%20testRun.key%20IN%20('TQUALTCM-C1628')%20AND%20testRun.onlyLastTestResult%20IS%20true&amp;jql=&amp;title=REPORTS.TEST_RESULTS_ADVANCED.TITLE" xr:uid="{00000000-0004-0000-0200-000080040000}"/>
    <hyperlink ref="S79" r:id="rId1004" location="/reports/testresults/list/view?tql=testResult.projectKey%20IN%20('TQUALTCM')%20AND%20testRun.key%20IN%20('TQUALTCM-C1630')%20AND%20testRun.onlyLastTestResult%20IS%20true&amp;jql=&amp;title=REPORTS.TEST_RESULTS_ADVANCED.TITLE" xr:uid="{00000000-0004-0000-0200-000081040000}"/>
    <hyperlink ref="T79" r:id="rId1005" location="/reports/testresults/list/view?tql=testResult.projectKey%20IN%20('TQUALTCM')%20AND%20testRun.key%20IN%20('TQUALTCM-C1629')%20AND%20testRun.onlyLastTestResult%20IS%20true&amp;jql=&amp;title=REPORTS.TEST_RESULTS_ADVANCED.TITLE" xr:uid="{00000000-0004-0000-0200-000082040000}"/>
    <hyperlink ref="X79" r:id="rId1006" location="/reports/testresults/list/view?tql=testResult.projectKey%20IN%20('TQUALTCM')%20AND%20testRun.key%20IN%20('TQUALTCM-C1650')%20AND%20testRun.onlyLastTestResult%20IS%20true&amp;jql=&amp;title=REPORTS.TEST_RESULTS_ADVANCED.TITLE" xr:uid="{00000000-0004-0000-0200-000083040000}"/>
    <hyperlink ref="Y79" r:id="rId1007" xr:uid="{00000000-0004-0000-0200-000084040000}"/>
    <hyperlink ref="AA79" r:id="rId1008" location="/testCycle/TQUALTCM-C2711" xr:uid="{00000000-0004-0000-0200-000085040000}"/>
    <hyperlink ref="AB79" r:id="rId1009" location="/reports/testresults/list/view?tql=testResult.projectKey%20IN%20('TQUALTCM')%20AND%20testRun.key%20IN%20('TQUALTCM-C1634')%20AND%20testRun.onlyLastTestResult%20IS%20true&amp;jql=&amp;title=REPORTS.TEST_RESULTS_ADVANCED.TITLE" xr:uid="{00000000-0004-0000-0200-000086040000}"/>
    <hyperlink ref="AF79" r:id="rId1010" location="/reports/testresults/list/view?tql=testResult.projectKey%20IN%20('TQUALTCM')%20AND%20testRun.key%20IN%20('TQUALTCM-C1637')%20AND%20testRun.onlyLastTestResult%20IS%20true&amp;jql=&amp;title=REPORTS.TEST_RESULTS_ADVANCED.TITLE" xr:uid="{00000000-0004-0000-0200-000088040000}"/>
    <hyperlink ref="AG79" r:id="rId1011" location="/reports/testresults/list/view?tql=testResult.projectKey%20IN%20('TQUALTCM')%20AND%20testRun.key%20IN%20('TQUALTCM-C1635')%20AND%20testRun.onlyLastTestResult%20IS%20true&amp;jql=&amp;title=REPORTS.TEST_RESULTS_ADVANCED.TITLE" xr:uid="{00000000-0004-0000-0200-000089040000}"/>
    <hyperlink ref="AH79" r:id="rId1012" location="/reports/testresults/list/view?tql=testResult.projectKey%20IN%20('TQUALTCM')%20AND%20testRun.key%20IN%20('TQUALTCM-C1643')%20AND%20testRun.onlyLastTestResult%20IS%20true&amp;jql=&amp;title=REPORTS.TEST_RESULTS_ADVANCED.TITLE" xr:uid="{00000000-0004-0000-0200-00008A040000}"/>
    <hyperlink ref="AI79" r:id="rId1013" location="/reports/testresults/list/view?tql=testResult.projectKey%20IN%20('TQUALTCM')%20AND%20testRun.key%20IN%20('TQUALTCM-C1644')%20AND%20testRun.onlyLastTestResult%20IS%20true&amp;jql=&amp;title=REPORTS.TEST_RESULTS_ADVANCED.TITLE" xr:uid="{00000000-0004-0000-0200-00008B040000}"/>
    <hyperlink ref="AJ79" r:id="rId1014" location="/reports/testresults/list/view?tql=testResult.projectKey%20IN%20('TQUALTCM')%20AND%20testRun.key%20IN%20('TQUALTCM-C1645')%20AND%20testRun.onlyLastTestResult%20IS%20true&amp;jql=&amp;title=REPORTS.TEST_RESULTS_ADVANCED.TITLE" xr:uid="{00000000-0004-0000-0200-00008C040000}"/>
    <hyperlink ref="AK79" r:id="rId1015" location="/reports/testresults/list/view?tql=testResult.projectKey%20IN%20('TQUALTCM')%20AND%20testRun.key%20IN%20('TQUALTCM-C1646')%20AND%20testRun.onlyLastTestResult%20IS%20true&amp;jql=&amp;title=REPORTS.TEST_RESULTS_ADVANCED.TITLE" xr:uid="{00000000-0004-0000-0200-00008D040000}"/>
    <hyperlink ref="AL79" r:id="rId1016" location="/reports/testresults/list/view?tql=testResult.projectKey%20IN%20('TQUALTCM')%20AND%20testRun.key%20IN%20('TQUALTCM-C1647')%20AND%20testRun.onlyLastTestResult%20IS%20true&amp;jql=&amp;title=REPORTS.TEST_RESULTS_ADVANCED.TITLE" xr:uid="{00000000-0004-0000-0200-00008E040000}"/>
    <hyperlink ref="AM79" r:id="rId1017" location="/reports/testresults/list/view?tql=testResult.projectKey%20IN%20('TQUALTCM')%20AND%20testRun.key%20IN%20('TQUALTCM-C1641')%20AND%20testRun.onlyLastTestResult%20IS%20true&amp;jql=&amp;title=REPORTS.TEST_RESULTS_ADVANCED.TITLE" xr:uid="{00000000-0004-0000-0200-00008F040000}"/>
    <hyperlink ref="AN79" r:id="rId1018" location="/reports/testresults/list/view?tql=testResult.projectKey%20IN%20('TQUALTCM')%20AND%20testRun.key%20IN%20('TQUALTCM-C1642')%20AND%20testRun.onlyLastTestResult%20IS%20true&amp;jql=&amp;title=REPORTS.TEST_RESULTS_ADVANCED.TITLE" xr:uid="{00000000-0004-0000-0200-000090040000}"/>
    <hyperlink ref="AR79" r:id="rId1019" location="/reports/testresults/list/view?tql=testResult.projectKey%20IN%20('TQUALTCM')%20AND%20testRun.key%20IN%20('TQUALTCM-C1620')%20AND%20testRun.onlyLastTestResult%20IS%20true&amp;jql=&amp;title=REPORTS.TEST_RESULTS_ADVANCED.TITLE" xr:uid="{00000000-0004-0000-0200-000093040000}"/>
    <hyperlink ref="AS79" r:id="rId1020" location="/reports/testresults/list/view?tql=testResult.projectKey%20IN%20('TQUALTCM')%20AND%20testRun.key%20IN%20('TQUALTCM-C1783')%20AND%20testRun.onlyLastTestResult%20IS%20true&amp;jql=&amp;title=REPORTS.TEST_RESULTS_ADVANCED.TITLE" xr:uid="{00000000-0004-0000-0200-000094040000}"/>
    <hyperlink ref="AT79" r:id="rId1021" location="/reports/testresults/list/view?tql=testResult.projectKey%20IN%20('TQUALTCM')%20AND%20testRun.key%20IN%20('TQUALTCM-C1622')%20AND%20testRun.onlyLastTestResult%20IS%20true&amp;jql=&amp;title=REPORTS.TEST_RESULTS_ADVANCED.TITLE" xr:uid="{00000000-0004-0000-0200-000095040000}"/>
    <hyperlink ref="AV79" r:id="rId1022" location="/reports/testresults/list/view?tql=testResult.projectKey%20IN%20('TQUALTCM')%20AND%20testRun.key%20IN%20('TQUALTCM-C1613')%20AND%20testRun.onlyLastTestResult%20IS%20true&amp;jql=&amp;title=REPORTS.TEST_RESULTS_ADVANCED.TITLE" xr:uid="{00000000-0004-0000-0200-000096040000}"/>
    <hyperlink ref="AW79" r:id="rId1023" xr:uid="{00000000-0004-0000-0200-000097040000}"/>
    <hyperlink ref="Q79" r:id="rId1024" location="/reports/testresults/list/view?tql=testResult.projectKey%20IN%20('TQUALTCM')%20AND%20testRun.key%20IN%20('TQUALTCM-C1615')%20AND%20testRun.onlyLastTestResult%20IS%20true&amp;jql=&amp;title=REPORTS.TEST_RESULTS_ADVANCED.TITLE" xr:uid="{00000000-0004-0000-0200-000098040000}"/>
    <hyperlink ref="AX79" r:id="rId1025" location="/reports/testresults/list/view?tql=testResult.projectKey%20IN%20('TQUALTCM')%20AND%20testRun.key%20IN%20('TQUALTCM-C1616')%20AND%20testRun.onlyLastTestResult%20IS%20true&amp;jql=&amp;title=REPORTS.TEST_RESULTS_ADVANCED.TITLE" xr:uid="{00000000-0004-0000-0200-000099040000}"/>
    <hyperlink ref="AY79" r:id="rId1026" location="/reports/testresults/list/view?tql=testResult.projectKey%20IN%20('TQUALTCM')%20AND%20testRun.key%20IN%20('TQUALTCM-C1631')%20AND%20testRun.onlyLastTestResult%20IS%20true&amp;jql=&amp;title=REPORTS.TEST_RESULTS_ADVANCED.TITLE" xr:uid="{00000000-0004-0000-0200-00009A040000}"/>
    <hyperlink ref="AZ79" r:id="rId1027" location="/reports/testresults/list/view?tql=testResult.projectKey%20IN%20('TQUALTCM')%20AND%20testRun.key%20IN%20('TQUALTCM-C1632')%20AND%20testRun.onlyLastTestResult%20IS%20true&amp;jql=&amp;title=REPORTS.TEST_RESULTS_ADVANCED.TITLE" xr:uid="{00000000-0004-0000-0200-00009B040000}"/>
    <hyperlink ref="BA79" r:id="rId1028" location="/reports/testresults/list/view?tql=testResult.projectKey%20IN%20('TQUALTCM')%20AND%20testRun.key%20IN%20('TQUALTCM-C1633')%20AND%20testRun.onlyLastTestResult%20IS%20true&amp;jql=&amp;title=REPORTS.TEST_RESULTS_ADVANCED.TITLE" xr:uid="{00000000-0004-0000-0200-00009C040000}"/>
    <hyperlink ref="BB79" r:id="rId1029" location="/reports/testresults/list/view?tql=testResult.projectKey%20IN%20('TQUALTCM')%20AND%20testRun.key%20IN%20('TQUALTCM-C1612')%20AND%20testRun.onlyLastTestResult%20IS%20true&amp;jql=&amp;title=REPORTS.TEST_RESULTS_ADVANCED.TITLE" xr:uid="{00000000-0004-0000-0200-00009D040000}"/>
    <hyperlink ref="BC79" r:id="rId1030" location="/reports/testresults/list/view?tql=testResult.projectKey%20IN%20('TQUALTCM')%20AND%20testRun.key%20IN%20('TQUALTCM-C1609')%20AND%20testRun.onlyLastTestResult%20IS%20true&amp;jql=&amp;title=REPORTS.TEST_RESULTS_ADVANCED.TITLE" xr:uid="{00000000-0004-0000-0200-00009E040000}"/>
    <hyperlink ref="BD79" r:id="rId1031" location="/reports/testresults/list/view?tql=testResult.projectKey%20IN%20('TQUALTCM')%20AND%20testRun.key%20IN%20('TQUALTCM-C1610')%20AND%20testRun.onlyLastTestResult%20IS%20true&amp;jql=&amp;title=REPORTS.TEST_RESULTS_ADVANCED.TITLE" xr:uid="{00000000-0004-0000-0200-00009F040000}"/>
    <hyperlink ref="BE79" r:id="rId1032" location="/reports/testresults/list/view?tql=testResult.projectKey%20IN%20('TQUALTCM')%20AND%20testRun.key%20IN%20('TQUALTCM-C1611')%20AND%20testRun.onlyLastTestResult%20IS%20true&amp;jql=&amp;title=REPORTS.TEST_RESULTS_ADVANCED.TITLE" xr:uid="{00000000-0004-0000-0200-0000A0040000}"/>
    <hyperlink ref="BF79" r:id="rId1033" location="/reports/testresults/list/view?tql=testResult.projectKey%20IN%20('TQUALTCM')%20AND%20testRun.key%20IN%20('TQUALTCM-C1619')%20AND%20testRun.onlyLastTestResult%20IS%20true&amp;jql=&amp;title=REPORTS.TEST_RESULTS_ADVANCED.TITLE" xr:uid="{00000000-0004-0000-0200-0000A1040000}"/>
    <hyperlink ref="BG79" r:id="rId1034" location="/reports/testresults/list/view?tql=testResult.projectKey%20IN%20('TQUALTCM')%20AND%20testRun.key%20IN%20('TQUALTCM-C1618')%20AND%20testRun.onlyLastTestResult%20IS%20true&amp;jql=&amp;title=REPORTS.TEST_RESULTS_ADVANCED.TITLE" xr:uid="{00000000-0004-0000-0200-0000A2040000}"/>
    <hyperlink ref="BH79" r:id="rId1035" location="/reports/testresults/list/view?tql=testResult.projectKey%20IN%20('TQUALTCM')%20AND%20testRun.key%20IN%20('TQUALTCM-C1626')%20AND%20testRun.onlyLastTestResult%20IS%20true&amp;jql=&amp;title=REPORTS.TEST_RESULTS_ADVANCED.TITLE" xr:uid="{00000000-0004-0000-0200-0000A3040000}"/>
    <hyperlink ref="BI79" r:id="rId1036" location="/reports/testresults/list/view?tql=testResult.projectKey%20IN%20('TQUALTCM')%20AND%20testRun.key%20IN%20('TQUALTCM-C1625')%20AND%20testRun.onlyLastTestResult%20IS%20true&amp;jql=&amp;title=REPORTS.TEST_RESULTS_ADVANCED.TITLE" xr:uid="{00000000-0004-0000-0200-0000A4040000}"/>
    <hyperlink ref="BJ79" r:id="rId1037" location="/reports/testresults/list/view?tql=testResult.projectKey%20IN%20('TQUALTCM')%20AND%20testRun.key%20IN%20('TQUALTCM-C1639')%20AND%20testRun.onlyLastTestResult%20IS%20true&amp;jql=&amp;title=REPORTS.TEST_RESULTS_ADVANCED.TITLE" xr:uid="{00000000-0004-0000-0200-0000A5040000}"/>
    <hyperlink ref="BK79" r:id="rId1038" location="/reports/testresults/list/view?tql=testResult.projectKey%20IN%20('TQUALTCM')%20AND%20testRun.key%20IN%20('TQUALTCM-C1640')%20AND%20testRun.onlyLastTestResult%20IS%20true&amp;jql=&amp;title=REPORTS.TEST_RESULTS_ADVANCED.TITLE" xr:uid="{00000000-0004-0000-0200-0000A6040000}"/>
    <hyperlink ref="BL79" r:id="rId1039" location="/reports/testresults/list/view?tql=testResult.projectKey%20IN%20('TQUALTCM')%20AND%20testRun.key%20IN%20('TQUALTCM-C1640')%20AND%20testRun.onlyLastTestResult%20IS%20true&amp;jql=&amp;title=REPORTS.TEST_RESULTS_ADVANCED.TITLE" xr:uid="{00000000-0004-0000-0200-0000A7040000}"/>
    <hyperlink ref="F80" r:id="rId1040" xr:uid="{00000000-0004-0000-0200-0000A8040000}"/>
    <hyperlink ref="G80" r:id="rId1041" xr:uid="{00000000-0004-0000-0200-0000A9040000}"/>
    <hyperlink ref="I80" r:id="rId1042" xr:uid="{00000000-0004-0000-0200-0000AA040000}"/>
    <hyperlink ref="O80" r:id="rId1043" xr:uid="{00000000-0004-0000-0200-0000AB040000}"/>
    <hyperlink ref="P80" r:id="rId1044" xr:uid="{00000000-0004-0000-0200-0000AC040000}"/>
    <hyperlink ref="S80" r:id="rId1045" xr:uid="{00000000-0004-0000-0200-0000AD040000}"/>
    <hyperlink ref="T80" r:id="rId1046" xr:uid="{00000000-0004-0000-0200-0000AE040000}"/>
    <hyperlink ref="AH80" r:id="rId1047" xr:uid="{00000000-0004-0000-0200-0000AF040000}"/>
    <hyperlink ref="AI80" r:id="rId1048" xr:uid="{00000000-0004-0000-0200-0000B0040000}"/>
    <hyperlink ref="AL80" r:id="rId1049" xr:uid="{00000000-0004-0000-0200-0000B1040000}"/>
    <hyperlink ref="AM80" r:id="rId1050" xr:uid="{00000000-0004-0000-0200-0000B2040000}"/>
    <hyperlink ref="AN80" r:id="rId1051" xr:uid="{00000000-0004-0000-0200-0000B3040000}"/>
    <hyperlink ref="AT80" r:id="rId1052" xr:uid="{00000000-0004-0000-0200-0000B6040000}"/>
    <hyperlink ref="AV80" r:id="rId1053" xr:uid="{00000000-0004-0000-0200-0000B7040000}"/>
    <hyperlink ref="AW80" r:id="rId1054" xr:uid="{00000000-0004-0000-0200-0000B8040000}"/>
    <hyperlink ref="Q80" r:id="rId1055" xr:uid="{00000000-0004-0000-0200-0000B9040000}"/>
    <hyperlink ref="AX80" r:id="rId1056" xr:uid="{00000000-0004-0000-0200-0000BA040000}"/>
    <hyperlink ref="AY80" r:id="rId1057" xr:uid="{00000000-0004-0000-0200-0000BB040000}"/>
    <hyperlink ref="AZ80" r:id="rId1058" xr:uid="{00000000-0004-0000-0200-0000BC040000}"/>
    <hyperlink ref="BA80" r:id="rId1059" xr:uid="{00000000-0004-0000-0200-0000BD040000}"/>
    <hyperlink ref="BD80" r:id="rId1060" xr:uid="{00000000-0004-0000-0200-0000BE040000}"/>
    <hyperlink ref="BF80" r:id="rId1061" xr:uid="{00000000-0004-0000-0200-0000BF040000}"/>
    <hyperlink ref="BH80" r:id="rId1062" xr:uid="{00000000-0004-0000-0200-0000C0040000}"/>
    <hyperlink ref="BI80" r:id="rId1063" xr:uid="{00000000-0004-0000-0200-0000C1040000}"/>
    <hyperlink ref="BJ80" r:id="rId1064" xr:uid="{00000000-0004-0000-0200-0000C2040000}"/>
    <hyperlink ref="BK80" r:id="rId1065" xr:uid="{00000000-0004-0000-0200-0000C3040000}"/>
    <hyperlink ref="BL80" r:id="rId1066" xr:uid="{00000000-0004-0000-0200-0000C4040000}"/>
    <hyperlink ref="BM80" r:id="rId1067" xr:uid="{00000000-0004-0000-0200-0000C5040000}"/>
    <hyperlink ref="BN80" r:id="rId1068" xr:uid="{00000000-0004-0000-0200-0000C6040000}"/>
    <hyperlink ref="BO80" r:id="rId1069" xr:uid="{00000000-0004-0000-0200-0000C7040000}"/>
    <hyperlink ref="BP80" r:id="rId1070" xr:uid="{00000000-0004-0000-0200-0000C8040000}"/>
    <hyperlink ref="BQ80" r:id="rId1071" xr:uid="{00000000-0004-0000-0200-0000C9040000}"/>
    <hyperlink ref="BS80" r:id="rId1072" xr:uid="{00000000-0004-0000-0200-0000CA040000}"/>
    <hyperlink ref="BV80" r:id="rId1073" xr:uid="{00000000-0004-0000-0200-0000CB040000}"/>
    <hyperlink ref="BX80" r:id="rId1074" xr:uid="{00000000-0004-0000-0200-0000CC040000}"/>
    <hyperlink ref="BZ80" r:id="rId1075" xr:uid="{00000000-0004-0000-0200-0000CD040000}"/>
    <hyperlink ref="CA80" r:id="rId1076" xr:uid="{00000000-0004-0000-0200-0000CE040000}"/>
    <hyperlink ref="CD80" r:id="rId1077" xr:uid="{00000000-0004-0000-0200-0000CF040000}"/>
    <hyperlink ref="CF80" r:id="rId1078" xr:uid="{00000000-0004-0000-0200-0000D0040000}"/>
    <hyperlink ref="F81" r:id="rId1079" xr:uid="{00000000-0004-0000-0200-0000D1040000}"/>
    <hyperlink ref="G81" r:id="rId1080" xr:uid="{00000000-0004-0000-0200-0000D2040000}"/>
    <hyperlink ref="I81" r:id="rId1081" xr:uid="{00000000-0004-0000-0200-0000D3040000}"/>
    <hyperlink ref="O81" r:id="rId1082" xr:uid="{00000000-0004-0000-0200-0000D4040000}"/>
    <hyperlink ref="P81" r:id="rId1083" xr:uid="{00000000-0004-0000-0200-0000D5040000}"/>
    <hyperlink ref="S81" r:id="rId1084" xr:uid="{00000000-0004-0000-0200-0000D6040000}"/>
    <hyperlink ref="T81" r:id="rId1085" xr:uid="{00000000-0004-0000-0200-0000D7040000}"/>
    <hyperlink ref="AH81" r:id="rId1086" xr:uid="{00000000-0004-0000-0200-0000D8040000}"/>
    <hyperlink ref="AI81" r:id="rId1087" xr:uid="{00000000-0004-0000-0200-0000D9040000}"/>
    <hyperlink ref="AL81" r:id="rId1088" xr:uid="{00000000-0004-0000-0200-0000DA040000}"/>
    <hyperlink ref="AM81" r:id="rId1089" xr:uid="{00000000-0004-0000-0200-0000DB040000}"/>
    <hyperlink ref="AN81" r:id="rId1090" xr:uid="{00000000-0004-0000-0200-0000DC040000}"/>
    <hyperlink ref="AT81" r:id="rId1091" xr:uid="{00000000-0004-0000-0200-0000DF040000}"/>
    <hyperlink ref="AV81" r:id="rId1092" xr:uid="{00000000-0004-0000-0200-0000E0040000}"/>
    <hyperlink ref="AW81" r:id="rId1093" xr:uid="{00000000-0004-0000-0200-0000E1040000}"/>
    <hyperlink ref="Q81" r:id="rId1094" xr:uid="{00000000-0004-0000-0200-0000E2040000}"/>
    <hyperlink ref="AX81" r:id="rId1095" xr:uid="{00000000-0004-0000-0200-0000E3040000}"/>
    <hyperlink ref="AY81" r:id="rId1096" xr:uid="{00000000-0004-0000-0200-0000E4040000}"/>
    <hyperlink ref="AZ81" r:id="rId1097" xr:uid="{00000000-0004-0000-0200-0000E5040000}"/>
    <hyperlink ref="BA81" r:id="rId1098" xr:uid="{00000000-0004-0000-0200-0000E6040000}"/>
    <hyperlink ref="BD81" r:id="rId1099" xr:uid="{00000000-0004-0000-0200-0000E7040000}"/>
    <hyperlink ref="BF81" r:id="rId1100" xr:uid="{00000000-0004-0000-0200-0000E8040000}"/>
    <hyperlink ref="BH81" r:id="rId1101" xr:uid="{00000000-0004-0000-0200-0000E9040000}"/>
    <hyperlink ref="BI81" r:id="rId1102" xr:uid="{00000000-0004-0000-0200-0000EA040000}"/>
    <hyperlink ref="BJ81" r:id="rId1103" xr:uid="{00000000-0004-0000-0200-0000EB040000}"/>
    <hyperlink ref="BK81" r:id="rId1104" xr:uid="{00000000-0004-0000-0200-0000EC040000}"/>
    <hyperlink ref="BL81" r:id="rId1105" xr:uid="{00000000-0004-0000-0200-0000ED040000}"/>
    <hyperlink ref="BM81" r:id="rId1106" xr:uid="{00000000-0004-0000-0200-0000EE040000}"/>
    <hyperlink ref="BN81" r:id="rId1107" xr:uid="{00000000-0004-0000-0200-0000EF040000}"/>
    <hyperlink ref="BO81" r:id="rId1108" xr:uid="{00000000-0004-0000-0200-0000F0040000}"/>
    <hyperlink ref="BP81" r:id="rId1109" xr:uid="{00000000-0004-0000-0200-0000F1040000}"/>
    <hyperlink ref="BQ81" r:id="rId1110" xr:uid="{00000000-0004-0000-0200-0000F2040000}"/>
    <hyperlink ref="BS81" r:id="rId1111" xr:uid="{00000000-0004-0000-0200-0000F3040000}"/>
    <hyperlink ref="BV81" r:id="rId1112" xr:uid="{00000000-0004-0000-0200-0000F4040000}"/>
    <hyperlink ref="BX81" r:id="rId1113" xr:uid="{00000000-0004-0000-0200-0000F5040000}"/>
    <hyperlink ref="BZ81" r:id="rId1114" xr:uid="{00000000-0004-0000-0200-0000F6040000}"/>
    <hyperlink ref="CA81" r:id="rId1115" xr:uid="{00000000-0004-0000-0200-0000F7040000}"/>
    <hyperlink ref="CD81" r:id="rId1116" xr:uid="{00000000-0004-0000-0200-0000F8040000}"/>
    <hyperlink ref="CF81" r:id="rId1117" xr:uid="{00000000-0004-0000-0200-0000F9040000}"/>
    <hyperlink ref="BM82" r:id="rId1118" xr:uid="{00000000-0004-0000-0200-0000FA040000}"/>
    <hyperlink ref="BP82" r:id="rId1119" xr:uid="{00000000-0004-0000-0200-0000FB040000}"/>
    <hyperlink ref="BT82" r:id="rId1120" xr:uid="{00000000-0004-0000-0200-0000FC040000}"/>
    <hyperlink ref="CA82" r:id="rId1121" xr:uid="{00000000-0004-0000-0200-0000FD040000}"/>
    <hyperlink ref="CC82" r:id="rId1122" xr:uid="{00000000-0004-0000-0200-0000FE040000}"/>
    <hyperlink ref="CD82" r:id="rId1123" xr:uid="{00000000-0004-0000-0200-0000FF040000}"/>
    <hyperlink ref="CF82" r:id="rId1124" xr:uid="{00000000-0004-0000-0200-000000050000}"/>
    <hyperlink ref="BM83" r:id="rId1125" xr:uid="{00000000-0004-0000-0200-000001050000}"/>
    <hyperlink ref="BP83" r:id="rId1126" xr:uid="{00000000-0004-0000-0200-000002050000}"/>
    <hyperlink ref="BT83" r:id="rId1127" xr:uid="{00000000-0004-0000-0200-000003050000}"/>
    <hyperlink ref="CA83" r:id="rId1128" xr:uid="{00000000-0004-0000-0200-000004050000}"/>
    <hyperlink ref="CC83" r:id="rId1129" xr:uid="{00000000-0004-0000-0200-000005050000}"/>
    <hyperlink ref="CD83" r:id="rId1130" xr:uid="{00000000-0004-0000-0200-000006050000}"/>
    <hyperlink ref="CF83" r:id="rId1131" xr:uid="{00000000-0004-0000-0200-000007050000}"/>
    <hyperlink ref="BM84" r:id="rId1132" xr:uid="{00000000-0004-0000-0200-000008050000}"/>
    <hyperlink ref="BN84" r:id="rId1133" xr:uid="{00000000-0004-0000-0200-000009050000}"/>
    <hyperlink ref="BO84" r:id="rId1134" xr:uid="{00000000-0004-0000-0200-00000A050000}"/>
    <hyperlink ref="BP84" r:id="rId1135" xr:uid="{00000000-0004-0000-0200-00000B050000}"/>
    <hyperlink ref="BS84" r:id="rId1136" xr:uid="{00000000-0004-0000-0200-00000C050000}"/>
    <hyperlink ref="BT84" r:id="rId1137" xr:uid="{00000000-0004-0000-0200-00000D050000}"/>
    <hyperlink ref="BV84" r:id="rId1138" xr:uid="{00000000-0004-0000-0200-00000E050000}"/>
    <hyperlink ref="BX84" r:id="rId1139" xr:uid="{00000000-0004-0000-0200-00000F050000}"/>
    <hyperlink ref="CA84" r:id="rId1140" xr:uid="{00000000-0004-0000-0200-000010050000}"/>
    <hyperlink ref="CC84" r:id="rId1141" xr:uid="{00000000-0004-0000-0200-000011050000}"/>
    <hyperlink ref="CD84" r:id="rId1142" xr:uid="{00000000-0004-0000-0200-000012050000}"/>
    <hyperlink ref="CF84" r:id="rId1143" xr:uid="{00000000-0004-0000-0200-000013050000}"/>
    <hyperlink ref="BM85" r:id="rId1144" xr:uid="{00000000-0004-0000-0200-000014050000}"/>
    <hyperlink ref="BN85" r:id="rId1145" xr:uid="{00000000-0004-0000-0200-000015050000}"/>
    <hyperlink ref="BO85" r:id="rId1146" xr:uid="{00000000-0004-0000-0200-000016050000}"/>
    <hyperlink ref="BP85" r:id="rId1147" xr:uid="{00000000-0004-0000-0200-000017050000}"/>
    <hyperlink ref="BS85" r:id="rId1148" xr:uid="{00000000-0004-0000-0200-000018050000}"/>
    <hyperlink ref="BT85" r:id="rId1149" xr:uid="{00000000-0004-0000-0200-000019050000}"/>
    <hyperlink ref="BV85" r:id="rId1150" xr:uid="{00000000-0004-0000-0200-00001A050000}"/>
    <hyperlink ref="BX85" r:id="rId1151" xr:uid="{00000000-0004-0000-0200-00001B050000}"/>
    <hyperlink ref="CA85" r:id="rId1152" xr:uid="{00000000-0004-0000-0200-00001C050000}"/>
    <hyperlink ref="CC85" r:id="rId1153" xr:uid="{00000000-0004-0000-0200-00001D050000}"/>
    <hyperlink ref="CD85" r:id="rId1154" xr:uid="{00000000-0004-0000-0200-00001E050000}"/>
    <hyperlink ref="CF85" r:id="rId1155" xr:uid="{00000000-0004-0000-0200-00001F050000}"/>
    <hyperlink ref="BM86" r:id="rId1156" xr:uid="{00000000-0004-0000-0200-000020050000}"/>
    <hyperlink ref="BP86" r:id="rId1157" xr:uid="{00000000-0004-0000-0200-000021050000}"/>
    <hyperlink ref="BJ87" r:id="rId1158" xr:uid="{00000000-0004-0000-0200-000022050000}"/>
    <hyperlink ref="BK87" r:id="rId1159" xr:uid="{00000000-0004-0000-0200-000023050000}"/>
    <hyperlink ref="BM87" r:id="rId1160" xr:uid="{00000000-0004-0000-0200-000024050000}"/>
    <hyperlink ref="BN87" r:id="rId1161" xr:uid="{00000000-0004-0000-0200-000025050000}"/>
    <hyperlink ref="BO87" r:id="rId1162" xr:uid="{00000000-0004-0000-0200-000026050000}"/>
    <hyperlink ref="BP87" r:id="rId1163" xr:uid="{00000000-0004-0000-0200-000027050000}"/>
    <hyperlink ref="BS87" r:id="rId1164" xr:uid="{00000000-0004-0000-0200-000028050000}"/>
    <hyperlink ref="BT87" r:id="rId1165" xr:uid="{00000000-0004-0000-0200-000029050000}"/>
    <hyperlink ref="BV87" r:id="rId1166" xr:uid="{00000000-0004-0000-0200-00002A050000}"/>
    <hyperlink ref="BW87" r:id="rId1167" xr:uid="{00000000-0004-0000-0200-00002B050000}"/>
    <hyperlink ref="BX87" r:id="rId1168" xr:uid="{00000000-0004-0000-0200-00002C050000}"/>
    <hyperlink ref="BZ87" r:id="rId1169" xr:uid="{00000000-0004-0000-0200-00002D050000}"/>
    <hyperlink ref="CA87" r:id="rId1170" xr:uid="{00000000-0004-0000-0200-00002E050000}"/>
    <hyperlink ref="CC87" r:id="rId1171" xr:uid="{00000000-0004-0000-0200-00002F050000}"/>
    <hyperlink ref="CD87" r:id="rId1172" xr:uid="{00000000-0004-0000-0200-000030050000}"/>
    <hyperlink ref="CF87" r:id="rId1173" xr:uid="{00000000-0004-0000-0200-000031050000}"/>
    <hyperlink ref="BJ88" r:id="rId1174" xr:uid="{00000000-0004-0000-0200-000032050000}"/>
    <hyperlink ref="BK88" r:id="rId1175" xr:uid="{00000000-0004-0000-0200-000033050000}"/>
    <hyperlink ref="BL88" r:id="rId1176" xr:uid="{00000000-0004-0000-0200-000034050000}"/>
    <hyperlink ref="BM88" r:id="rId1177" xr:uid="{00000000-0004-0000-0200-000035050000}"/>
    <hyperlink ref="BP88" r:id="rId1178" xr:uid="{00000000-0004-0000-0200-000036050000}"/>
    <hyperlink ref="BT88" r:id="rId1179" xr:uid="{00000000-0004-0000-0200-000037050000}"/>
    <hyperlink ref="CA88" r:id="rId1180" xr:uid="{00000000-0004-0000-0200-000038050000}"/>
    <hyperlink ref="CC88" r:id="rId1181" xr:uid="{00000000-0004-0000-0200-000039050000}"/>
    <hyperlink ref="CD88" r:id="rId1182" xr:uid="{00000000-0004-0000-0200-00003A050000}"/>
    <hyperlink ref="CF88" r:id="rId1183" xr:uid="{00000000-0004-0000-0200-00003B050000}"/>
    <hyperlink ref="BM90" r:id="rId1184" xr:uid="{00000000-0004-0000-0200-00003C050000}"/>
    <hyperlink ref="BN90" r:id="rId1185" xr:uid="{00000000-0004-0000-0200-00003D050000}"/>
    <hyperlink ref="BO90" r:id="rId1186" xr:uid="{00000000-0004-0000-0200-00003E050000}"/>
    <hyperlink ref="BP90" r:id="rId1187" xr:uid="{00000000-0004-0000-0200-00003F050000}"/>
    <hyperlink ref="BS90" r:id="rId1188" xr:uid="{00000000-0004-0000-0200-000040050000}"/>
    <hyperlink ref="CF90" r:id="rId1189" xr:uid="{00000000-0004-0000-0200-000041050000}"/>
    <hyperlink ref="BT91" r:id="rId1190" xr:uid="{00000000-0004-0000-0200-000042050000}"/>
    <hyperlink ref="BV91" r:id="rId1191" xr:uid="{00000000-0004-0000-0200-000043050000}"/>
    <hyperlink ref="BW91" r:id="rId1192" xr:uid="{00000000-0004-0000-0200-000044050000}"/>
    <hyperlink ref="BZ91" r:id="rId1193" xr:uid="{00000000-0004-0000-0200-000045050000}"/>
    <hyperlink ref="CA91" r:id="rId1194" xr:uid="{00000000-0004-0000-0200-000046050000}"/>
    <hyperlink ref="CC91" r:id="rId1195" xr:uid="{00000000-0004-0000-0200-000047050000}"/>
    <hyperlink ref="CD91" r:id="rId1196" xr:uid="{00000000-0004-0000-0200-000048050000}"/>
    <hyperlink ref="CF91" r:id="rId1197" xr:uid="{00000000-0004-0000-0200-000049050000}"/>
    <hyperlink ref="AZ92" r:id="rId1198" xr:uid="{00000000-0004-0000-0200-00004A050000}"/>
    <hyperlink ref="BJ92" r:id="rId1199" xr:uid="{00000000-0004-0000-0200-00004B050000}"/>
    <hyperlink ref="BK92" r:id="rId1200" xr:uid="{00000000-0004-0000-0200-00004C050000}"/>
    <hyperlink ref="BL92" r:id="rId1201" xr:uid="{00000000-0004-0000-0200-00004D050000}"/>
    <hyperlink ref="BM92" r:id="rId1202" xr:uid="{00000000-0004-0000-0200-00004E050000}"/>
    <hyperlink ref="BN92" r:id="rId1203" xr:uid="{00000000-0004-0000-0200-00004F050000}"/>
    <hyperlink ref="BO92" r:id="rId1204" xr:uid="{00000000-0004-0000-0200-000050050000}"/>
    <hyperlink ref="BP92" r:id="rId1205" xr:uid="{00000000-0004-0000-0200-000051050000}"/>
    <hyperlink ref="BS92" r:id="rId1206" xr:uid="{00000000-0004-0000-0200-000052050000}"/>
    <hyperlink ref="BV92" r:id="rId1207" xr:uid="{00000000-0004-0000-0200-000053050000}"/>
    <hyperlink ref="BW92" r:id="rId1208" xr:uid="{00000000-0004-0000-0200-000054050000}"/>
    <hyperlink ref="BX92" r:id="rId1209" xr:uid="{00000000-0004-0000-0200-000055050000}"/>
    <hyperlink ref="BM93" r:id="rId1210" xr:uid="{00000000-0004-0000-0200-000056050000}"/>
    <hyperlink ref="BP93" r:id="rId1211" xr:uid="{00000000-0004-0000-0200-000057050000}"/>
    <hyperlink ref="BM94" r:id="rId1212" xr:uid="{00000000-0004-0000-0200-000058050000}"/>
    <hyperlink ref="BP94" r:id="rId1213" xr:uid="{00000000-0004-0000-0200-000059050000}"/>
    <hyperlink ref="I96" r:id="rId1214" xr:uid="{00000000-0004-0000-0200-00005A050000}"/>
    <hyperlink ref="N96" r:id="rId1215" xr:uid="{00000000-0004-0000-0200-00005B050000}"/>
    <hyperlink ref="O96" r:id="rId1216" xr:uid="{00000000-0004-0000-0200-00005C050000}"/>
    <hyperlink ref="P96" r:id="rId1217" xr:uid="{00000000-0004-0000-0200-00005D050000}"/>
    <hyperlink ref="S96" r:id="rId1218" xr:uid="{00000000-0004-0000-0200-00005E050000}"/>
    <hyperlink ref="T96" r:id="rId1219" xr:uid="{00000000-0004-0000-0200-00005F050000}"/>
    <hyperlink ref="AF96" r:id="rId1220" xr:uid="{00000000-0004-0000-0200-000061050000}"/>
    <hyperlink ref="AG96" r:id="rId1221" xr:uid="{00000000-0004-0000-0200-000062050000}"/>
    <hyperlink ref="AH96" r:id="rId1222" xr:uid="{00000000-0004-0000-0200-000063050000}"/>
    <hyperlink ref="AI96" r:id="rId1223" xr:uid="{00000000-0004-0000-0200-000064050000}"/>
    <hyperlink ref="AJ96" r:id="rId1224" xr:uid="{00000000-0004-0000-0200-000065050000}"/>
    <hyperlink ref="AK96" r:id="rId1225" xr:uid="{00000000-0004-0000-0200-000066050000}"/>
    <hyperlink ref="AL96" r:id="rId1226" xr:uid="{00000000-0004-0000-0200-000067050000}"/>
    <hyperlink ref="AM96" r:id="rId1227" xr:uid="{00000000-0004-0000-0200-000068050000}"/>
    <hyperlink ref="AN96" r:id="rId1228" xr:uid="{00000000-0004-0000-0200-000069050000}"/>
    <hyperlink ref="AT96" r:id="rId1229" xr:uid="{00000000-0004-0000-0200-00006C050000}"/>
    <hyperlink ref="AV96" r:id="rId1230" xr:uid="{00000000-0004-0000-0200-00006D050000}"/>
    <hyperlink ref="AW96" r:id="rId1231" xr:uid="{00000000-0004-0000-0200-00006E050000}"/>
    <hyperlink ref="Q96" r:id="rId1232" xr:uid="{00000000-0004-0000-0200-00006F050000}"/>
    <hyperlink ref="AX96" r:id="rId1233" xr:uid="{00000000-0004-0000-0200-000070050000}"/>
    <hyperlink ref="AY96" r:id="rId1234" xr:uid="{00000000-0004-0000-0200-000071050000}"/>
    <hyperlink ref="AZ96" r:id="rId1235" xr:uid="{00000000-0004-0000-0200-000072050000}"/>
    <hyperlink ref="BA96" r:id="rId1236" xr:uid="{00000000-0004-0000-0200-000073050000}"/>
    <hyperlink ref="BC96" r:id="rId1237" xr:uid="{00000000-0004-0000-0200-000074050000}"/>
    <hyperlink ref="BD96" r:id="rId1238" xr:uid="{00000000-0004-0000-0200-000075050000}"/>
    <hyperlink ref="BF96" r:id="rId1239" xr:uid="{00000000-0004-0000-0200-000076050000}"/>
    <hyperlink ref="BG96" r:id="rId1240" xr:uid="{00000000-0004-0000-0200-000077050000}"/>
    <hyperlink ref="BH96" r:id="rId1241" xr:uid="{00000000-0004-0000-0200-000078050000}"/>
    <hyperlink ref="BI96" r:id="rId1242" xr:uid="{00000000-0004-0000-0200-000079050000}"/>
    <hyperlink ref="BJ96" r:id="rId1243" xr:uid="{00000000-0004-0000-0200-00007A050000}"/>
    <hyperlink ref="BK96" r:id="rId1244" xr:uid="{00000000-0004-0000-0200-00007B050000}"/>
    <hyperlink ref="BL96" r:id="rId1245" xr:uid="{00000000-0004-0000-0200-00007C050000}"/>
    <hyperlink ref="BM96" r:id="rId1246" xr:uid="{00000000-0004-0000-0200-00007D050000}"/>
    <hyperlink ref="BN96" r:id="rId1247" xr:uid="{00000000-0004-0000-0200-00007E050000}"/>
    <hyperlink ref="BO96" r:id="rId1248" xr:uid="{00000000-0004-0000-0200-00007F050000}"/>
    <hyperlink ref="BP96" r:id="rId1249" xr:uid="{00000000-0004-0000-0200-000080050000}"/>
    <hyperlink ref="BQ96" r:id="rId1250" xr:uid="{00000000-0004-0000-0200-000081050000}"/>
    <hyperlink ref="BS96" r:id="rId1251" xr:uid="{00000000-0004-0000-0200-000082050000}"/>
    <hyperlink ref="BV96" r:id="rId1252" xr:uid="{00000000-0004-0000-0200-000083050000}"/>
    <hyperlink ref="BW96" r:id="rId1253" xr:uid="{00000000-0004-0000-0200-000084050000}"/>
    <hyperlink ref="BZ96" r:id="rId1254" xr:uid="{00000000-0004-0000-0200-000085050000}"/>
    <hyperlink ref="CA96" r:id="rId1255" xr:uid="{00000000-0004-0000-0200-000086050000}"/>
    <hyperlink ref="CC96" r:id="rId1256" xr:uid="{00000000-0004-0000-0200-000087050000}"/>
    <hyperlink ref="CD96" r:id="rId1257" xr:uid="{00000000-0004-0000-0200-000088050000}"/>
    <hyperlink ref="CF96" r:id="rId1258" xr:uid="{00000000-0004-0000-0200-000089050000}"/>
    <hyperlink ref="BM97" r:id="rId1259" xr:uid="{00000000-0004-0000-0200-00008A050000}"/>
    <hyperlink ref="BN97" r:id="rId1260" xr:uid="{00000000-0004-0000-0200-00008B050000}"/>
    <hyperlink ref="BO97" r:id="rId1261" xr:uid="{00000000-0004-0000-0200-00008C050000}"/>
    <hyperlink ref="BP97" r:id="rId1262" xr:uid="{00000000-0004-0000-0200-00008D050000}"/>
    <hyperlink ref="BS97" r:id="rId1263" xr:uid="{00000000-0004-0000-0200-00008E050000}"/>
    <hyperlink ref="BX97" r:id="rId1264" xr:uid="{00000000-0004-0000-0200-00008F050000}"/>
    <hyperlink ref="CF97" r:id="rId1265" xr:uid="{00000000-0004-0000-0200-000090050000}"/>
    <hyperlink ref="BM98" r:id="rId1266" xr:uid="{00000000-0004-0000-0200-000091050000}"/>
    <hyperlink ref="BP98" r:id="rId1267" xr:uid="{00000000-0004-0000-0200-000092050000}"/>
    <hyperlink ref="BT98" r:id="rId1268" xr:uid="{00000000-0004-0000-0200-000093050000}"/>
    <hyperlink ref="CA98" r:id="rId1269" xr:uid="{00000000-0004-0000-0200-000094050000}"/>
    <hyperlink ref="CC98" r:id="rId1270" xr:uid="{00000000-0004-0000-0200-000095050000}"/>
    <hyperlink ref="CD98" r:id="rId1271" xr:uid="{00000000-0004-0000-0200-000096050000}"/>
    <hyperlink ref="CF98" r:id="rId1272" xr:uid="{00000000-0004-0000-0200-000097050000}"/>
    <hyperlink ref="BM100" r:id="rId1273" xr:uid="{00000000-0004-0000-0200-000098050000}"/>
    <hyperlink ref="BP100" r:id="rId1274" xr:uid="{00000000-0004-0000-0200-000099050000}"/>
    <hyperlink ref="BM101" r:id="rId1275" xr:uid="{00000000-0004-0000-0200-00009A050000}"/>
    <hyperlink ref="BP101" r:id="rId1276" xr:uid="{00000000-0004-0000-0200-00009B050000}"/>
    <hyperlink ref="CD101" r:id="rId1277" xr:uid="{00000000-0004-0000-0200-00009C050000}"/>
    <hyperlink ref="BM102" r:id="rId1278" xr:uid="{00000000-0004-0000-0200-00009D050000}"/>
    <hyperlink ref="BP102" r:id="rId1279" xr:uid="{00000000-0004-0000-0200-00009E050000}"/>
    <hyperlink ref="BT102" r:id="rId1280" xr:uid="{00000000-0004-0000-0200-00009F050000}"/>
    <hyperlink ref="CA102" r:id="rId1281" xr:uid="{00000000-0004-0000-0200-0000A0050000}"/>
    <hyperlink ref="CC102" r:id="rId1282" xr:uid="{00000000-0004-0000-0200-0000A1050000}"/>
    <hyperlink ref="CD102" r:id="rId1283" xr:uid="{00000000-0004-0000-0200-0000A2050000}"/>
    <hyperlink ref="CF102" r:id="rId1284" xr:uid="{00000000-0004-0000-0200-0000A3050000}"/>
    <hyperlink ref="BM103" r:id="rId1285" xr:uid="{00000000-0004-0000-0200-0000A4050000}"/>
    <hyperlink ref="BN103" r:id="rId1286" xr:uid="{00000000-0004-0000-0200-0000A5050000}"/>
    <hyperlink ref="BO103" r:id="rId1287" xr:uid="{00000000-0004-0000-0200-0000A6050000}"/>
    <hyperlink ref="BP103" r:id="rId1288" xr:uid="{00000000-0004-0000-0200-0000A7050000}"/>
    <hyperlink ref="BS103" r:id="rId1289" xr:uid="{00000000-0004-0000-0200-0000A8050000}"/>
    <hyperlink ref="BT103" r:id="rId1290" xr:uid="{00000000-0004-0000-0200-0000A9050000}"/>
    <hyperlink ref="BV103" r:id="rId1291" xr:uid="{00000000-0004-0000-0200-0000AA050000}"/>
    <hyperlink ref="BX103" r:id="rId1292" xr:uid="{00000000-0004-0000-0200-0000AB050000}"/>
    <hyperlink ref="BZ103" r:id="rId1293" xr:uid="{00000000-0004-0000-0200-0000AC050000}"/>
    <hyperlink ref="CA103" r:id="rId1294" xr:uid="{00000000-0004-0000-0200-0000AD050000}"/>
    <hyperlink ref="CC103" r:id="rId1295" xr:uid="{00000000-0004-0000-0200-0000AE050000}"/>
    <hyperlink ref="CD103" r:id="rId1296" xr:uid="{00000000-0004-0000-0200-0000AF050000}"/>
    <hyperlink ref="CF103" r:id="rId1297" xr:uid="{00000000-0004-0000-0200-0000B0050000}"/>
    <hyperlink ref="BM104" r:id="rId1298" xr:uid="{00000000-0004-0000-0200-0000B1050000}"/>
    <hyperlink ref="BP104" r:id="rId1299" xr:uid="{00000000-0004-0000-0200-0000B2050000}"/>
    <hyperlink ref="BT104" r:id="rId1300" xr:uid="{00000000-0004-0000-0200-0000B3050000}"/>
    <hyperlink ref="BZ104" r:id="rId1301" xr:uid="{00000000-0004-0000-0200-0000B4050000}"/>
    <hyperlink ref="CA104" r:id="rId1302" xr:uid="{00000000-0004-0000-0200-0000B5050000}"/>
    <hyperlink ref="CC104" r:id="rId1303" xr:uid="{00000000-0004-0000-0200-0000B6050000}"/>
    <hyperlink ref="CD104" r:id="rId1304" xr:uid="{00000000-0004-0000-0200-0000B7050000}"/>
    <hyperlink ref="CF104" r:id="rId1305" xr:uid="{00000000-0004-0000-0200-0000B8050000}"/>
    <hyperlink ref="BM105" r:id="rId1306" xr:uid="{00000000-0004-0000-0200-0000B9050000}"/>
    <hyperlink ref="BP105" r:id="rId1307" xr:uid="{00000000-0004-0000-0200-0000BA050000}"/>
    <hyperlink ref="BM107" r:id="rId1308" xr:uid="{00000000-0004-0000-0200-0000BB050000}"/>
    <hyperlink ref="BP107" r:id="rId1309" xr:uid="{00000000-0004-0000-0200-0000BC050000}"/>
    <hyperlink ref="BS107" r:id="rId1310" xr:uid="{00000000-0004-0000-0200-0000BD050000}"/>
    <hyperlink ref="BU107" r:id="rId1311" xr:uid="{00000000-0004-0000-0200-0000BE050000}"/>
    <hyperlink ref="BW107" r:id="rId1312" xr:uid="{00000000-0004-0000-0200-0000BF050000}"/>
    <hyperlink ref="CC107" r:id="rId1313" xr:uid="{00000000-0004-0000-0200-0000C0050000}"/>
    <hyperlink ref="CD107" r:id="rId1314" xr:uid="{00000000-0004-0000-0200-0000C1050000}"/>
    <hyperlink ref="AT108" r:id="rId1315" xr:uid="{00000000-0004-0000-0200-0000C2050000}"/>
    <hyperlink ref="AZ108" r:id="rId1316" xr:uid="{00000000-0004-0000-0200-0000C3050000}"/>
    <hyperlink ref="BA108" r:id="rId1317" xr:uid="{00000000-0004-0000-0200-0000C4050000}"/>
    <hyperlink ref="BH108" r:id="rId1318" xr:uid="{00000000-0004-0000-0200-0000C5050000}"/>
    <hyperlink ref="BI108" r:id="rId1319" xr:uid="{00000000-0004-0000-0200-0000C6050000}"/>
    <hyperlink ref="BJ108" r:id="rId1320" xr:uid="{00000000-0004-0000-0200-0000C7050000}"/>
    <hyperlink ref="BK108" r:id="rId1321" xr:uid="{00000000-0004-0000-0200-0000C8050000}"/>
    <hyperlink ref="BL108" r:id="rId1322" xr:uid="{00000000-0004-0000-0200-0000C9050000}"/>
    <hyperlink ref="BM108" r:id="rId1323" xr:uid="{00000000-0004-0000-0200-0000CA050000}"/>
    <hyperlink ref="BN108" r:id="rId1324" xr:uid="{00000000-0004-0000-0200-0000CB050000}"/>
    <hyperlink ref="BO108" r:id="rId1325" xr:uid="{00000000-0004-0000-0200-0000CC050000}"/>
    <hyperlink ref="BP108" r:id="rId1326" xr:uid="{00000000-0004-0000-0200-0000CD050000}"/>
    <hyperlink ref="BQ108" r:id="rId1327" xr:uid="{00000000-0004-0000-0200-0000CE050000}"/>
    <hyperlink ref="BS108" r:id="rId1328" xr:uid="{00000000-0004-0000-0200-0000CF050000}"/>
    <hyperlink ref="BV108" r:id="rId1329" xr:uid="{00000000-0004-0000-0200-0000D0050000}"/>
    <hyperlink ref="BW108" r:id="rId1330" xr:uid="{00000000-0004-0000-0200-0000D1050000}"/>
    <hyperlink ref="BX108" r:id="rId1331" xr:uid="{00000000-0004-0000-0200-0000D2050000}"/>
    <hyperlink ref="CA108" r:id="rId1332" xr:uid="{00000000-0004-0000-0200-0000D3050000}"/>
    <hyperlink ref="CC108" r:id="rId1333" xr:uid="{00000000-0004-0000-0200-0000D4050000}"/>
    <hyperlink ref="CD108" r:id="rId1334" xr:uid="{00000000-0004-0000-0200-0000D5050000}"/>
    <hyperlink ref="CF108" r:id="rId1335" xr:uid="{00000000-0004-0000-0200-0000D6050000}"/>
    <hyperlink ref="BK109" r:id="rId1336" xr:uid="{00000000-0004-0000-0200-0000D7050000}"/>
    <hyperlink ref="BL109" r:id="rId1337" xr:uid="{00000000-0004-0000-0200-0000D8050000}"/>
    <hyperlink ref="BM109" r:id="rId1338" xr:uid="{00000000-0004-0000-0200-0000D9050000}"/>
    <hyperlink ref="BN109" r:id="rId1339" xr:uid="{00000000-0004-0000-0200-0000DA050000}"/>
    <hyperlink ref="BP109" r:id="rId1340" xr:uid="{00000000-0004-0000-0200-0000DB050000}"/>
    <hyperlink ref="BS109" r:id="rId1341" xr:uid="{00000000-0004-0000-0200-0000DC050000}"/>
    <hyperlink ref="BT109" r:id="rId1342" xr:uid="{00000000-0004-0000-0200-0000DD050000}"/>
    <hyperlink ref="BV109" r:id="rId1343" xr:uid="{00000000-0004-0000-0200-0000DE050000}"/>
    <hyperlink ref="BX109" r:id="rId1344" xr:uid="{00000000-0004-0000-0200-0000DF050000}"/>
    <hyperlink ref="BZ109" r:id="rId1345" xr:uid="{00000000-0004-0000-0200-0000E0050000}"/>
    <hyperlink ref="CA109" r:id="rId1346" xr:uid="{00000000-0004-0000-0200-0000E1050000}"/>
    <hyperlink ref="CC109" r:id="rId1347" xr:uid="{00000000-0004-0000-0200-0000E2050000}"/>
    <hyperlink ref="CD109" r:id="rId1348" xr:uid="{00000000-0004-0000-0200-0000E3050000}"/>
    <hyperlink ref="CF109" r:id="rId1349" xr:uid="{00000000-0004-0000-0200-0000E4050000}"/>
    <hyperlink ref="N9" r:id="rId1350" display="https://intranet.atlnz.lc/systest/Jira_Reports/testExecReport/jiraExecReport.php?testPlanKey=15&amp;projectKey=TQUALTCM&amp;Report=Report" xr:uid="{00000000-0004-0000-0200-0000E5050000}"/>
    <hyperlink ref="N10" r:id="rId1351" display="https://intranet.atlnz.lc/systest/Jira_Reports/testExecReport/jiraExecReport.php?testPlanKey=36&amp;projectKey=TQUALTCM&amp;Report=Report" xr:uid="{00000000-0004-0000-0200-0000E6050000}"/>
    <hyperlink ref="AF10" r:id="rId1352" display="https://intranet.atlnz.lc/systest/Jira_Reports/testExecReport/jiraExecReport.php?testPlanKey=36&amp;projectKey=TQUALTCM&amp;Report=Report" xr:uid="{00000000-0004-0000-0200-0000EB050000}"/>
    <hyperlink ref="AG10" r:id="rId1353" display="https://intranet.atlnz.lc/systest/Jira_Reports/testExecReport/jiraExecReport.php?testPlanKey=36&amp;projectKey=TQUALTCM&amp;Report=Report" xr:uid="{00000000-0004-0000-0200-0000EC050000}"/>
    <hyperlink ref="Z10" r:id="rId1354" display="https://intranet.atlnz.lc/systest/Jira_Reports/testExecReport/jiraExecReport.php?testPlanKey=440&amp;projectKey=TQUALTCM&amp;Report=Report" xr:uid="{00000000-0004-0000-0200-0000EE050000}"/>
    <hyperlink ref="Z13" r:id="rId1355" display="https://intranet.atlnz.lc/systest/Jira_Reports/testExecReport/jiraExecReport.php?testPlanKey=440&amp;projectKey=TQUALTCM&amp;Report=Report" xr:uid="{00000000-0004-0000-0200-0000EF050000}"/>
    <hyperlink ref="Z14" r:id="rId1356" display="https://intranet.atlnz.lc/systest/Jira_Reports/testExecReport/jiraExecReport.php?testPlanKey=440&amp;projectKey=TQUALTCM&amp;Report=Report" xr:uid="{00000000-0004-0000-0200-0000F0050000}"/>
    <hyperlink ref="Z16" r:id="rId1357" display="https://intranet.atlnz.lc/systest/Jira_Reports/testExecReport/jiraExecReport.php?testPlanKey=440&amp;projectKey=TQUALTCM&amp;Report=Report" xr:uid="{00000000-0004-0000-0200-0000F1050000}"/>
    <hyperlink ref="Z17" r:id="rId1358" display="https://intranet.atlnz.lc/systest/Jira_Reports/testExecReport/jiraExecReport.php?testPlanKey=440&amp;projectKey=TQUALTCM&amp;Report=Report" xr:uid="{00000000-0004-0000-0200-0000F2050000}"/>
    <hyperlink ref="Z18" r:id="rId1359" display="https://intranet.atlnz.lc/systest/Jira_Reports/testExecReport/jiraExecReport.php?testPlanKey=440&amp;projectKey=TQUALTCM&amp;Report=Report" xr:uid="{00000000-0004-0000-0200-0000F3050000}"/>
    <hyperlink ref="Z19" r:id="rId1360" display="https://intranet.atlnz.lc/systest/Jira_Reports/testExecReport/jiraExecReport.php?testPlanKey=440&amp;projectKey=TQUALTCM&amp;Report=Report" xr:uid="{00000000-0004-0000-0200-0000F4050000}"/>
    <hyperlink ref="Z23" r:id="rId1361" display="https://intranet.atlnz.lc/systest/Jira_Reports/testExecReport/jiraExecReport.php?testPlanKey=440&amp;projectKey=TQUALTCM&amp;Report=Report" xr:uid="{00000000-0004-0000-0200-0000F5050000}"/>
    <hyperlink ref="Z24" r:id="rId1362" display="https://intranet.atlnz.lc/systest/Jira_Reports/testExecReport/jiraExecReport.php?testPlanKey=440&amp;projectKey=TQUALTCM&amp;Report=Report" xr:uid="{00000000-0004-0000-0200-0000F6050000}"/>
    <hyperlink ref="Z25" r:id="rId1363" display="https://intranet.atlnz.lc/systest/Jira_Reports/testExecReport/jiraExecReport.php?testPlanKey=440&amp;projectKey=TQUALTCM&amp;Report=Report" xr:uid="{00000000-0004-0000-0200-0000F7050000}"/>
    <hyperlink ref="Z26" r:id="rId1364" display="https://intranet.atlnz.lc/systest/Jira_Reports/testExecReport/jiraExecReport.php?testPlanKey=440&amp;projectKey=TQUALTCM&amp;Report=Report" xr:uid="{00000000-0004-0000-0200-0000F8050000}"/>
    <hyperlink ref="Z27" r:id="rId1365" display="https://intranet.atlnz.lc/systest/Jira_Reports/testExecReport/jiraExecReport.php?testPlanKey=440&amp;projectKey=TQUALTCM&amp;Report=Report" xr:uid="{00000000-0004-0000-0200-0000F9050000}"/>
    <hyperlink ref="Z28" r:id="rId1366" display="https://intranet.atlnz.lc/systest/Jira_Reports/testExecReport/jiraExecReport.php?testPlanKey=440&amp;projectKey=TQUALTCM&amp;Report=Report" xr:uid="{00000000-0004-0000-0200-0000FA050000}"/>
    <hyperlink ref="Z30" r:id="rId1367" display="https://intranet.atlnz.lc/systest/Jira_Reports/testExecReport/jiraExecReport.php?testPlanKey=440&amp;projectKey=TQUALTCM&amp;Report=Report" xr:uid="{00000000-0004-0000-0200-0000FB050000}"/>
    <hyperlink ref="Z32" r:id="rId1368" display="https://intranet.atlnz.lc/systest/Jira_Reports/testExecReport/jiraExecReport.php?testPlanKey=440&amp;projectKey=TQUALTCM&amp;Report=Report" xr:uid="{00000000-0004-0000-0200-0000FC050000}"/>
    <hyperlink ref="Z75" r:id="rId1369" display="https://intranet.atlnz.lc/systest/Jira_Reports/testExecReport/jiraExecReport.php?testPlanKey=440&amp;projectKey=TQUALTCM&amp;Report=Report" xr:uid="{00000000-0004-0000-0200-0000FD050000}"/>
    <hyperlink ref="Z33" r:id="rId1370" display="https://intranet.atlnz.lc/systest/Jira_Reports/testExecReport/jiraExecReport.php?testPlanKey=440&amp;projectKey=TQUALTCM&amp;Report=Report" xr:uid="{00000000-0004-0000-0200-0000FE050000}"/>
    <hyperlink ref="Z34" r:id="rId1371" display="https://intranet.atlnz.lc/systest/Jira_Reports/testExecReport/jiraExecReport.php?testPlanKey=440&amp;projectKey=TQUALTCM&amp;Report=Report" xr:uid="{00000000-0004-0000-0200-0000FF050000}"/>
    <hyperlink ref="Z35" r:id="rId1372" display="https://intranet.atlnz.lc/systest/Jira_Reports/testExecReport/jiraExecReport.php?testPlanKey=440&amp;projectKey=TQUALTCM&amp;Report=Report" xr:uid="{00000000-0004-0000-0200-000000060000}"/>
    <hyperlink ref="Z36" r:id="rId1373" display="https://intranet.atlnz.lc/systest/Jira_Reports/testExecReport/jiraExecReport.php?testPlanKey=440&amp;projectKey=TQUALTCM&amp;Report=Report" xr:uid="{00000000-0004-0000-0200-000001060000}"/>
    <hyperlink ref="Z38" r:id="rId1374" display="https://intranet.atlnz.lc/systest/Jira_Reports/testExecReport/jiraExecReport.php?testPlanKey=440&amp;projectKey=TQUALTCM&amp;Report=Report" xr:uid="{00000000-0004-0000-0200-000003060000}"/>
    <hyperlink ref="Z39" r:id="rId1375" display="https://intranet.atlnz.lc/systest/Jira_Reports/testExecReport/jiraExecReport.php?testPlanKey=440&amp;projectKey=TQUALTCM&amp;Report=Report" xr:uid="{00000000-0004-0000-0200-000004060000}"/>
    <hyperlink ref="Z40" r:id="rId1376" display="https://intranet.atlnz.lc/systest/Jira_Reports/testExecReport/jiraExecReport.php?testPlanKey=440&amp;projectKey=TQUALTCM&amp;Report=Report" xr:uid="{00000000-0004-0000-0200-000005060000}"/>
    <hyperlink ref="Z43" r:id="rId1377" display="https://intranet.atlnz.lc/systest/Jira_Reports/testExecReport/jiraExecReport.php?testPlanKey=440&amp;projectKey=TQUALTCM&amp;Report=Report" xr:uid="{00000000-0004-0000-0200-000007060000}"/>
    <hyperlink ref="Z44" r:id="rId1378" display="https://intranet.atlnz.lc/systest/Jira_Reports/testExecReport/jiraExecReport.php?testPlanKey=440&amp;projectKey=TQUALTCM&amp;Report=Report" xr:uid="{00000000-0004-0000-0200-000008060000}"/>
    <hyperlink ref="V9" r:id="rId1379" display="https://intranet.atlnz.lc/systest/Jira_Reports/testExecReport/jiraExecReport.php?testPlanKey=480,481&amp;projectKey=TQUALTCM&amp;Report=Report" xr:uid="{A11A830D-5FFA-47F3-9D77-7097C305EACD}"/>
    <hyperlink ref="V18:V19" r:id="rId1380" display="https://intranet.atlnz.lc/systest/Jira_Reports/testExecReport/jiraExecReport.php?testPlanKey=480,481&amp;projectKey=TQUALTCM&amp;Report=Report" xr:uid="{C9346CA3-DC4F-4243-AB0A-E51A6F8EA175}"/>
    <hyperlink ref="V23" r:id="rId1381" display="https://intranet.atlnz.lc/systest/Jira_Reports/testExecReport/jiraExecReport.php?testPlanKey=480,481&amp;projectKey=TQUALTCM&amp;Report=Report" xr:uid="{22472AD8-1C84-45A7-910F-A50278DC8288}"/>
    <hyperlink ref="V33" r:id="rId1382" display="https://intranet.atlnz.lc/systest/Jira_Reports/testExecReport/jiraExecReport.php?testPlanKey=480,481&amp;projectKey=TQUALTCM&amp;Report=Report" xr:uid="{02E79341-ED90-4B46-A02A-32230A2E23A7}"/>
    <hyperlink ref="V35" r:id="rId1383" display="https://intranet.atlnz.lc/systest/Jira_Reports/testExecReport/jiraExecReport.php?testPlanKey=480,481&amp;projectKey=TQUALTCM&amp;Report=Report" xr:uid="{9C83A386-8A9C-4DD9-BEB4-5AE2E8C63315}"/>
    <hyperlink ref="X9" r:id="rId1384" location="/reports/testresults/list/view?tql=testResult.projectKey%20IN%20('TQUALTCM')%20AND%20testRun.key%20IN%20('TQUALTCM-C1055')%20AND%20testRun.onlyLastTestResult%20IS%20false&amp;jql=&amp;title=REPORTS.TEST_RESULTS_ADVANCED.TITLE" xr:uid="{00000000-0004-0000-0200-000010000000}"/>
    <hyperlink ref="Y9" r:id="rId1385" xr:uid="{00000000-0004-0000-0200-000011000000}"/>
    <hyperlink ref="AA9" r:id="rId1386" location="/testCycle/TQUALTCM-C2697" xr:uid="{00000000-0004-0000-0200-000012000000}"/>
    <hyperlink ref="AH9" r:id="rId1387" xr:uid="{00000000-0004-0000-0200-000013000000}"/>
    <hyperlink ref="AI9" r:id="rId1388" xr:uid="{00000000-0004-0000-0200-000014000000}"/>
    <hyperlink ref="AL9" r:id="rId1389" location="/reports/testresults/list/view?tql=testResult.projectKey%20IN%20('TQUALTCM')%20AND%20testRun.key%20IN%20('TQUALTCM-C415')%20AND%20testRun.onlyLastTestResult%20IS%20false&amp;jql=&amp;title=REPORTS.TEST_RESULTS_ADVANCED.TITLE" xr:uid="{00000000-0004-0000-0200-000015000000}"/>
    <hyperlink ref="AM9" r:id="rId1390" xr:uid="{00000000-0004-0000-0200-000016000000}"/>
    <hyperlink ref="AN9" r:id="rId1391" location="/reports/testresults/list/view?tql=testResult.projectKey%20IN%20('TQUALTCM')%20AND%20testRun.key%20IN%20('TQUALTCM-C1105')%20AND%20testRun.onlyLastTestResult%20IS%20false&amp;jql=&amp;title=REPORTS.TEST_RESULTS_ADVANCED.TITL" xr:uid="{00000000-0004-0000-0200-000017000000}"/>
    <hyperlink ref="AR9" r:id="rId1392" location="/cycle?projectId=15704" xr:uid="{00000000-0004-0000-0200-00001A000000}"/>
    <hyperlink ref="AS9" r:id="rId1393" location="/reports/testresults/list/view?tql=testResult.projectKey%20IN%20('TQUALTCM')%20AND%20testRun.key%20IN%20('TQUALTCM-C65')%20AND%20testRun.onlyLastTestResult%20IS%20false&amp;jql=&amp;title=REPORTS.TEST_RESULTS_ADVANCED.TITLE&amp;period=MONTH&amp;traceabilityReportOption=C" xr:uid="{00000000-0004-0000-0200-00001B000000}"/>
    <hyperlink ref="AT9" r:id="rId1394" xr:uid="{00000000-0004-0000-0200-00001C000000}"/>
    <hyperlink ref="AV9" r:id="rId1395" xr:uid="{00000000-0004-0000-0200-00001D000000}"/>
    <hyperlink ref="Q9" r:id="rId1396" xr:uid="{00000000-0004-0000-0200-00001E000000}"/>
    <hyperlink ref="AX9" r:id="rId1397" xr:uid="{00000000-0004-0000-0200-00001F000000}"/>
    <hyperlink ref="AY9" r:id="rId1398" xr:uid="{00000000-0004-0000-0200-000020000000}"/>
    <hyperlink ref="AZ9" r:id="rId1399" xr:uid="{00000000-0004-0000-0200-000021000000}"/>
    <hyperlink ref="BA9" r:id="rId1400" xr:uid="{00000000-0004-0000-0200-000022000000}"/>
    <hyperlink ref="AF9" r:id="rId1401" display="https://intranet.atlnz.lc/systest/Jira_Reports/testExecReport/jiraExecReport.php?testPlanKey=15&amp;projectKey=TQUALTCM&amp;Report=Report" xr:uid="{00000000-0004-0000-0200-0000E8050000}"/>
    <hyperlink ref="AG9" r:id="rId1402" display="https://intranet.atlnz.lc/systest/Jira_Reports/testExecReport/jiraExecReport.php?testPlanKey=15&amp;projectKey=TQUALTCM&amp;Report=Report" xr:uid="{00000000-0004-0000-0200-0000E9050000}"/>
    <hyperlink ref="Z9" r:id="rId1403" display="https://intranet.atlnz.lc/systest/Jira_Reports/testExecReport/jiraExecReport.php?testPlanKey=440&amp;projectKey=TQUALTCM&amp;Report=Report" xr:uid="{00000000-0004-0000-0200-0000ED050000}"/>
    <hyperlink ref="AC76" r:id="rId1404" location="/reports/testresults/list/view?tql=testResult.projectKey%20IN%20('TQUALTCM')%20AND%20testRun.key%20IN%20('TQUALTCM-C920')%20AND%20testRun.onlyLastTestResult%20IS%20false&amp;jql=&amp;title=REPORTS.TEST_RESULTS_ADVANCED.TITLE" display="Pass, Nov 19" xr:uid="{00000000-0004-0000-0200-00000D040000}"/>
    <hyperlink ref="AC77" r:id="rId1405" location="/reports/testresults/list/view?tql=testResult.projectKey%20IN%20('TQUALTCM')%20AND%20testRun.key%20IN%20('TQUALTCM-C1385')%20AND%20testRun.onlyLastTestResult%20IS%20false&amp;jql=&amp;title=REPORTS.TEST_RESULTS_ADVANCED.TITLE" display="Supported_x000a_5.5.0-2.3" xr:uid="{00000000-0004-0000-0200-000038040000}"/>
    <hyperlink ref="AC78" r:id="rId1406" display="Pass, 6-9-18" xr:uid="{00000000-0004-0000-0200-000057040000}"/>
    <hyperlink ref="AC79" r:id="rId1407" location="/reports/testresults/list/view?tql=testResult.projectKey%20IN%20('TQUALTCM')%20AND%20testRun.key%20IN%20('TQUALTCM-C1636')%20AND%20testRun.onlyLastTestResult%20IS%20true&amp;jql=&amp;title=REPORTS.TEST_RESULTS_ADVANCED.TITLE" display="Supported_x000a_5.4.9-2.4" xr:uid="{00000000-0004-0000-0200-000087040000}"/>
    <hyperlink ref="AC96" r:id="rId1408" display="Pass, May 17" xr:uid="{00000000-0004-0000-0200-000060050000}"/>
    <hyperlink ref="D41" r:id="rId1409" display="https://intranet.atlnz.lc/systest/Jira_Reports/testExecReport/jiraExecReport.php?testPlanKey=504&amp;projectKey=TQUALTCM&amp;Report=Report" xr:uid="{9CA5701A-112F-42F7-9471-A4E7E92A39A0}"/>
    <hyperlink ref="Q41" r:id="rId1410" xr:uid="{E579055B-4B2A-4BC6-856C-6F7144E1372C}"/>
    <hyperlink ref="BA41" r:id="rId1411" xr:uid="{347FE8DF-29F1-44D8-AE7C-09DED9D5171C}"/>
    <hyperlink ref="BE41" r:id="rId1412" xr:uid="{573AAF2F-842B-4D99-84A1-4EA220C97CBD}"/>
    <hyperlink ref="V41" r:id="rId1413" display="https://intranet.atlnz.lc/systest/Jira_Reports/testExecReport/jiraExecReport.php?testPlanKey=504&amp;projectKey=TQUALTCM&amp;Report=Report" xr:uid="{8D3CF93E-FEA4-48B6-A162-87542BEEF8BE}"/>
    <hyperlink ref="W41" r:id="rId1414" display="https://wallace4.atlnz.lc/systest/Jira_Reports/testExecReport/jiraExecReport_wallace4.php?testPlanKey=504&amp;projectKey=TQUALTCM&amp;Report=Report" xr:uid="{0052A179-3F5F-4EAA-876B-F5110561A116}"/>
    <hyperlink ref="AC18:AC19" r:id="rId1415" display="https://intranet.atlnz.lc/systest/Jira_Reports/testExecReport/jiraExecReport.php?testPlanKey=496,497&amp;projectKey=TQUALTCM&amp;Report=Report" xr:uid="{980D55FF-E9EE-4765-841D-EEDB87922BCD}"/>
    <hyperlink ref="AC24" r:id="rId1416" display="https://intranet.atlnz.lc/systest/Jira_Reports/testExecReport/jiraExecReport.php?testPlanKey=496,497&amp;projectKey=TQUALTCM&amp;Report=Report" xr:uid="{F0595FBF-BBC3-4B4C-BE6C-50255DB042E2}"/>
    <hyperlink ref="AC33" r:id="rId1417" display="https://intranet.atlnz.lc/systest/Jira_Reports/testExecReport/jiraExecReport.php?testPlanKey=496,497&amp;projectKey=TQUALTCM&amp;Report=Report" xr:uid="{F1D933CC-08C4-4C2E-BB73-2141D7A754CA}"/>
    <hyperlink ref="AC35" r:id="rId1418" display="https://intranet.atlnz.lc/systest/Jira_Reports/testExecReport/jiraExecReport.php?testPlanKey=496,497&amp;projectKey=TQUALTCM&amp;Report=Report" xr:uid="{D6CBA64C-6445-46DC-A7F7-6F250FBFE40A}"/>
    <hyperlink ref="AC41" r:id="rId1419" display="https://intranet.atlnz.lc/systest/Jira_Reports/testExecReport/jiraExecReport.php?testPlanKey=504&amp;projectKey=TQUALTCM&amp;Report=Report" xr:uid="{3F1B839C-C5D7-4319-9C32-968FCB7BBCA2}"/>
    <hyperlink ref="AC43:AC44" r:id="rId1420" display="https://intranet.atlnz.lc/systest/Jira_Reports/testExecReport/jiraExecReport.php?testPlanKey=496,497&amp;projectKey=TQUALTCM&amp;Report=Report" xr:uid="{263EF889-BBF2-4544-A541-43BAB24F78A8}"/>
    <hyperlink ref="W18:W19" r:id="rId1421" display="https://intranet.atlnz.lc/systest/Jira_Reports/testExecReport/jiraExecReport.php?testPlanKey=496,497&amp;projectKey=TQUALTCM&amp;Report=Report" xr:uid="{D24B95D8-6077-4093-B686-40DBB5B814F0}"/>
    <hyperlink ref="W24" r:id="rId1422" display="https://intranet.atlnz.lc/systest/Jira_Reports/testExecReport/jiraExecReport.php?testPlanKey=496,497&amp;projectKey=TQUALTCM&amp;Report=Report" xr:uid="{B509F079-C343-4A3E-B0D3-D5BA97F03407}"/>
    <hyperlink ref="W33" r:id="rId1423" display="https://intranet.atlnz.lc/systest/Jira_Reports/testExecReport/jiraExecReport.php?testPlanKey=496,497&amp;projectKey=TQUALTCM&amp;Report=Report" xr:uid="{31EAAA86-F220-40A4-93BC-0EBC6C92D435}"/>
    <hyperlink ref="W35" r:id="rId1424" display="https://intranet.atlnz.lc/systest/Jira_Reports/testExecReport/jiraExecReport.php?testPlanKey=496,497&amp;projectKey=TQUALTCM&amp;Report=Report" xr:uid="{9AE01756-1063-4407-AF4F-FCE7E59125A1}"/>
    <hyperlink ref="W9" r:id="rId1425" display="https://intranet.atlnz.lc/systest/Jira_Reports/testExecReport/jiraExecReport.php?testPlanKey=488,489&amp;projectKey=TQUALTCM&amp;Report=Report" xr:uid="{9E88E980-099C-40E1-8E42-BA73C6E002E8}"/>
    <hyperlink ref="P42" r:id="rId1426" xr:uid="{A92C5773-D889-495C-9D73-2F1717D65D04}"/>
    <hyperlink ref="S42" r:id="rId1427" xr:uid="{F408B53A-250F-4CA1-9B96-2C5677D059E2}"/>
    <hyperlink ref="T42" r:id="rId1428" xr:uid="{E3CEA307-2457-43FE-98B2-BCE430F633DC}"/>
    <hyperlink ref="X42" r:id="rId1429" xr:uid="{2849A9EF-425E-4AE9-845B-FE3541E3D3F9}"/>
    <hyperlink ref="Y42" r:id="rId1430" xr:uid="{E67AC259-D228-444D-A459-60A31B2B6496}"/>
    <hyperlink ref="Z42" r:id="rId1431" xr:uid="{90D5877C-2B42-4662-9651-EAEB127422E7}"/>
    <hyperlink ref="AA42" r:id="rId1432" xr:uid="{23897781-8B77-47B8-AF8B-B227E4256C40}"/>
    <hyperlink ref="AB42" r:id="rId1433" xr:uid="{CED020A4-E03A-4F56-98A7-084231715FD7}"/>
    <hyperlink ref="E5" r:id="rId1434" xr:uid="{04532CB2-B00B-48F6-AF63-A1CD0B6D9D3C}"/>
    <hyperlink ref="I5" r:id="rId1435" xr:uid="{401247DE-1211-44A5-8D0A-BDD17EFEA0EC}"/>
    <hyperlink ref="J5" r:id="rId1436" xr:uid="{03A9E855-5547-4BC9-A5CB-10DC7CA6933F}"/>
    <hyperlink ref="K5" r:id="rId1437" xr:uid="{F323A03B-D7AF-49FB-BF33-931556BB3A35}"/>
    <hyperlink ref="N5" r:id="rId1438" xr:uid="{4FDA5237-010B-4281-BA8D-8895D39AD247}"/>
    <hyperlink ref="O5" r:id="rId1439" xr:uid="{220A01C4-64D3-431B-9D73-7DBFE31840DC}"/>
    <hyperlink ref="P5" r:id="rId1440" xr:uid="{EB4CBFE0-0FD5-42E3-A222-AF906FEDEEEF}"/>
    <hyperlink ref="S5" r:id="rId1441" xr:uid="{B442D08D-869D-4683-9C32-DF1444F0CF4C}"/>
    <hyperlink ref="T5" r:id="rId1442" xr:uid="{5C09D014-FDD2-41A5-83CB-D8166A63DC67}"/>
    <hyperlink ref="V5" r:id="rId1443" xr:uid="{D66063CC-8655-4D00-A6A1-AF33434E1236}"/>
    <hyperlink ref="W5" r:id="rId1444" xr:uid="{9C62E923-2AE8-4D45-92EB-4E0963FF48AF}"/>
    <hyperlink ref="X5" r:id="rId1445" xr:uid="{C039490E-8815-4DA6-BAC5-C46F2714CB6F}"/>
    <hyperlink ref="Y5" r:id="rId1446" xr:uid="{D922492C-AD6F-480E-83D1-481828E4D147}"/>
    <hyperlink ref="Z5" r:id="rId1447" xr:uid="{D5A12B7A-581B-4061-B57E-11F08C36559B}"/>
    <hyperlink ref="AA5" r:id="rId1448" xr:uid="{914CA610-9DD7-4686-A944-ADE978BB6BDF}"/>
    <hyperlink ref="AB5" r:id="rId1449" xr:uid="{666695CD-0A56-49FE-847E-89CF6F423F95}"/>
    <hyperlink ref="AC5" r:id="rId1450" xr:uid="{205A1D45-63FD-4D54-B5C5-0C5BA0C6A7E5}"/>
    <hyperlink ref="AE5" r:id="rId1451" xr:uid="{E1A20F50-E3E9-4AF3-B6E1-F5BBAC5D6417}"/>
    <hyperlink ref="AF5" r:id="rId1452" xr:uid="{2D58CE91-C864-4A33-BBAB-02D4B9200593}"/>
    <hyperlink ref="AG5" r:id="rId1453" xr:uid="{EE207AA1-A6FD-44F0-8F7D-560E06219006}"/>
    <hyperlink ref="AH5" r:id="rId1454" xr:uid="{05BDDABA-F17A-4879-BB47-D82DA2B9F5F9}"/>
    <hyperlink ref="AI5" r:id="rId1455" xr:uid="{8FF44E72-37FA-42CB-9F32-6C3C251C39D1}"/>
    <hyperlink ref="AJ5" r:id="rId1456" xr:uid="{E5201BFF-3519-4DCC-AA87-AFCF2ADBB1B8}"/>
    <hyperlink ref="AK5" r:id="rId1457" xr:uid="{4EA44340-F182-4945-B0B7-876000F9B7A7}"/>
    <hyperlink ref="AL5" r:id="rId1458" xr:uid="{29B9A0B3-ADA3-4887-8773-0F25DCE46213}"/>
    <hyperlink ref="AM5" r:id="rId1459" xr:uid="{85AE16E9-D126-4DA2-B88E-9AC8F0E872D7}"/>
    <hyperlink ref="AN5" r:id="rId1460" xr:uid="{5844E0D8-24CE-48BA-92BE-1715A6A58E9E}"/>
    <hyperlink ref="AR5" r:id="rId1461" xr:uid="{F31F15C3-377E-40A9-9D33-C4F78DF7AF81}"/>
    <hyperlink ref="AS5" r:id="rId1462" xr:uid="{A5478E0C-78D0-42BC-A889-5DFC27AA986F}"/>
    <hyperlink ref="AT5" r:id="rId1463" xr:uid="{FFABF7C2-EDC3-478D-A9C1-5D9F98AA0246}"/>
    <hyperlink ref="H5" r:id="rId1464" xr:uid="{80CF706C-EC78-44AD-A2AE-173E7F1DB204}"/>
    <hyperlink ref="Q5" r:id="rId1465" xr:uid="{C98D5E4B-9D07-4F6E-ACFC-0CA4C88552D7}"/>
    <hyperlink ref="W42" r:id="rId1466" display="https://wallace4.atlnz.lc/systest/Jira_Reports/testExecReport/jiraExecReport_wallace4.php?testPlanKey=428&amp;projectKey=TQUALTCM&amp;Report=Report" xr:uid="{9307AFDD-42A2-4896-AA49-7C78C2B60D6F}"/>
    <hyperlink ref="W40" r:id="rId1467" xr:uid="{00685252-8732-4AED-8960-2DA4615FE5B9}"/>
    <hyperlink ref="W38" r:id="rId1468" display="https://wallace4.atlnz.lc/systest/Jira_Reports/testExecReport/jiraExecReport_wallace4.php?testPlanKey=32&amp;projectKey=TQUALTCM&amp;Report=Report" xr:uid="{A07E098E-3FBF-44B2-8D3B-D7926CD74613}"/>
    <hyperlink ref="AC38" r:id="rId1469" display="https://wallace4.atlnz.lc/systest/Jira_Reports/testExecReport/jiraExecReport_wallace4.php?testPlanKey=32&amp;projectKey=TQUALTCM&amp;Report=Report" xr:uid="{13F11098-8533-42F4-A3C4-3ADBDC84D2D8}"/>
    <hyperlink ref="AC42" r:id="rId1470" display="https://wallace4.atlnz.lc/systest/Jira_Reports/testExecReport/jiraExecReport_wallace4.php?testPlanKey=428&amp;projectKey=TQUALTCM&amp;Report=Report" xr:uid="{AF65F341-4FDE-4909-A209-B6818F66EA6D}"/>
    <hyperlink ref="D31" r:id="rId1471" display="https://intranet.atlnz.lc/systest/Jira_Reports/testExecReport/jiraExecReport.php?testPlanKey=537&amp;projectKey=TQUALTCM&amp;Report=Report" xr:uid="{9AC85314-B4AE-4CF0-8D8B-2A8F37F114FD}"/>
    <hyperlink ref="AV31" r:id="rId1472" xr:uid="{60156322-B124-4D1F-869F-FAB9E5545215}"/>
    <hyperlink ref="AX31" r:id="rId1473" xr:uid="{D103DB17-871C-4E44-A6B2-D43B6881F67C}"/>
    <hyperlink ref="AY31" r:id="rId1474" xr:uid="{3FEEF82C-1E0E-451B-8A5E-D78B1B9996A8}"/>
    <hyperlink ref="AZ31" r:id="rId1475" xr:uid="{0CB6DBF3-6742-4FEA-B978-22B8C16E993F}"/>
    <hyperlink ref="BA31" r:id="rId1476" xr:uid="{0C8AD7D6-11CA-4BA9-A49A-D36B61A28C9E}"/>
    <hyperlink ref="BD31" r:id="rId1477" xr:uid="{20E3E516-C9B1-4729-BBBC-49D7B9845DB8}"/>
    <hyperlink ref="BF31" r:id="rId1478" xr:uid="{917E419B-077D-47C9-9F4A-A9984666F963}"/>
    <hyperlink ref="BG31" r:id="rId1479" xr:uid="{15BAC04D-E993-4FA4-B3F2-B3A332D43DB4}"/>
    <hyperlink ref="BH31" r:id="rId1480" xr:uid="{75DA3724-D9BE-4F5B-B429-7B15BE3FE543}"/>
    <hyperlink ref="BI31" r:id="rId1481" xr:uid="{EECE0FA2-E4D1-4154-A7C2-FADD1F34774F}"/>
    <hyperlink ref="BJ31" r:id="rId1482" xr:uid="{9E821C44-AC7E-438E-8784-D672691074F0}"/>
    <hyperlink ref="BK31" r:id="rId1483" xr:uid="{020E4FF2-7D95-4749-BAB3-3D7D0A4E601F}"/>
    <hyperlink ref="BL31" r:id="rId1484" xr:uid="{8A7CF5EF-7FF7-4322-B151-C25C1B35233B}"/>
    <hyperlink ref="BM31" r:id="rId1485" xr:uid="{A9680599-FD09-438A-A979-A61FADC5B94B}"/>
    <hyperlink ref="BN31" r:id="rId1486" xr:uid="{97484FEA-BAB5-443E-9CE3-80E5002E2118}"/>
    <hyperlink ref="BO31" r:id="rId1487" xr:uid="{8040F3CD-817D-4A9C-8ABC-F7B4D8A2D7D4}"/>
    <hyperlink ref="BP31" r:id="rId1488" xr:uid="{6D51BA22-DD0E-430A-A62C-CD200DE9FD76}"/>
    <hyperlink ref="BQ31" r:id="rId1489" xr:uid="{F9087F41-AE28-45BC-9A29-2C3751E3D1DB}"/>
    <hyperlink ref="CA31" r:id="rId1490" xr:uid="{5A4F484C-41C6-48FA-ACE7-559790FF7966}"/>
    <hyperlink ref="CC31" r:id="rId1491" xr:uid="{D0837F29-3D6D-48D8-8FD0-8E79DDA8CBEB}"/>
    <hyperlink ref="CD31" r:id="rId1492" xr:uid="{66EB0AA5-4AD8-4BA4-9481-CC6071C74567}"/>
    <hyperlink ref="CF31" r:id="rId1493" xr:uid="{203CD5AC-C4DD-4F46-AE89-6CA58F301448}"/>
    <hyperlink ref="AQ5" r:id="rId1494" xr:uid="{FC85B795-A226-433E-990E-75590D9A0D79}"/>
    <hyperlink ref="AP5" r:id="rId1495" xr:uid="{F1DEE347-F1A3-42BB-AEA9-C3DB0902D6AD}"/>
    <hyperlink ref="AQ9" r:id="rId1496" xr:uid="{00000000-0004-0000-0200-000019000000}"/>
    <hyperlink ref="AP9" r:id="rId1497" xr:uid="{00000000-0004-0000-0200-000018000000}"/>
    <hyperlink ref="AQ96" r:id="rId1498" xr:uid="{00000000-0004-0000-0200-00006B050000}"/>
    <hyperlink ref="AP96" r:id="rId1499" xr:uid="{00000000-0004-0000-0200-00006A050000}"/>
    <hyperlink ref="AQ81" r:id="rId1500" xr:uid="{00000000-0004-0000-0200-0000DE040000}"/>
    <hyperlink ref="AP81" r:id="rId1501" xr:uid="{00000000-0004-0000-0200-0000DD040000}"/>
    <hyperlink ref="AQ80" r:id="rId1502" xr:uid="{00000000-0004-0000-0200-0000B5040000}"/>
    <hyperlink ref="AP80" r:id="rId1503" xr:uid="{00000000-0004-0000-0200-0000B4040000}"/>
    <hyperlink ref="AQ79" r:id="rId1504" location="/reports/testresults/list/view?tql=testResult.projectKey%20IN%20('TQUALTCM')%20AND%20testRun.key%20IN%20('TQUALTCM-C1624')%20AND%20testRun.onlyLastTestResult%20IS%20true&amp;jql=&amp;title=REPORTS.TEST_RESULTS_ADVANCED.TITLE" xr:uid="{00000000-0004-0000-0200-000092040000}"/>
    <hyperlink ref="AP79" r:id="rId1505" location="/reports/testresults/list/view?tql=testResult.projectKey%20IN%20('TQUALTCM')%20AND%20testRun.key%20IN%20('TQUALTCM-C1623')%20AND%20testRun.onlyLastTestResult%20IS%20true&amp;jql=&amp;title=REPORTS.TEST_RESULTS_ADVANCED.TITLE" xr:uid="{00000000-0004-0000-0200-000091040000}"/>
    <hyperlink ref="AQ78" r:id="rId1506" xr:uid="{00000000-0004-0000-0200-000061040000}"/>
    <hyperlink ref="AP78" r:id="rId1507" xr:uid="{00000000-0004-0000-0200-000060040000}"/>
    <hyperlink ref="AQ77" r:id="rId1508" location="/reports/testresults/list/view?tql=testResult.projectKey%20IN%20('TQUALTCM')%20AND%20testRun.key%20IN%20('TQUALTCM-C1398')%20AND%20testRun.onlyLastTestResult%20IS%20false&amp;jql=&amp;title=REPORTS.TEST_RESULTS_ADVANCED.TITLE" xr:uid="{00000000-0004-0000-0200-000042040000}"/>
    <hyperlink ref="AP77" r:id="rId1509" location="/reports/testresults/list/view?tql=testResult.projectKey%20IN%20('TQUALTCM')%20AND%20testRun.key%20IN%20('TQUALTCM-C1399')%20AND%20testRun.onlyLastTestResult%20IS%20false&amp;jql=&amp;title=REPORTS.TEST_RESULTS_ADVANCED.TITLE" xr:uid="{00000000-0004-0000-0200-000041040000}"/>
    <hyperlink ref="AQ76" r:id="rId1510" location="/reports/testresults/list/view?tql=testResult.projectKey%20IN%20('TQUALTCM')%20AND%20testRun.key%20IN%20('TQUALTCM-C930')%20AND%20testRun.onlyLastTestResult%20IS%20false&amp;jql=&amp;title=REPORTS.TEST_RESULTS_ADVANCED.TITLE" xr:uid="{00000000-0004-0000-0200-000018040000}"/>
    <hyperlink ref="AP76" r:id="rId1511" location="/reports/testresults/list/view?tql=testResult.projectKey%20IN%20('TQUALTCM')%20AND%20testRun.key%20IN%20('TQUALTCM-C929')%20AND%20testRun.onlyLastTestResult%20IS%20false&amp;jql=&amp;title=REPORTS.TEST_RESULTS_ADVANCED.TITLE" xr:uid="{00000000-0004-0000-0200-000017040000}"/>
    <hyperlink ref="AQ44" r:id="rId1512" xr:uid="{00000000-0004-0000-0200-0000C7030000}"/>
    <hyperlink ref="AP44" r:id="rId1513" xr:uid="{00000000-0004-0000-0200-0000C6030000}"/>
    <hyperlink ref="AQ43" r:id="rId1514" xr:uid="{00000000-0004-0000-0200-0000B2030000}"/>
    <hyperlink ref="AP43" r:id="rId1515" xr:uid="{00000000-0004-0000-0200-0000B1030000}"/>
    <hyperlink ref="AQ40" r:id="rId1516" xr:uid="{00000000-0004-0000-0200-00007A030000}"/>
    <hyperlink ref="AP40" r:id="rId1517" xr:uid="{00000000-0004-0000-0200-000079030000}"/>
    <hyperlink ref="AQ38" r:id="rId1518" xr:uid="{00000000-0004-0000-0200-000045030000}"/>
    <hyperlink ref="AP38" r:id="rId1519" xr:uid="{00000000-0004-0000-0200-000044030000}"/>
    <hyperlink ref="AQ36" r:id="rId1520" xr:uid="{00000000-0004-0000-0200-0000F5020000}"/>
    <hyperlink ref="AP36" r:id="rId1521" xr:uid="{00000000-0004-0000-0200-0000F4020000}"/>
    <hyperlink ref="AQ35" r:id="rId1522" xr:uid="{00000000-0004-0000-0200-0000C8020000}"/>
    <hyperlink ref="AP35" r:id="rId1523" xr:uid="{00000000-0004-0000-0200-0000C7020000}"/>
    <hyperlink ref="AQ33" r:id="rId1524" xr:uid="{00000000-0004-0000-0200-000096020000}"/>
    <hyperlink ref="AP33" r:id="rId1525" xr:uid="{00000000-0004-0000-0200-000095020000}"/>
    <hyperlink ref="AQ75" r:id="rId1526" xr:uid="{00000000-0004-0000-0200-000064020000}"/>
    <hyperlink ref="AP75" r:id="rId1527" xr:uid="{00000000-0004-0000-0200-000063020000}"/>
    <hyperlink ref="AQ30" r:id="rId1528" xr:uid="{00000000-0004-0000-0200-000026020000}"/>
    <hyperlink ref="AP30" r:id="rId1529" xr:uid="{00000000-0004-0000-0200-000025020000}"/>
    <hyperlink ref="AQ28" r:id="rId1530" location="/reports/testresults/list/view?tql=testResult.projectKey%20IN%20('TQUALTCM')%20AND%20testRun.key%20IN%20('TQUALTCM-C1624')%20AND%20testRun.onlyLastTestResult%20IS%20true&amp;jql=&amp;title=REPORTS.TEST_RESULTS_ADVANCED.TITLE" xr:uid="{00000000-0004-0000-0200-0000FB010000}"/>
    <hyperlink ref="AP28" r:id="rId1531" location="/reports/testresults/list/view?tql=testResult.projectKey%20IN%20('TQUALTCM')%20AND%20testRun.key%20IN%20('TQUALTCM-C1623')%20AND%20testRun.onlyLastTestResult%20IS%20true&amp;jql=&amp;title=REPORTS.TEST_RESULTS_ADVANCED.TITLE" xr:uid="{00000000-0004-0000-0200-0000FA010000}"/>
    <hyperlink ref="AQ27" r:id="rId1532" xr:uid="{00000000-0004-0000-0200-0000CB010000}"/>
    <hyperlink ref="AP27" r:id="rId1533" xr:uid="{00000000-0004-0000-0200-0000CA010000}"/>
    <hyperlink ref="AQ25" r:id="rId1534" xr:uid="{00000000-0004-0000-0200-000089010000}"/>
    <hyperlink ref="AP25" r:id="rId1535" xr:uid="{00000000-0004-0000-0200-000088010000}"/>
    <hyperlink ref="AQ23" r:id="rId1536" xr:uid="{00000000-0004-0000-0200-000047010000}"/>
    <hyperlink ref="AP23" r:id="rId1537" xr:uid="{00000000-0004-0000-0200-000046010000}"/>
    <hyperlink ref="AQ10" r:id="rId1538" xr:uid="{00000000-0004-0000-0200-000046000000}"/>
    <hyperlink ref="AP10" r:id="rId1539" xr:uid="{00000000-0004-0000-0200-000045000000}"/>
    <hyperlink ref="AO76" r:id="rId1540" location="/reports/testresults/list/view?tql=testResult.projectKey%20IN%20('TQUALTCM')%20AND%20testRun.key%20IN%20('TQUALTCM-C927')%20AND%20testRun.onlyLastTestResult%20IS%20false&amp;jql=&amp;title=REPORTS.TEST_RESULTS_ADVANCED.TITL" xr:uid="{DE04E9E3-FCD5-4394-94EA-450746F93E95}"/>
    <hyperlink ref="AO77" r:id="rId1541" location="/reports/testresults/list/view?tql=testResult.projectKey%20IN%20('TQUALTCM')%20AND%20testRun.key%20IN%20('TQUALTCM-C1380')%20AND%20testRun.onlyLastTestResult%20IS%20false&amp;jql=&amp;title=REPORTS.TEST_RESULTS_ADVANCED.TITLE" xr:uid="{39AE31AB-E1C1-4577-85FF-0164A15E3EFE}"/>
    <hyperlink ref="AO78" r:id="rId1542" xr:uid="{5F6AEA2F-39F0-4C20-A11D-74BDD37184A3}"/>
    <hyperlink ref="AO79" r:id="rId1543" location="/reports/testresults/list/view?tql=testResult.projectKey%20IN%20('TQUALTCM')%20AND%20testRun.key%20IN%20('TQUALTCM-C1641')%20AND%20testRun.onlyLastTestResult%20IS%20true&amp;jql=&amp;title=REPORTS.TEST_RESULTS_ADVANCED.TITLE" xr:uid="{A4E774BC-BEE8-442D-9613-DC5DB5A43DED}"/>
    <hyperlink ref="AO80" r:id="rId1544" xr:uid="{85BA6020-F92A-4E3A-8104-4A9721BADD30}"/>
    <hyperlink ref="AO81" r:id="rId1545" xr:uid="{F099B3C0-30CE-4CB6-9214-20967051CE7F}"/>
    <hyperlink ref="AO96" r:id="rId1546" xr:uid="{2AD0F8F4-270A-4758-9D17-42FA6C500034}"/>
    <hyperlink ref="AO5" r:id="rId1547" xr:uid="{CFAFF702-DB63-4BEB-8CA2-C1FA9BC1EF74}"/>
    <hyperlink ref="L5" r:id="rId1548" xr:uid="{7B2B2049-AF17-4B73-B991-7895C1E00AB0}"/>
    <hyperlink ref="M5" r:id="rId1549" xr:uid="{2E9B2739-1801-4CFA-91E4-D7E48CC79DD5}"/>
    <hyperlink ref="D11" r:id="rId1550" display="https://intranet.atlnz.lc/systest/Jira_Reports/testExecReport/jiraExecReport.php?testPlanKey=540&amp;projectKey=TQUALTCM&amp;Report=Report" xr:uid="{620C326B-9DB3-4839-B020-F63F958B6329}"/>
    <hyperlink ref="BD11" r:id="rId1551" xr:uid="{AC2D50B4-186E-446C-AB0F-1DEA47239486}"/>
    <hyperlink ref="BF11" r:id="rId1552" xr:uid="{61096F5C-6F3C-4FD7-A6E5-F9B1CBE5BA2D}"/>
    <hyperlink ref="BH11" r:id="rId1553" xr:uid="{E4F529C3-F5CD-47F0-8005-31B358CA3AB9}"/>
    <hyperlink ref="BI11" r:id="rId1554" xr:uid="{DC7B2F74-D416-48C9-B1AA-465849778400}"/>
    <hyperlink ref="BJ11" r:id="rId1555" xr:uid="{D5E3E168-91C6-4C78-A2F5-54D4E137C08C}"/>
    <hyperlink ref="BK11" r:id="rId1556" xr:uid="{A0ACE47D-CD8C-4313-B16E-483EC2DEE6C7}"/>
    <hyperlink ref="BL11" r:id="rId1557" xr:uid="{A6D437F3-148C-4FF0-A20B-0AD978365F86}"/>
    <hyperlink ref="BM11" r:id="rId1558" xr:uid="{67213D93-35D6-477F-BE5E-ABE47FB26AC9}"/>
    <hyperlink ref="BN11" r:id="rId1559" xr:uid="{7370B9DB-BF40-4BC4-8DBD-0205F1F6ECDA}"/>
    <hyperlink ref="BO11" r:id="rId1560" xr:uid="{0625493E-64C0-497C-BBF3-29239ECD9EFE}"/>
    <hyperlink ref="BP11" r:id="rId1561" xr:uid="{C27C88FB-6531-4CD3-8052-BEA998F2A312}"/>
    <hyperlink ref="BS11" r:id="rId1562" xr:uid="{DB34C6C8-A376-4815-9B26-28FE496EB342}"/>
    <hyperlink ref="BU11" r:id="rId1563" xr:uid="{E91274DD-EA2B-40AA-BB81-860E721D8002}"/>
    <hyperlink ref="BV11" r:id="rId1564" xr:uid="{17FB2BFD-818B-4C42-83CD-DEFB0C717280}"/>
    <hyperlink ref="BW11" r:id="rId1565" xr:uid="{B99B8926-254F-43AA-BF9B-59640DF9D807}"/>
    <hyperlink ref="BX11" r:id="rId1566" xr:uid="{1B0C540E-8386-4A7C-8335-8C015C662C1F}"/>
    <hyperlink ref="BZ11" r:id="rId1567" xr:uid="{3D5F0155-C6EB-48EE-9C0E-4CDD0AC21084}"/>
    <hyperlink ref="CF11" r:id="rId1568" xr:uid="{76647646-20F8-45D7-B502-E56C02AF837E}"/>
    <hyperlink ref="D12" r:id="rId1569" display="https://intranet.atlnz.lc/systest/Jira_Reports/testExecReport/jiraExecReport.php?testPlanKey=541&amp;projectKey=TQUALTCM&amp;Report=Report" xr:uid="{6C8FCE96-A2AE-4E18-B83D-A84C79FBC9E9}"/>
    <hyperlink ref="AV12" r:id="rId1570" xr:uid="{4D27C8BC-D375-4998-8B63-8696617B857E}"/>
    <hyperlink ref="AX12" r:id="rId1571" xr:uid="{5D593439-946F-4F78-89B9-B7EEFABEC59C}"/>
    <hyperlink ref="AY12" r:id="rId1572" xr:uid="{F8BA0332-61B0-4FC0-925E-63C05181F1B4}"/>
    <hyperlink ref="AZ12" r:id="rId1573" xr:uid="{9585BC53-6BFA-42A9-A921-E8F0F73FDB00}"/>
    <hyperlink ref="BA12" r:id="rId1574" xr:uid="{C42897E0-4E7D-4D86-92C2-02F1AB641A20}"/>
    <hyperlink ref="BD12" r:id="rId1575" xr:uid="{CEE49623-34BC-47C9-AC74-DA36AD8AF3FC}"/>
    <hyperlink ref="BF12" r:id="rId1576" xr:uid="{83EA1B8F-9180-488B-B63E-45EF82736A18}"/>
    <hyperlink ref="BH12" r:id="rId1577" xr:uid="{3EF49592-9479-40A5-91C6-C3EF62DF993A}"/>
    <hyperlink ref="BI12" r:id="rId1578" xr:uid="{9FB86E31-71CC-405F-B65E-2B25BD5F91D9}"/>
    <hyperlink ref="BJ12" r:id="rId1579" xr:uid="{33A155D2-A6B0-4D27-993C-70C6CD32D96C}"/>
    <hyperlink ref="BK12" r:id="rId1580" xr:uid="{9405777F-18F6-4286-843D-6532BB8CD99A}"/>
    <hyperlink ref="BL12" r:id="rId1581" xr:uid="{6775D95F-CDDB-4552-A7CD-22C7DA7A908A}"/>
    <hyperlink ref="BM12" r:id="rId1582" xr:uid="{C00F6158-BD49-4CC7-9A06-CBF7D710BA1D}"/>
    <hyperlink ref="BN12" r:id="rId1583" xr:uid="{BBF26265-3A3A-4932-B84F-13A2DBA31988}"/>
    <hyperlink ref="BO12" r:id="rId1584" xr:uid="{B49737C0-94C8-4772-99F8-53AB77DF2CD9}"/>
    <hyperlink ref="BP12" r:id="rId1585" xr:uid="{790030E9-00D6-49CC-8782-393FA329C010}"/>
    <hyperlink ref="BS12" r:id="rId1586" xr:uid="{D5A7E340-F495-4D52-B145-032F93802433}"/>
    <hyperlink ref="BU12" r:id="rId1587" xr:uid="{7B1FF788-B759-4F70-B9FD-8616DB9D7CF5}"/>
    <hyperlink ref="BV12" r:id="rId1588" xr:uid="{2CC98517-77AD-407C-B9E6-09C1A94053D3}"/>
    <hyperlink ref="BW12" r:id="rId1589" xr:uid="{66CEE5C1-E5F4-4B5A-89E8-84A301FDC33D}"/>
    <hyperlink ref="BX12" r:id="rId1590" xr:uid="{7AD49084-6198-4377-9692-75C36AE80517}"/>
    <hyperlink ref="BZ12" r:id="rId1591" xr:uid="{2BEE76F2-398A-4E18-BA74-2696371B82E3}"/>
    <hyperlink ref="CF12" r:id="rId1592" xr:uid="{F7D7AFC6-57A1-404D-BE82-6974557B88E2}"/>
    <hyperlink ref="AV11" r:id="rId1593" xr:uid="{7E04AFF6-2517-4B8F-ADA2-538A9EFFDF6E}"/>
    <hyperlink ref="AX11" r:id="rId1594" xr:uid="{02A540FC-C307-4A8E-94BB-146EB8E2A31F}"/>
    <hyperlink ref="AY11" r:id="rId1595" xr:uid="{A353C8E8-6826-48F7-93E6-D71C6034AFAB}"/>
    <hyperlink ref="AZ11" r:id="rId1596" xr:uid="{F9BB2F2F-73DF-4951-980E-50C04579BEC7}"/>
    <hyperlink ref="BA11" r:id="rId1597" xr:uid="{92499689-732A-4236-AD07-1D4D29819079}"/>
    <hyperlink ref="AV20" r:id="rId1598" xr:uid="{EE0767A4-CAA5-4721-9B1F-0FD840908117}"/>
    <hyperlink ref="AX20" r:id="rId1599" xr:uid="{AE2F4AC0-1189-4705-B506-5A9E4A97A09F}"/>
    <hyperlink ref="AY20" r:id="rId1600" xr:uid="{F1F03A36-B28C-4931-91C5-D8E6368B3200}"/>
    <hyperlink ref="AZ20" r:id="rId1601" xr:uid="{C32F4CEE-32E2-41B9-BAA5-6BE8C478BBD0}"/>
    <hyperlink ref="BA20" r:id="rId1602" xr:uid="{113AD8DF-1699-4115-A227-4A0616F42DFA}"/>
    <hyperlink ref="BB20" r:id="rId1603" xr:uid="{41072F59-C5A5-481E-AF34-347A368DE305}"/>
    <hyperlink ref="BF20" r:id="rId1604" xr:uid="{48E4B851-B63A-4DFE-83DF-190AF57B07B2}"/>
    <hyperlink ref="BH20" r:id="rId1605" xr:uid="{65B6B433-084F-42FE-BF01-C8FF4E8CBF88}"/>
    <hyperlink ref="BI20" r:id="rId1606" xr:uid="{DE428B0B-6214-4BD5-9AF0-C4B7DB2267EC}"/>
    <hyperlink ref="BJ20" r:id="rId1607" xr:uid="{804EA03A-C804-4F71-86E1-B6540350D363}"/>
    <hyperlink ref="BK20" r:id="rId1608" xr:uid="{45271C10-17C8-4146-AEDE-AD951513E5BE}"/>
    <hyperlink ref="BL20" r:id="rId1609" xr:uid="{A0B18CF1-453D-4A2E-9DA5-1ACDFBF08617}"/>
    <hyperlink ref="BM20" r:id="rId1610" xr:uid="{7AB92980-3585-47F7-9C65-43E39645622E}"/>
    <hyperlink ref="BN20" r:id="rId1611" xr:uid="{41A4652E-4BAD-41E3-93A2-563E6086A22D}"/>
    <hyperlink ref="BO20" r:id="rId1612" xr:uid="{67B4863B-A01F-4210-AFA8-8DBD661235E6}"/>
    <hyperlink ref="BP20" r:id="rId1613" xr:uid="{83A2F0C4-FB46-4EE6-8DA3-A46498DA43EC}"/>
    <hyperlink ref="BQ20" r:id="rId1614" xr:uid="{ED3342BF-FC21-4203-9322-99B2AC1FFE96}"/>
    <hyperlink ref="BW20" r:id="rId1615" xr:uid="{B63CBD8A-46FA-4FCF-80F6-1C6ED47591E7}"/>
    <hyperlink ref="AV21" r:id="rId1616" xr:uid="{B7A810D2-69E6-426B-884A-1FE7E4885255}"/>
    <hyperlink ref="AX21" r:id="rId1617" xr:uid="{3F44891C-0F9E-4ABA-9C07-B321589D2BE0}"/>
    <hyperlink ref="AY21" r:id="rId1618" xr:uid="{9193D075-4C11-45C4-9566-0C39B7215331}"/>
    <hyperlink ref="AZ21" r:id="rId1619" xr:uid="{DE1692A4-B291-425C-94CD-81E91B20C5C1}"/>
    <hyperlink ref="BB21" r:id="rId1620" xr:uid="{F47739C0-0E0F-40F2-BAF8-56FA2AAF70C8}"/>
    <hyperlink ref="BF21" r:id="rId1621" xr:uid="{E4AF4EC2-4790-479A-B4EA-4867461EA4E1}"/>
    <hyperlink ref="BH21" r:id="rId1622" xr:uid="{ED5608A1-B25F-4F6C-8336-03EF50B90100}"/>
    <hyperlink ref="BI21" r:id="rId1623" xr:uid="{58E8D230-5642-4BC1-8FB6-EDD73625B783}"/>
    <hyperlink ref="BJ21" r:id="rId1624" xr:uid="{A0BE239A-3896-4DD3-A1AB-7D72D0D0455F}"/>
    <hyperlink ref="BK21" r:id="rId1625" xr:uid="{9121A902-3933-4B51-94D7-F07C818DE58C}"/>
    <hyperlink ref="BL21" r:id="rId1626" xr:uid="{F6C96E84-D45B-4FC1-ACCF-1FB40A26B4E2}"/>
    <hyperlink ref="BM21" r:id="rId1627" xr:uid="{FB4784A7-16E0-46C4-BD9A-6857A7AF505E}"/>
    <hyperlink ref="BN21" r:id="rId1628" xr:uid="{1BA04D7F-686A-40A3-A528-15511BC61EEF}"/>
    <hyperlink ref="BO21" r:id="rId1629" xr:uid="{AA6F4FCA-2D63-4FD7-A944-0421502DF0B7}"/>
    <hyperlink ref="BP21" r:id="rId1630" xr:uid="{790496BD-47AA-4903-8A4C-E4C38B086F22}"/>
    <hyperlink ref="BQ21" r:id="rId1631" xr:uid="{EC7EBB2D-1F81-4DA7-913D-9C6E3538E195}"/>
    <hyperlink ref="BW21" r:id="rId1632" xr:uid="{A03ED04F-8413-4461-8FC7-A17C388AEB91}"/>
    <hyperlink ref="AD5" r:id="rId1633" xr:uid="{4E79FBC4-5655-424E-B8A1-0886D48E3F00}"/>
    <hyperlink ref="D29" r:id="rId1634" display="https://intranet.atlnz.lc/systest/Jira_Reports/testExecReport/jiraExecReport.php?testPlanKey=603&amp;projectKey=TQUALTCM&amp;Report=Report" xr:uid="{5A79E28B-478B-4868-8C0A-0379CD45BFA3}"/>
  </hyperlinks>
  <pageMargins left="0.22013888888888899" right="0.179861111111111" top="0.74791666666666701" bottom="0.74791666666666701" header="0.51180555555555496" footer="0.51180555555555496"/>
  <pageSetup paperSize="8" scale="26" firstPageNumber="0" orientation="landscape" horizontalDpi="300" verticalDpi="300" r:id="rId1635"/>
  <legacyDrawing r:id="rId163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rgb="FF808000"/>
    <outlinePr summaryBelow="0"/>
    <pageSetUpPr fitToPage="1"/>
  </sheetPr>
  <dimension ref="A1:AX108"/>
  <sheetViews>
    <sheetView tabSelected="1" zoomScaleNormal="100" workbookViewId="0">
      <pane xSplit="4" ySplit="7" topLeftCell="M8" activePane="bottomRight" state="frozen"/>
      <selection pane="topRight" activeCell="Q1" sqref="Q1"/>
      <selection pane="bottomLeft" activeCell="A25" sqref="A25"/>
      <selection pane="bottomRight" activeCell="R4" sqref="R4"/>
    </sheetView>
  </sheetViews>
  <sheetFormatPr defaultColWidth="9.140625" defaultRowHeight="15" outlineLevelRow="1" outlineLevelCol="1"/>
  <cols>
    <col min="1" max="1" width="27.85546875" style="15" customWidth="1"/>
    <col min="2" max="3" width="5.85546875" style="15" customWidth="1"/>
    <col min="4" max="4" width="6.7109375" style="15" customWidth="1"/>
    <col min="5" max="5" width="14.42578125" style="15" customWidth="1" outlineLevel="1"/>
    <col min="6" max="8" width="12.5703125" style="15" customWidth="1" outlineLevel="1"/>
    <col min="9" max="9" width="23.140625" style="15" customWidth="1" outlineLevel="1"/>
    <col min="10" max="10" width="21.85546875" style="15" customWidth="1" outlineLevel="1"/>
    <col min="11" max="11" width="21.5703125" style="15" customWidth="1" outlineLevel="1"/>
    <col min="12" max="12" width="16.42578125" style="15" customWidth="1" outlineLevel="1"/>
    <col min="13" max="13" width="20.7109375" style="15" customWidth="1" outlineLevel="1"/>
    <col min="14" max="14" width="21.85546875" style="15" customWidth="1" outlineLevel="1"/>
    <col min="15" max="15" width="12.5703125" style="15" customWidth="1" outlineLevel="1"/>
    <col min="16" max="16" width="15.5703125" style="15" customWidth="1" outlineLevel="1"/>
    <col min="17" max="18" width="12.5703125" style="15" customWidth="1" outlineLevel="1"/>
    <col min="19" max="19" width="15.7109375" style="15" customWidth="1" outlineLevel="1"/>
    <col min="20" max="21" width="12.5703125" style="15" customWidth="1" outlineLevel="1"/>
    <col min="22" max="22" width="14.5703125" style="15" customWidth="1" outlineLevel="1"/>
    <col min="23" max="23" width="12.5703125" style="15" customWidth="1" outlineLevel="1"/>
    <col min="24" max="24" width="14.85546875" style="15" customWidth="1" outlineLevel="1"/>
    <col min="25" max="25" width="12.5703125" style="15" customWidth="1" outlineLevel="1"/>
    <col min="26" max="28" width="12.85546875" style="15" customWidth="1" outlineLevel="1"/>
    <col min="29" max="29" width="13.7109375" style="15" customWidth="1" outlineLevel="1"/>
    <col min="30" max="30" width="15" style="15" customWidth="1" outlineLevel="1"/>
    <col min="31" max="31" width="6.28515625" style="15" customWidth="1"/>
    <col min="32" max="32" width="14.85546875" style="15" hidden="1" customWidth="1" outlineLevel="1"/>
    <col min="33" max="33" width="12.85546875" style="15" hidden="1" customWidth="1" outlineLevel="1"/>
    <col min="34" max="34" width="15.5703125" style="15" hidden="1" customWidth="1" outlineLevel="1"/>
    <col min="35" max="35" width="12.7109375" style="15" hidden="1" customWidth="1" outlineLevel="1"/>
    <col min="36" max="38" width="12.85546875" style="15" hidden="1" customWidth="1" outlineLevel="1"/>
    <col min="39" max="39" width="16.85546875" style="15" hidden="1" customWidth="1" outlineLevel="1"/>
    <col min="40" max="40" width="12.85546875" style="15" customWidth="1" collapsed="1"/>
    <col min="41" max="41" width="12.85546875" style="15" customWidth="1"/>
    <col min="42" max="44" width="12.5703125" style="15" customWidth="1"/>
    <col min="45" max="45" width="12" customWidth="1"/>
    <col min="46" max="50" width="12" style="15" customWidth="1"/>
  </cols>
  <sheetData>
    <row r="1" spans="1:50" ht="18">
      <c r="A1" s="16" t="s">
        <v>440</v>
      </c>
      <c r="D1"/>
      <c r="E1"/>
      <c r="I1"/>
      <c r="J1"/>
      <c r="K1"/>
      <c r="L1"/>
      <c r="M1"/>
      <c r="N1"/>
      <c r="O1"/>
      <c r="P1"/>
      <c r="Q1"/>
      <c r="R1"/>
      <c r="S1"/>
      <c r="T1"/>
      <c r="U1"/>
      <c r="V1"/>
      <c r="W1"/>
      <c r="X1"/>
      <c r="Y1"/>
      <c r="Z1"/>
      <c r="AA1"/>
      <c r="AB1"/>
      <c r="AC1"/>
      <c r="AD1"/>
      <c r="AE1"/>
      <c r="AF1"/>
      <c r="AG1"/>
      <c r="AH1"/>
      <c r="AI1"/>
      <c r="AJ1"/>
      <c r="AK1"/>
      <c r="AL1"/>
      <c r="AM1"/>
      <c r="AN1"/>
      <c r="AO1"/>
      <c r="AV1"/>
      <c r="AW1"/>
      <c r="AX1"/>
    </row>
    <row r="2" spans="1:50" ht="15.75" customHeight="1" thickBot="1">
      <c r="A2" s="18"/>
      <c r="B2" s="333"/>
      <c r="C2" s="333"/>
      <c r="D2" s="334"/>
      <c r="E2" s="334"/>
      <c r="F2" s="20"/>
      <c r="G2" s="20"/>
      <c r="H2" s="20"/>
      <c r="I2" s="334"/>
      <c r="J2" s="334"/>
      <c r="K2" s="334"/>
      <c r="L2" s="334"/>
      <c r="M2" s="334"/>
      <c r="N2" s="334"/>
      <c r="O2" s="334"/>
      <c r="P2" s="334"/>
      <c r="Q2" s="334"/>
      <c r="R2" s="334"/>
      <c r="S2" s="334"/>
      <c r="T2" s="334"/>
      <c r="U2" s="334"/>
      <c r="V2" s="334"/>
      <c r="W2" s="334"/>
      <c r="X2" s="334"/>
      <c r="Y2" s="334"/>
      <c r="Z2" s="334"/>
      <c r="AA2" s="334"/>
      <c r="AB2" s="334"/>
      <c r="AC2" s="334"/>
      <c r="AD2" s="334"/>
      <c r="AE2" s="21"/>
      <c r="AF2" s="21"/>
      <c r="AG2" s="21"/>
      <c r="AH2" s="21"/>
      <c r="AI2" s="21"/>
      <c r="AJ2" s="21"/>
      <c r="AK2" s="21"/>
      <c r="AL2" s="21"/>
      <c r="AM2" s="21"/>
    </row>
    <row r="3" spans="1:50" s="30" customFormat="1" ht="68.25" customHeight="1" thickBot="1">
      <c r="A3" s="1" t="s">
        <v>185</v>
      </c>
      <c r="B3" s="1"/>
      <c r="C3" s="1"/>
      <c r="D3" s="975" t="s">
        <v>2541</v>
      </c>
      <c r="E3" s="2" t="s">
        <v>187</v>
      </c>
      <c r="F3" s="889" t="s">
        <v>1541</v>
      </c>
      <c r="G3" s="23" t="s">
        <v>2194</v>
      </c>
      <c r="H3" s="23" t="s">
        <v>2266</v>
      </c>
      <c r="I3" s="2" t="s">
        <v>2069</v>
      </c>
      <c r="J3" s="2" t="s">
        <v>2160</v>
      </c>
      <c r="K3" s="2" t="s">
        <v>189</v>
      </c>
      <c r="L3" s="976" t="s">
        <v>190</v>
      </c>
      <c r="M3" s="976"/>
      <c r="N3" s="2" t="s">
        <v>2182</v>
      </c>
      <c r="O3" s="992" t="s">
        <v>191</v>
      </c>
      <c r="P3" s="992"/>
      <c r="Q3" s="992"/>
      <c r="R3" s="2" t="s">
        <v>2265</v>
      </c>
      <c r="S3" s="2" t="s">
        <v>51</v>
      </c>
      <c r="T3" s="983" t="s">
        <v>192</v>
      </c>
      <c r="U3" s="983"/>
      <c r="V3" s="983"/>
      <c r="W3" s="992" t="s">
        <v>193</v>
      </c>
      <c r="X3" s="992"/>
      <c r="Y3" s="934" t="s">
        <v>2324</v>
      </c>
      <c r="Z3" s="992" t="s">
        <v>47</v>
      </c>
      <c r="AA3" s="992"/>
      <c r="AB3" s="992"/>
      <c r="AC3" s="992"/>
      <c r="AD3" s="992"/>
      <c r="AE3" s="993" t="s">
        <v>184</v>
      </c>
      <c r="AF3" s="335" t="s">
        <v>55</v>
      </c>
      <c r="AG3" s="335" t="s">
        <v>57</v>
      </c>
      <c r="AH3" s="26" t="s">
        <v>59</v>
      </c>
      <c r="AI3" s="335" t="s">
        <v>60</v>
      </c>
      <c r="AJ3" s="335" t="s">
        <v>441</v>
      </c>
      <c r="AK3" s="335" t="s">
        <v>195</v>
      </c>
      <c r="AL3" s="980" t="s">
        <v>62</v>
      </c>
      <c r="AM3" s="980"/>
    </row>
    <row r="4" spans="1:50" s="30" customFormat="1" ht="24" customHeight="1" outlineLevel="1" thickBot="1">
      <c r="A4" s="1"/>
      <c r="B4" s="1"/>
      <c r="C4" s="1"/>
      <c r="D4" s="975"/>
      <c r="E4" s="58" t="str">
        <f>HYPERLINK("https://intranet.atlnz.lc/systest/Jira_Reports/testExecReport/jiraExecReport.php?testPlanKey=169&amp;projectKey=TQUALTCM&amp;Report=Report","TP169")</f>
        <v>TP169</v>
      </c>
      <c r="F4" s="58" t="str">
        <f>HYPERLINK("https://intranet.atlnz.lc/systest/Jira_Reports/testExecReport/jiraExecReport.php?testPlanKey=450&amp;projectKey=TQUALTCM&amp;Report=Report","TP450")</f>
        <v>TP450</v>
      </c>
      <c r="G4" s="58" t="str">
        <f>HYPERLINK("https://intranet.atlnz.lc/systest/Jira_Reports/testExecReport/jiraExecReport.php?testPlanKey=517&amp;projectKey=TQUALTCM&amp;Report=Report","TP517")</f>
        <v>TP517</v>
      </c>
      <c r="H4" s="58" t="str">
        <f>HYPERLINK("https://intranet.atlnz.lc/systest/Jira_Reports/testExecReport/jiraExecReport.php?testPlanKey=554&amp;projectKey=TQUALTCM&amp;Report=Report","TP554")</f>
        <v>TP554</v>
      </c>
      <c r="I4" s="42" t="s">
        <v>2073</v>
      </c>
      <c r="J4" s="42" t="s">
        <v>2161</v>
      </c>
      <c r="K4" s="42" t="s">
        <v>442</v>
      </c>
      <c r="L4" s="42" t="s">
        <v>443</v>
      </c>
      <c r="M4" s="42" t="s">
        <v>444</v>
      </c>
      <c r="N4" s="42" t="s">
        <v>2188</v>
      </c>
      <c r="O4" s="42" t="s">
        <v>445</v>
      </c>
      <c r="P4" s="42" t="s">
        <v>446</v>
      </c>
      <c r="Q4" s="42" t="s">
        <v>447</v>
      </c>
      <c r="R4" s="42" t="s">
        <v>2397</v>
      </c>
      <c r="S4" s="42" t="s">
        <v>448</v>
      </c>
      <c r="T4" s="42" t="s">
        <v>449</v>
      </c>
      <c r="U4" s="42" t="s">
        <v>450</v>
      </c>
      <c r="V4" s="42" t="s">
        <v>451</v>
      </c>
      <c r="W4" s="42" t="s">
        <v>452</v>
      </c>
      <c r="X4" s="42" t="s">
        <v>453</v>
      </c>
      <c r="Y4" s="42" t="s">
        <v>2322</v>
      </c>
      <c r="Z4" s="42" t="s">
        <v>454</v>
      </c>
      <c r="AA4" s="42" t="s">
        <v>455</v>
      </c>
      <c r="AB4" s="42" t="s">
        <v>456</v>
      </c>
      <c r="AC4" s="42" t="s">
        <v>457</v>
      </c>
      <c r="AD4" s="42" t="s">
        <v>458</v>
      </c>
      <c r="AE4" s="993"/>
      <c r="AF4" s="34" t="s">
        <v>459</v>
      </c>
      <c r="AG4" s="34" t="s">
        <v>460</v>
      </c>
      <c r="AH4" s="34" t="s">
        <v>461</v>
      </c>
      <c r="AI4" s="34" t="s">
        <v>462</v>
      </c>
      <c r="AJ4" s="34" t="s">
        <v>463</v>
      </c>
      <c r="AK4" s="34" t="s">
        <v>464</v>
      </c>
      <c r="AL4" s="34" t="s">
        <v>465</v>
      </c>
      <c r="AM4" s="34" t="s">
        <v>466</v>
      </c>
    </row>
    <row r="5" spans="1:50" s="30" customFormat="1" ht="34.5" outlineLevel="1" thickBot="1">
      <c r="A5" s="1"/>
      <c r="B5" s="1"/>
      <c r="C5" s="1"/>
      <c r="D5" s="975"/>
      <c r="E5" s="36" t="s">
        <v>223</v>
      </c>
      <c r="F5" s="36" t="s">
        <v>103</v>
      </c>
      <c r="G5" s="36" t="s">
        <v>2350</v>
      </c>
      <c r="H5" s="36" t="s">
        <v>2356</v>
      </c>
      <c r="I5" s="36" t="s">
        <v>103</v>
      </c>
      <c r="J5" s="36" t="s">
        <v>2164</v>
      </c>
      <c r="K5" s="36" t="s">
        <v>223</v>
      </c>
      <c r="L5" s="143" t="s">
        <v>223</v>
      </c>
      <c r="M5" s="143" t="s">
        <v>223</v>
      </c>
      <c r="N5" s="36" t="s">
        <v>2183</v>
      </c>
      <c r="O5" s="36" t="s">
        <v>223</v>
      </c>
      <c r="P5" s="36" t="s">
        <v>223</v>
      </c>
      <c r="Q5" s="36" t="s">
        <v>223</v>
      </c>
      <c r="R5" s="36" t="s">
        <v>223</v>
      </c>
      <c r="S5" s="36" t="s">
        <v>223</v>
      </c>
      <c r="T5" s="36" t="s">
        <v>223</v>
      </c>
      <c r="U5" s="36" t="s">
        <v>223</v>
      </c>
      <c r="V5" s="36" t="s">
        <v>223</v>
      </c>
      <c r="W5" s="36" t="s">
        <v>223</v>
      </c>
      <c r="X5" s="36" t="s">
        <v>223</v>
      </c>
      <c r="Y5" s="36" t="s">
        <v>2320</v>
      </c>
      <c r="Z5" s="36" t="s">
        <v>103</v>
      </c>
      <c r="AA5" s="36" t="s">
        <v>103</v>
      </c>
      <c r="AB5" s="36" t="s">
        <v>103</v>
      </c>
      <c r="AC5" s="36" t="s">
        <v>223</v>
      </c>
      <c r="AD5" s="36" t="s">
        <v>223</v>
      </c>
      <c r="AE5" s="993"/>
      <c r="AF5" s="34"/>
      <c r="AG5" s="34"/>
      <c r="AH5" s="34"/>
      <c r="AI5" s="34"/>
      <c r="AJ5" s="34"/>
      <c r="AK5" s="34"/>
      <c r="AL5" s="34"/>
      <c r="AM5" s="34"/>
    </row>
    <row r="6" spans="1:50" s="30" customFormat="1" ht="34.5" outlineLevel="1" thickBot="1">
      <c r="A6" s="1"/>
      <c r="B6" s="1"/>
      <c r="C6" s="1"/>
      <c r="D6" s="975"/>
      <c r="E6" s="36" t="s">
        <v>227</v>
      </c>
      <c r="F6" s="31" t="s">
        <v>1541</v>
      </c>
      <c r="G6" s="31" t="s">
        <v>2194</v>
      </c>
      <c r="H6" s="31" t="s">
        <v>2266</v>
      </c>
      <c r="I6" s="31" t="s">
        <v>2071</v>
      </c>
      <c r="J6" s="31" t="s">
        <v>2162</v>
      </c>
      <c r="K6" s="31" t="s">
        <v>229</v>
      </c>
      <c r="L6" s="31" t="s">
        <v>230</v>
      </c>
      <c r="M6" s="31" t="s">
        <v>230</v>
      </c>
      <c r="N6" s="31" t="s">
        <v>2184</v>
      </c>
      <c r="O6" s="36" t="s">
        <v>191</v>
      </c>
      <c r="P6" s="36" t="s">
        <v>191</v>
      </c>
      <c r="Q6" s="36" t="s">
        <v>191</v>
      </c>
      <c r="R6" s="36" t="s">
        <v>2265</v>
      </c>
      <c r="S6" s="36" t="s">
        <v>51</v>
      </c>
      <c r="T6" s="31" t="s">
        <v>231</v>
      </c>
      <c r="U6" s="31" t="s">
        <v>231</v>
      </c>
      <c r="V6" s="31" t="s">
        <v>231</v>
      </c>
      <c r="W6" s="31" t="s">
        <v>231</v>
      </c>
      <c r="X6" s="31" t="s">
        <v>231</v>
      </c>
      <c r="Y6" s="31" t="s">
        <v>2317</v>
      </c>
      <c r="Z6" s="31" t="s">
        <v>106</v>
      </c>
      <c r="AA6" s="31" t="s">
        <v>106</v>
      </c>
      <c r="AB6" s="31" t="s">
        <v>106</v>
      </c>
      <c r="AC6" s="31" t="s">
        <v>106</v>
      </c>
      <c r="AD6" s="31" t="s">
        <v>106</v>
      </c>
      <c r="AE6" s="993"/>
      <c r="AF6" s="34" t="s">
        <v>111</v>
      </c>
      <c r="AG6" s="33" t="s">
        <v>112</v>
      </c>
      <c r="AH6" s="33" t="s">
        <v>112</v>
      </c>
      <c r="AI6" s="33" t="s">
        <v>234</v>
      </c>
      <c r="AJ6" s="33" t="s">
        <v>61</v>
      </c>
      <c r="AK6" s="33" t="s">
        <v>233</v>
      </c>
      <c r="AL6" s="33" t="s">
        <v>62</v>
      </c>
      <c r="AM6" s="33" t="s">
        <v>62</v>
      </c>
    </row>
    <row r="7" spans="1:50" s="30" customFormat="1" ht="107.25" customHeight="1" collapsed="1" thickBot="1">
      <c r="A7" s="1"/>
      <c r="B7" s="1"/>
      <c r="C7" s="1"/>
      <c r="D7" s="975"/>
      <c r="E7" s="36" t="s">
        <v>467</v>
      </c>
      <c r="F7" s="31" t="s">
        <v>2216</v>
      </c>
      <c r="G7" s="31" t="s">
        <v>2363</v>
      </c>
      <c r="H7" s="31" t="s">
        <v>2364</v>
      </c>
      <c r="I7" s="31" t="s">
        <v>2072</v>
      </c>
      <c r="J7" s="31" t="s">
        <v>2186</v>
      </c>
      <c r="K7" s="31" t="s">
        <v>247</v>
      </c>
      <c r="L7" s="31" t="s">
        <v>248</v>
      </c>
      <c r="M7" s="36" t="s">
        <v>249</v>
      </c>
      <c r="N7" s="31" t="s">
        <v>2187</v>
      </c>
      <c r="O7" s="36" t="s">
        <v>250</v>
      </c>
      <c r="P7" s="36" t="s">
        <v>468</v>
      </c>
      <c r="Q7" s="36" t="s">
        <v>252</v>
      </c>
      <c r="R7" s="36" t="s">
        <v>2396</v>
      </c>
      <c r="S7" s="36" t="s">
        <v>253</v>
      </c>
      <c r="T7" s="31" t="s">
        <v>469</v>
      </c>
      <c r="U7" s="31" t="s">
        <v>254</v>
      </c>
      <c r="V7" s="31" t="s">
        <v>470</v>
      </c>
      <c r="W7" s="36" t="s">
        <v>254</v>
      </c>
      <c r="X7" s="36" t="s">
        <v>471</v>
      </c>
      <c r="Y7" s="36" t="s">
        <v>2531</v>
      </c>
      <c r="Z7" s="36" t="s">
        <v>472</v>
      </c>
      <c r="AA7" s="36" t="s">
        <v>473</v>
      </c>
      <c r="AB7" s="36" t="s">
        <v>257</v>
      </c>
      <c r="AC7" s="36" t="s">
        <v>474</v>
      </c>
      <c r="AD7" s="36" t="s">
        <v>258</v>
      </c>
      <c r="AE7" s="993" t="s">
        <v>475</v>
      </c>
      <c r="AF7" s="34" t="s">
        <v>476</v>
      </c>
      <c r="AG7" s="34" t="s">
        <v>477</v>
      </c>
      <c r="AH7" s="34" t="s">
        <v>478</v>
      </c>
      <c r="AI7" s="34" t="s">
        <v>479</v>
      </c>
      <c r="AJ7" s="34" t="s">
        <v>480</v>
      </c>
      <c r="AK7" s="34" t="s">
        <v>263</v>
      </c>
      <c r="AL7" s="34" t="s">
        <v>481</v>
      </c>
      <c r="AM7" s="34" t="s">
        <v>482</v>
      </c>
    </row>
    <row r="8" spans="1:50" ht="30">
      <c r="A8" s="39" t="str">
        <f>HYPERLINK("https://wiki.atlnz.lc/awpwiki/index.php/Qualification_Transceiver_Inventory#AT-SP10BD10_I-12","AT-SP10BD10/I-12")</f>
        <v>AT-SP10BD10/I-12</v>
      </c>
      <c r="B8" s="41" t="s">
        <v>483</v>
      </c>
      <c r="C8" s="41"/>
      <c r="D8" s="58" t="str">
        <f>HYPERLINK("https://intranet.atlnz.lc/systest/Jira_Reports/testExecReport/jiraExecReport.php?testPlanKey=8&amp;projectKey=TQUALTCM&amp;Report=Report","TP8")</f>
        <v>TP8</v>
      </c>
      <c r="E8" s="336" t="s">
        <v>484</v>
      </c>
      <c r="F8" s="888" t="s">
        <v>2214</v>
      </c>
      <c r="G8" s="888" t="s">
        <v>2329</v>
      </c>
      <c r="H8" s="845" t="s">
        <v>2508</v>
      </c>
      <c r="I8" s="888" t="s">
        <v>2185</v>
      </c>
      <c r="J8" s="888" t="s">
        <v>2209</v>
      </c>
      <c r="K8" s="888" t="s">
        <v>271</v>
      </c>
      <c r="L8" s="337" t="s">
        <v>485</v>
      </c>
      <c r="M8" s="322" t="str">
        <f>HYPERLINK("https:intranet.atlnz.lc/systest/Reports/TestLink/SuiteExecC.php?plan=483426&amp;rep=F&amp;platform=1270","Pass,2-7-18")</f>
        <v>Pass,2-7-18</v>
      </c>
      <c r="N8" s="888" t="s">
        <v>2208</v>
      </c>
      <c r="O8" s="338" t="s">
        <v>484</v>
      </c>
      <c r="P8" s="339" t="s">
        <v>308</v>
      </c>
      <c r="Q8" s="336" t="s">
        <v>484</v>
      </c>
      <c r="R8" s="881" t="s">
        <v>2519</v>
      </c>
      <c r="S8" s="336" t="s">
        <v>484</v>
      </c>
      <c r="T8" s="299" t="str">
        <f>HYPERLINK("https://intranet.atlnz.lc/systest/Reports/TestLink/SuiteExecC.php?plan=486616&amp;rep=F&amp;platform=1270","Pass, Oct-18")</f>
        <v>Pass, Oct-18</v>
      </c>
      <c r="U8" s="340" t="str">
        <f>HYPERLINK("http://intranet.atlnz.lc/systest/Reports/TestLink/SuiteExecC.php?plan=490516&amp;rep=F&amp;platform=1270","Pass, Jan-19")</f>
        <v>Pass, Jan-19</v>
      </c>
      <c r="V8" s="341" t="s">
        <v>139</v>
      </c>
      <c r="W8" s="342" t="s">
        <v>484</v>
      </c>
      <c r="X8" s="341" t="s">
        <v>274</v>
      </c>
      <c r="Y8" s="888" t="s">
        <v>2360</v>
      </c>
      <c r="Z8" s="338" t="s">
        <v>484</v>
      </c>
      <c r="AA8" s="336" t="s">
        <v>484</v>
      </c>
      <c r="AB8" s="336" t="s">
        <v>484</v>
      </c>
      <c r="AC8" s="336" t="s">
        <v>484</v>
      </c>
      <c r="AD8" s="343" t="s">
        <v>278</v>
      </c>
      <c r="AE8" s="344"/>
      <c r="AF8" s="336" t="s">
        <v>484</v>
      </c>
      <c r="AG8" s="336" t="s">
        <v>484</v>
      </c>
      <c r="AH8" s="342" t="s">
        <v>484</v>
      </c>
      <c r="AI8" s="146" t="s">
        <v>165</v>
      </c>
      <c r="AJ8" s="338" t="s">
        <v>484</v>
      </c>
      <c r="AK8" s="337" t="s">
        <v>407</v>
      </c>
      <c r="AL8" s="339" t="s">
        <v>486</v>
      </c>
      <c r="AM8" s="339" t="s">
        <v>486</v>
      </c>
    </row>
    <row r="9" spans="1:50" ht="30">
      <c r="A9" s="58" t="str">
        <f>HYPERLINK("https://wiki.atlnz.lc/awpwiki/index.php/Qualification_Transceiver_Inventory#AT-SP10BD10_I-13","AT-SP10BD10/I-13")</f>
        <v>AT-SP10BD10/I-13</v>
      </c>
      <c r="B9" s="41" t="s">
        <v>483</v>
      </c>
      <c r="C9" s="41"/>
      <c r="D9" s="58" t="str">
        <f>HYPERLINK("https://intranet.atlnz.lc/systest/Jira_Reports/testExecReport/jiraExecReport.php?testPlanKey=83&amp;projectKey=TQUALTCM&amp;Report=Report","TP83")</f>
        <v>TP83</v>
      </c>
      <c r="E9" s="345" t="s">
        <v>484</v>
      </c>
      <c r="F9" s="888" t="s">
        <v>2214</v>
      </c>
      <c r="G9" s="888" t="s">
        <v>2329</v>
      </c>
      <c r="H9" s="845" t="s">
        <v>2508</v>
      </c>
      <c r="I9" s="888" t="s">
        <v>2185</v>
      </c>
      <c r="J9" s="888" t="s">
        <v>2209</v>
      </c>
      <c r="K9" s="888" t="s">
        <v>271</v>
      </c>
      <c r="L9" s="215" t="s">
        <v>485</v>
      </c>
      <c r="M9" s="215" t="str">
        <f>HYPERLINK("http://10.32.16.105/systest/Reports/TestLink/SuiteExecC.php?plan=483426&amp;rep=F&amp;platform=1270","Pass,2-7-18")</f>
        <v>Pass,2-7-18</v>
      </c>
      <c r="N9" s="888" t="s">
        <v>2208</v>
      </c>
      <c r="O9" s="346" t="s">
        <v>484</v>
      </c>
      <c r="P9" s="347" t="s">
        <v>308</v>
      </c>
      <c r="Q9" s="345" t="s">
        <v>484</v>
      </c>
      <c r="R9" s="881" t="s">
        <v>2519</v>
      </c>
      <c r="S9" s="345" t="s">
        <v>484</v>
      </c>
      <c r="T9" s="175" t="str">
        <f>HYPERLINK("https://intranet.atlnz.lc//systest/Reports/TestLink/SuiteExecC.php?plan=486616&amp;rep=F&amp;platform=1270","Pass, Oct-18")</f>
        <v>Pass, Oct-18</v>
      </c>
      <c r="U9" s="348" t="str">
        <f>HYPERLINK("http://intranet.atlnz.lc/systest/Reports/TestLink/SuiteExecC.php?plan=490516&amp;rep=F&amp;platform=1270","Pass, Jan-19")</f>
        <v>Pass, Jan-19</v>
      </c>
      <c r="V9" s="349" t="s">
        <v>139</v>
      </c>
      <c r="W9" s="350" t="s">
        <v>484</v>
      </c>
      <c r="X9" s="349" t="s">
        <v>274</v>
      </c>
      <c r="Y9" s="888" t="s">
        <v>2360</v>
      </c>
      <c r="Z9" s="346" t="s">
        <v>484</v>
      </c>
      <c r="AA9" s="345" t="s">
        <v>484</v>
      </c>
      <c r="AB9" s="345" t="s">
        <v>484</v>
      </c>
      <c r="AC9" s="345" t="s">
        <v>484</v>
      </c>
      <c r="AD9" s="199" t="s">
        <v>278</v>
      </c>
      <c r="AE9" s="344"/>
      <c r="AF9" s="345" t="s">
        <v>484</v>
      </c>
      <c r="AG9" s="345" t="s">
        <v>484</v>
      </c>
      <c r="AH9" s="350" t="s">
        <v>484</v>
      </c>
      <c r="AI9" s="162" t="s">
        <v>165</v>
      </c>
      <c r="AJ9" s="346" t="s">
        <v>484</v>
      </c>
      <c r="AK9" s="351" t="s">
        <v>407</v>
      </c>
      <c r="AL9" s="345" t="s">
        <v>486</v>
      </c>
      <c r="AM9" s="345" t="s">
        <v>486</v>
      </c>
    </row>
    <row r="10" spans="1:50" ht="30">
      <c r="A10" s="58" t="str">
        <f>HYPERLINK("https://wiki.atlnz.lc/awpwiki/index.php/Qualification_Transceiver_Inventory#AT-SP10BD20-12","AT-SP10BD20-12")</f>
        <v>AT-SP10BD20-12</v>
      </c>
      <c r="B10" s="59" t="s">
        <v>487</v>
      </c>
      <c r="C10" s="59"/>
      <c r="D10" s="58" t="str">
        <f>HYPERLINK("https://intranet.atlnz.lc/systest/Jira_Reports/testExecReport/jiraExecReport.php?testPlanKey=84&amp;projectKey=TQUALTCM&amp;Report=Report","TP84")</f>
        <v>TP84</v>
      </c>
      <c r="E10" s="347" t="s">
        <v>488</v>
      </c>
      <c r="F10" s="888" t="s">
        <v>2214</v>
      </c>
      <c r="G10" s="888" t="s">
        <v>2329</v>
      </c>
      <c r="H10" s="845" t="s">
        <v>2508</v>
      </c>
      <c r="I10" s="888" t="s">
        <v>2185</v>
      </c>
      <c r="J10" s="888" t="s">
        <v>2209</v>
      </c>
      <c r="K10" s="888" t="s">
        <v>271</v>
      </c>
      <c r="L10" s="215" t="s">
        <v>485</v>
      </c>
      <c r="M10" s="216" t="s">
        <v>489</v>
      </c>
      <c r="N10" s="888" t="s">
        <v>2208</v>
      </c>
      <c r="O10" s="352" t="s">
        <v>488</v>
      </c>
      <c r="P10" s="347" t="s">
        <v>308</v>
      </c>
      <c r="Q10" s="347" t="s">
        <v>488</v>
      </c>
      <c r="R10" s="881" t="s">
        <v>2519</v>
      </c>
      <c r="S10" s="347" t="s">
        <v>488</v>
      </c>
      <c r="T10" s="175" t="str">
        <f>HYPERLINK("http://intranet.atlnz.lc/systest/Reports/TestLink/SuiteExecC.php?plan=486616&amp;rep=F&amp;platform=1226","Pass, Oct-18")</f>
        <v>Pass, Oct-18</v>
      </c>
      <c r="U10" s="348" t="str">
        <f>HYPERLINK("https://intranet.atlnz.lc/systest/Reports/TestLink/SuiteExecC.php?plan=490516&amp;rep=F&amp;platform=1226","Pass, Jan-19")</f>
        <v>Pass, Jan-19</v>
      </c>
      <c r="V10" s="349" t="s">
        <v>139</v>
      </c>
      <c r="W10" s="353" t="s">
        <v>488</v>
      </c>
      <c r="X10" s="349" t="s">
        <v>139</v>
      </c>
      <c r="Y10" s="888" t="s">
        <v>2360</v>
      </c>
      <c r="Z10" s="352" t="s">
        <v>488</v>
      </c>
      <c r="AA10" s="347" t="s">
        <v>488</v>
      </c>
      <c r="AB10" s="354" t="s">
        <v>488</v>
      </c>
      <c r="AC10" s="347" t="s">
        <v>488</v>
      </c>
      <c r="AD10" s="199" t="s">
        <v>278</v>
      </c>
      <c r="AE10" s="344"/>
      <c r="AF10" s="347" t="s">
        <v>488</v>
      </c>
      <c r="AG10" s="347" t="s">
        <v>488</v>
      </c>
      <c r="AH10" s="353" t="s">
        <v>488</v>
      </c>
      <c r="AI10" s="162" t="s">
        <v>165</v>
      </c>
      <c r="AJ10" s="352" t="s">
        <v>488</v>
      </c>
      <c r="AK10" s="235" t="s">
        <v>488</v>
      </c>
      <c r="AL10" s="347" t="s">
        <v>490</v>
      </c>
      <c r="AM10" s="355" t="s">
        <v>490</v>
      </c>
    </row>
    <row r="11" spans="1:50" ht="30">
      <c r="A11" s="58" t="str">
        <f>HYPERLINK("https://wiki.atlnz.lc/awpwiki/index.php/Qualification_Transceiver_Inventory#AT-SP10BD20-13","AT-SP10BD20-13")</f>
        <v>AT-SP10BD20-13</v>
      </c>
      <c r="B11" s="59" t="s">
        <v>487</v>
      </c>
      <c r="C11" s="59"/>
      <c r="D11" s="58" t="str">
        <f>HYPERLINK("https://intranet.atlnz.lc/systest/Jira_Reports/testExecReport/jiraExecReport.php?testPlanKey=44&amp;projectKey=TQUALTCM&amp;Report=Report","TP44")</f>
        <v>TP44</v>
      </c>
      <c r="E11" s="347" t="s">
        <v>488</v>
      </c>
      <c r="F11" s="888" t="s">
        <v>2214</v>
      </c>
      <c r="G11" s="888" t="s">
        <v>2329</v>
      </c>
      <c r="H11" s="845" t="s">
        <v>2508</v>
      </c>
      <c r="I11" s="888" t="s">
        <v>2185</v>
      </c>
      <c r="J11" s="888" t="s">
        <v>2209</v>
      </c>
      <c r="K11" s="888" t="s">
        <v>271</v>
      </c>
      <c r="L11" s="215" t="s">
        <v>485</v>
      </c>
      <c r="M11" s="216" t="s">
        <v>489</v>
      </c>
      <c r="N11" s="888" t="s">
        <v>2208</v>
      </c>
      <c r="O11" s="352" t="s">
        <v>488</v>
      </c>
      <c r="P11" s="347" t="s">
        <v>308</v>
      </c>
      <c r="Q11" s="347" t="s">
        <v>488</v>
      </c>
      <c r="R11" s="881" t="s">
        <v>2519</v>
      </c>
      <c r="S11" s="347" t="s">
        <v>488</v>
      </c>
      <c r="T11" s="175" t="str">
        <f>HYPERLINK("http://intranet.atlnz.lc/systest/Reports/TestLink/SuiteExecC.php?plan=486616&amp;rep=F&amp;platform=1226","Pass, Oct-18")</f>
        <v>Pass, Oct-18</v>
      </c>
      <c r="U11" s="348" t="str">
        <f>HYPERLINK("https://intranet.atlnz.lc/systest/Reports/TestLink/SuiteExecC.php?plan=490516&amp;rep=F&amp;platform=1226","Pass, Jan-19")</f>
        <v>Pass, Jan-19</v>
      </c>
      <c r="V11" s="349" t="s">
        <v>139</v>
      </c>
      <c r="W11" s="353" t="s">
        <v>488</v>
      </c>
      <c r="X11" s="349" t="s">
        <v>274</v>
      </c>
      <c r="Y11" s="888" t="s">
        <v>2360</v>
      </c>
      <c r="Z11" s="352" t="s">
        <v>488</v>
      </c>
      <c r="AA11" s="347" t="s">
        <v>488</v>
      </c>
      <c r="AB11" s="354" t="s">
        <v>488</v>
      </c>
      <c r="AC11" s="347" t="s">
        <v>488</v>
      </c>
      <c r="AD11" s="199" t="s">
        <v>278</v>
      </c>
      <c r="AE11" s="344"/>
      <c r="AF11" s="347" t="s">
        <v>488</v>
      </c>
      <c r="AG11" s="347" t="s">
        <v>488</v>
      </c>
      <c r="AH11" s="353" t="s">
        <v>488</v>
      </c>
      <c r="AI11" s="162" t="s">
        <v>165</v>
      </c>
      <c r="AJ11" s="352" t="s">
        <v>488</v>
      </c>
      <c r="AK11" s="235" t="s">
        <v>488</v>
      </c>
      <c r="AL11" s="347" t="s">
        <v>490</v>
      </c>
      <c r="AM11" s="355" t="s">
        <v>490</v>
      </c>
    </row>
    <row r="12" spans="1:50" ht="30">
      <c r="A12" s="58" t="str">
        <f>HYPERLINK("https://wiki.atlnz.lc/awpwiki/index.php/Qualification_Transceiver_Inventory#AT-SP10BD40_I-12","AT-SP10BD40/I-12")</f>
        <v>AT-SP10BD40/I-12</v>
      </c>
      <c r="B12" s="59" t="s">
        <v>487</v>
      </c>
      <c r="C12" s="59"/>
      <c r="D12" s="58" t="str">
        <f>HYPERLINK("https://intranet.atlnz.lc/systest/Jira_Reports/testExecReport/jiraExecReport.php?testPlanKey=45&amp;projectKey=TQUALTCM&amp;Report=Report","TP45")</f>
        <v>TP45</v>
      </c>
      <c r="E12" s="347" t="s">
        <v>491</v>
      </c>
      <c r="F12" s="162" t="s">
        <v>319</v>
      </c>
      <c r="G12" s="888" t="s">
        <v>2329</v>
      </c>
      <c r="H12" s="845" t="s">
        <v>2508</v>
      </c>
      <c r="I12" s="888" t="s">
        <v>2185</v>
      </c>
      <c r="J12" s="888" t="s">
        <v>2209</v>
      </c>
      <c r="K12" s="888" t="s">
        <v>271</v>
      </c>
      <c r="L12" s="215" t="s">
        <v>485</v>
      </c>
      <c r="M12" s="216" t="s">
        <v>489</v>
      </c>
      <c r="N12" s="888" t="s">
        <v>2208</v>
      </c>
      <c r="O12" s="352" t="s">
        <v>488</v>
      </c>
      <c r="P12" s="347" t="s">
        <v>308</v>
      </c>
      <c r="Q12" s="347" t="s">
        <v>491</v>
      </c>
      <c r="R12" s="881" t="s">
        <v>2519</v>
      </c>
      <c r="S12" s="347" t="s">
        <v>488</v>
      </c>
      <c r="T12" s="355" t="s">
        <v>492</v>
      </c>
      <c r="U12" s="356" t="s">
        <v>493</v>
      </c>
      <c r="V12" s="349" t="s">
        <v>139</v>
      </c>
      <c r="W12" s="353" t="s">
        <v>488</v>
      </c>
      <c r="X12" s="349" t="s">
        <v>139</v>
      </c>
      <c r="Y12" s="888" t="s">
        <v>2360</v>
      </c>
      <c r="Z12" s="352" t="s">
        <v>488</v>
      </c>
      <c r="AA12" s="347" t="s">
        <v>488</v>
      </c>
      <c r="AB12" s="347" t="s">
        <v>488</v>
      </c>
      <c r="AC12" s="347" t="s">
        <v>488</v>
      </c>
      <c r="AD12" s="199" t="s">
        <v>278</v>
      </c>
      <c r="AE12" s="344"/>
      <c r="AF12" s="347" t="s">
        <v>488</v>
      </c>
      <c r="AG12" s="347" t="s">
        <v>488</v>
      </c>
      <c r="AH12" s="353" t="s">
        <v>488</v>
      </c>
      <c r="AI12" s="162" t="s">
        <v>165</v>
      </c>
      <c r="AJ12" s="352" t="s">
        <v>488</v>
      </c>
      <c r="AK12" s="235" t="s">
        <v>488</v>
      </c>
      <c r="AL12" s="347" t="s">
        <v>490</v>
      </c>
      <c r="AM12" s="355" t="s">
        <v>490</v>
      </c>
    </row>
    <row r="13" spans="1:50" ht="30">
      <c r="A13" s="58" t="str">
        <f>HYPERLINK("https://wiki.atlnz.lc/awpwiki/index.php/Qualification_Transceiver_Inventory#AT-SP10BD40_I-13","AT-SP10BD40/I-13")</f>
        <v>AT-SP10BD40/I-13</v>
      </c>
      <c r="B13" s="59" t="s">
        <v>487</v>
      </c>
      <c r="C13" s="59"/>
      <c r="D13" s="58" t="str">
        <f>HYPERLINK("https://intranet.atlnz.lc/systest/Jira_Reports/testExecReport/jiraExecReport.php?testPlanKey=85&amp;projectKey=TQUALTCM&amp;Report=Report","TP85")</f>
        <v>TP85</v>
      </c>
      <c r="E13" s="347" t="s">
        <v>491</v>
      </c>
      <c r="F13" s="162" t="s">
        <v>319</v>
      </c>
      <c r="G13" s="888" t="s">
        <v>2329</v>
      </c>
      <c r="H13" s="845" t="s">
        <v>2508</v>
      </c>
      <c r="I13" s="888" t="s">
        <v>2185</v>
      </c>
      <c r="J13" s="888" t="s">
        <v>2209</v>
      </c>
      <c r="K13" s="888" t="s">
        <v>271</v>
      </c>
      <c r="L13" s="215" t="s">
        <v>485</v>
      </c>
      <c r="M13" s="216" t="s">
        <v>489</v>
      </c>
      <c r="N13" s="888" t="s">
        <v>2208</v>
      </c>
      <c r="O13" s="352" t="s">
        <v>488</v>
      </c>
      <c r="P13" s="347" t="s">
        <v>308</v>
      </c>
      <c r="Q13" s="347" t="s">
        <v>491</v>
      </c>
      <c r="R13" s="881" t="s">
        <v>2519</v>
      </c>
      <c r="S13" s="347" t="s">
        <v>488</v>
      </c>
      <c r="T13" s="355" t="s">
        <v>492</v>
      </c>
      <c r="U13" s="356" t="s">
        <v>493</v>
      </c>
      <c r="V13" s="349" t="s">
        <v>139</v>
      </c>
      <c r="W13" s="353" t="s">
        <v>488</v>
      </c>
      <c r="X13" s="349" t="s">
        <v>274</v>
      </c>
      <c r="Y13" s="888" t="s">
        <v>2360</v>
      </c>
      <c r="Z13" s="352" t="s">
        <v>488</v>
      </c>
      <c r="AA13" s="347" t="s">
        <v>488</v>
      </c>
      <c r="AB13" s="355" t="s">
        <v>488</v>
      </c>
      <c r="AC13" s="347" t="s">
        <v>488</v>
      </c>
      <c r="AD13" s="199" t="s">
        <v>278</v>
      </c>
      <c r="AE13" s="344"/>
      <c r="AF13" s="347" t="s">
        <v>488</v>
      </c>
      <c r="AG13" s="347" t="s">
        <v>488</v>
      </c>
      <c r="AH13" s="353" t="s">
        <v>488</v>
      </c>
      <c r="AI13" s="162" t="s">
        <v>165</v>
      </c>
      <c r="AJ13" s="352" t="s">
        <v>488</v>
      </c>
      <c r="AK13" s="235" t="s">
        <v>488</v>
      </c>
      <c r="AL13" s="347" t="s">
        <v>490</v>
      </c>
      <c r="AM13" s="355" t="s">
        <v>490</v>
      </c>
    </row>
    <row r="14" spans="1:50" ht="42">
      <c r="A14" s="58" t="str">
        <f>HYPERLINK("https://wiki.atlnz.lc/awpwiki/index.php/Qualification_Transceiver_Inventory#AT-SP10BD80_I-14","AT-SP10BD80/I-14")</f>
        <v>AT-SP10BD80/I-14</v>
      </c>
      <c r="B14" s="59" t="s">
        <v>163</v>
      </c>
      <c r="C14" s="59"/>
      <c r="D14" s="58" t="str">
        <f>HYPERLINK("https://intranet.atlnz.lc/systest/Jira_Reports/testExecReport/jiraExecReport.php?testPlanKey=299&amp;projectKey=TQUALTCM&amp;Report=Report","TP299")</f>
        <v>TP299</v>
      </c>
      <c r="E14" s="162" t="s">
        <v>319</v>
      </c>
      <c r="F14" s="162" t="s">
        <v>319</v>
      </c>
      <c r="G14" s="888" t="s">
        <v>2329</v>
      </c>
      <c r="H14" s="845" t="s">
        <v>2508</v>
      </c>
      <c r="I14" s="888" t="s">
        <v>2185</v>
      </c>
      <c r="J14" s="888" t="s">
        <v>2209</v>
      </c>
      <c r="K14" s="162" t="s">
        <v>319</v>
      </c>
      <c r="L14" s="888" t="s">
        <v>164</v>
      </c>
      <c r="M14" s="888" t="s">
        <v>164</v>
      </c>
      <c r="N14" s="888" t="s">
        <v>2208</v>
      </c>
      <c r="O14" s="162" t="s">
        <v>319</v>
      </c>
      <c r="P14" s="162" t="s">
        <v>319</v>
      </c>
      <c r="Q14" s="162" t="s">
        <v>319</v>
      </c>
      <c r="R14" s="881" t="s">
        <v>2519</v>
      </c>
      <c r="S14" s="888" t="s">
        <v>164</v>
      </c>
      <c r="T14" s="162" t="s">
        <v>319</v>
      </c>
      <c r="U14" s="881" t="s">
        <v>2373</v>
      </c>
      <c r="V14" s="881" t="s">
        <v>2373</v>
      </c>
      <c r="W14" s="888" t="s">
        <v>164</v>
      </c>
      <c r="X14" s="888" t="s">
        <v>164</v>
      </c>
      <c r="Y14" s="888" t="s">
        <v>2360</v>
      </c>
      <c r="Z14" s="162" t="s">
        <v>319</v>
      </c>
      <c r="AA14" s="162" t="s">
        <v>319</v>
      </c>
      <c r="AB14" s="162" t="s">
        <v>319</v>
      </c>
      <c r="AC14" s="162" t="s">
        <v>319</v>
      </c>
      <c r="AD14" s="162" t="s">
        <v>319</v>
      </c>
      <c r="AE14" s="344"/>
      <c r="AF14" s="162" t="s">
        <v>319</v>
      </c>
      <c r="AG14" s="162" t="s">
        <v>319</v>
      </c>
      <c r="AH14" s="162" t="s">
        <v>319</v>
      </c>
      <c r="AI14" s="162" t="s">
        <v>165</v>
      </c>
      <c r="AJ14" s="162" t="s">
        <v>165</v>
      </c>
      <c r="AK14" s="162" t="s">
        <v>165</v>
      </c>
      <c r="AL14" s="162" t="s">
        <v>165</v>
      </c>
      <c r="AM14" s="162" t="s">
        <v>165</v>
      </c>
    </row>
    <row r="15" spans="1:50" ht="42">
      <c r="A15" s="58" t="str">
        <f>HYPERLINK("https://wiki.atlnz.lc/awpwiki/index.php/Qualification_Transceiver_Inventory#AT-SP10BD80_I-15","AT-SP10BD80/I-15")</f>
        <v>AT-SP10BD80/I-15</v>
      </c>
      <c r="B15" s="59" t="s">
        <v>163</v>
      </c>
      <c r="C15" s="59"/>
      <c r="D15" s="58" t="str">
        <f>HYPERLINK("https://intranet.atlnz.lc/systest/Jira_Reports/testExecReport/jiraExecReport.php?testPlanKey=300&amp;projectKey=TQUALTCM&amp;Report=Report","TP300")</f>
        <v>TP300</v>
      </c>
      <c r="E15" s="162" t="s">
        <v>319</v>
      </c>
      <c r="F15" s="162" t="s">
        <v>319</v>
      </c>
      <c r="G15" s="888" t="s">
        <v>2329</v>
      </c>
      <c r="H15" s="845" t="s">
        <v>2508</v>
      </c>
      <c r="I15" s="888" t="s">
        <v>2185</v>
      </c>
      <c r="J15" s="888" t="s">
        <v>2209</v>
      </c>
      <c r="K15" s="162" t="s">
        <v>319</v>
      </c>
      <c r="L15" s="888" t="s">
        <v>164</v>
      </c>
      <c r="M15" s="888" t="s">
        <v>164</v>
      </c>
      <c r="N15" s="888" t="s">
        <v>2208</v>
      </c>
      <c r="O15" s="162" t="s">
        <v>319</v>
      </c>
      <c r="P15" s="162" t="s">
        <v>319</v>
      </c>
      <c r="Q15" s="162" t="s">
        <v>319</v>
      </c>
      <c r="R15" s="881" t="s">
        <v>2519</v>
      </c>
      <c r="S15" s="888" t="s">
        <v>164</v>
      </c>
      <c r="T15" s="162" t="s">
        <v>319</v>
      </c>
      <c r="U15" s="881" t="s">
        <v>2373</v>
      </c>
      <c r="V15" s="881" t="s">
        <v>2373</v>
      </c>
      <c r="W15" s="888" t="s">
        <v>164</v>
      </c>
      <c r="X15" s="888" t="s">
        <v>164</v>
      </c>
      <c r="Y15" s="888" t="s">
        <v>2360</v>
      </c>
      <c r="Z15" s="162" t="s">
        <v>319</v>
      </c>
      <c r="AA15" s="162" t="s">
        <v>319</v>
      </c>
      <c r="AB15" s="162" t="s">
        <v>319</v>
      </c>
      <c r="AC15" s="162" t="s">
        <v>319</v>
      </c>
      <c r="AD15" s="162" t="s">
        <v>319</v>
      </c>
      <c r="AE15" s="344"/>
      <c r="AF15" s="162" t="s">
        <v>319</v>
      </c>
      <c r="AG15" s="162" t="s">
        <v>319</v>
      </c>
      <c r="AH15" s="162" t="s">
        <v>319</v>
      </c>
      <c r="AI15" s="162" t="s">
        <v>165</v>
      </c>
      <c r="AJ15" s="162" t="s">
        <v>165</v>
      </c>
      <c r="AK15" s="162" t="s">
        <v>165</v>
      </c>
      <c r="AL15" s="162" t="s">
        <v>165</v>
      </c>
      <c r="AM15" s="162" t="s">
        <v>165</v>
      </c>
    </row>
    <row r="16" spans="1:50" ht="30">
      <c r="A16" s="58" t="str">
        <f>HYPERLINK("https://wiki.atlnz.lc/awpwiki/index.php/Qualification_Transceiver_Inventory#AT-SP10ER40a_I-X6","AT-SP10ER40a/I")</f>
        <v>AT-SP10ER40a/I</v>
      </c>
      <c r="B16" s="59" t="s">
        <v>500</v>
      </c>
      <c r="C16" s="59"/>
      <c r="D16" s="58" t="str">
        <f>HYPERLINK("https://intranet.atlnz.lc/systest/Jira_Reports/testExecReport/jiraExecReport.php?testPlanKey=292&amp;projectKey=TQUALTCM&amp;Report=Report","TP292")</f>
        <v>TP292</v>
      </c>
      <c r="E16" s="888" t="s">
        <v>164</v>
      </c>
      <c r="F16" s="888" t="s">
        <v>2214</v>
      </c>
      <c r="G16" s="888" t="s">
        <v>2329</v>
      </c>
      <c r="H16" s="845" t="s">
        <v>2508</v>
      </c>
      <c r="I16" s="888" t="s">
        <v>2185</v>
      </c>
      <c r="J16" s="888" t="s">
        <v>2209</v>
      </c>
      <c r="K16" s="162" t="s">
        <v>319</v>
      </c>
      <c r="L16" s="888" t="s">
        <v>164</v>
      </c>
      <c r="M16" s="888" t="s">
        <v>164</v>
      </c>
      <c r="N16" s="888" t="s">
        <v>2208</v>
      </c>
      <c r="O16" s="888" t="s">
        <v>164</v>
      </c>
      <c r="P16" s="888" t="s">
        <v>164</v>
      </c>
      <c r="Q16" s="888" t="s">
        <v>164</v>
      </c>
      <c r="R16" s="881" t="s">
        <v>2519</v>
      </c>
      <c r="S16" s="888" t="s">
        <v>164</v>
      </c>
      <c r="T16" s="888" t="s">
        <v>164</v>
      </c>
      <c r="U16" s="888" t="s">
        <v>164</v>
      </c>
      <c r="V16" s="888" t="s">
        <v>164</v>
      </c>
      <c r="W16" s="888" t="s">
        <v>164</v>
      </c>
      <c r="X16" s="888" t="s">
        <v>164</v>
      </c>
      <c r="Y16" s="888" t="s">
        <v>2360</v>
      </c>
      <c r="Z16" s="888" t="s">
        <v>164</v>
      </c>
      <c r="AA16" s="888" t="s">
        <v>164</v>
      </c>
      <c r="AB16" s="888" t="s">
        <v>164</v>
      </c>
      <c r="AC16" s="888" t="s">
        <v>164</v>
      </c>
      <c r="AD16" s="888" t="s">
        <v>164</v>
      </c>
      <c r="AE16" s="344"/>
      <c r="AF16" s="73" t="s">
        <v>501</v>
      </c>
      <c r="AG16" s="162" t="s">
        <v>319</v>
      </c>
      <c r="AH16" s="360" t="s">
        <v>501</v>
      </c>
      <c r="AI16" s="162" t="s">
        <v>165</v>
      </c>
      <c r="AJ16" s="162" t="s">
        <v>165</v>
      </c>
      <c r="AK16" s="162" t="s">
        <v>165</v>
      </c>
      <c r="AL16" s="162" t="s">
        <v>165</v>
      </c>
      <c r="AM16" s="162" t="s">
        <v>165</v>
      </c>
    </row>
    <row r="17" spans="1:39" ht="25.5">
      <c r="A17" s="58" t="str">
        <f>HYPERLINK("https://wiki.atlnz.lc/awpwiki/index.php/Qualification_Transceiver_Inventory#AT-SP10ER40a_I-X6","AT-SP10ER40a/I")</f>
        <v>AT-SP10ER40a/I</v>
      </c>
      <c r="B17" s="59" t="s">
        <v>161</v>
      </c>
      <c r="C17" s="59"/>
      <c r="D17" s="58" t="str">
        <f>HYPERLINK("https://intranet.atlnz.lc/systest/Jira_Reports/testExecReport/jiraExecReport.php?testPlanKey=623&amp;projectKey=TQUALTCM&amp;Report=Report","TP623")</f>
        <v>TP623</v>
      </c>
      <c r="E17" s="888" t="s">
        <v>2526</v>
      </c>
      <c r="F17" s="888" t="s">
        <v>2526</v>
      </c>
      <c r="G17" s="888" t="s">
        <v>2526</v>
      </c>
      <c r="H17" s="888" t="s">
        <v>2526</v>
      </c>
      <c r="I17" s="888" t="s">
        <v>2526</v>
      </c>
      <c r="J17" s="888" t="s">
        <v>2526</v>
      </c>
      <c r="K17" s="888" t="s">
        <v>2526</v>
      </c>
      <c r="L17" s="888" t="s">
        <v>2526</v>
      </c>
      <c r="M17" s="888" t="s">
        <v>2526</v>
      </c>
      <c r="N17" s="888" t="s">
        <v>2526</v>
      </c>
      <c r="O17" s="888" t="s">
        <v>2526</v>
      </c>
      <c r="P17" s="888" t="s">
        <v>2526</v>
      </c>
      <c r="Q17" s="888" t="s">
        <v>2526</v>
      </c>
      <c r="R17" s="888" t="s">
        <v>2526</v>
      </c>
      <c r="S17" s="888" t="s">
        <v>2526</v>
      </c>
      <c r="T17" s="888" t="s">
        <v>2526</v>
      </c>
      <c r="U17" s="888" t="s">
        <v>2526</v>
      </c>
      <c r="V17" s="888" t="s">
        <v>2526</v>
      </c>
      <c r="W17" s="888" t="s">
        <v>2526</v>
      </c>
      <c r="X17" s="888" t="s">
        <v>2526</v>
      </c>
      <c r="Y17" s="888" t="s">
        <v>2526</v>
      </c>
      <c r="Z17" s="888" t="s">
        <v>2526</v>
      </c>
      <c r="AA17" s="888" t="s">
        <v>2526</v>
      </c>
      <c r="AB17" s="888" t="s">
        <v>2526</v>
      </c>
      <c r="AC17" s="888" t="s">
        <v>2526</v>
      </c>
      <c r="AD17" s="888" t="s">
        <v>2526</v>
      </c>
      <c r="AE17" s="344"/>
      <c r="AF17" s="73" t="s">
        <v>501</v>
      </c>
      <c r="AG17" s="162" t="s">
        <v>319</v>
      </c>
      <c r="AH17" s="360" t="s">
        <v>501</v>
      </c>
      <c r="AI17" s="162" t="s">
        <v>165</v>
      </c>
      <c r="AJ17" s="162" t="s">
        <v>165</v>
      </c>
      <c r="AK17" s="162" t="s">
        <v>165</v>
      </c>
      <c r="AL17" s="162" t="s">
        <v>165</v>
      </c>
      <c r="AM17" s="162" t="s">
        <v>165</v>
      </c>
    </row>
    <row r="18" spans="1:39" ht="30">
      <c r="A18" s="58" t="str">
        <f>HYPERLINK("https://wiki.atlnz.lc/awpwiki/index.php/Qualification_Transceiver_Inventory#AT-SP10LRa-I","AT-SP10LRa/I")</f>
        <v>AT-SP10LRa/I</v>
      </c>
      <c r="B18" s="59" t="s">
        <v>487</v>
      </c>
      <c r="C18" s="59"/>
      <c r="D18" s="58" t="str">
        <f>HYPERLINK("https://intranet.atlnz.lc/systest/Jira_Reports/testExecReport/jiraExecReport.php?testPlanKey=110&amp;projectKey=TQUALTCM&amp;Report=Report","TP110")</f>
        <v>TP110</v>
      </c>
      <c r="E18" s="43" t="s">
        <v>308</v>
      </c>
      <c r="F18" s="888" t="s">
        <v>2214</v>
      </c>
      <c r="G18" s="888" t="s">
        <v>2329</v>
      </c>
      <c r="H18" s="845" t="s">
        <v>2508</v>
      </c>
      <c r="I18" s="888" t="s">
        <v>2185</v>
      </c>
      <c r="J18" s="888" t="s">
        <v>2209</v>
      </c>
      <c r="K18" s="162" t="s">
        <v>319</v>
      </c>
      <c r="L18" s="215" t="s">
        <v>485</v>
      </c>
      <c r="M18" s="216" t="s">
        <v>308</v>
      </c>
      <c r="N18" s="888" t="s">
        <v>2208</v>
      </c>
      <c r="O18" s="145" t="s">
        <v>308</v>
      </c>
      <c r="P18" s="347" t="s">
        <v>308</v>
      </c>
      <c r="Q18" s="43" t="s">
        <v>308</v>
      </c>
      <c r="R18" s="162" t="s">
        <v>319</v>
      </c>
      <c r="S18" s="43" t="s">
        <v>308</v>
      </c>
      <c r="T18" s="43" t="s">
        <v>308</v>
      </c>
      <c r="U18" s="43" t="s">
        <v>308</v>
      </c>
      <c r="V18" s="349" t="s">
        <v>139</v>
      </c>
      <c r="W18" s="43" t="s">
        <v>308</v>
      </c>
      <c r="X18" s="43" t="s">
        <v>308</v>
      </c>
      <c r="Y18" s="888" t="s">
        <v>2360</v>
      </c>
      <c r="Z18" s="43" t="s">
        <v>308</v>
      </c>
      <c r="AA18" s="43" t="s">
        <v>308</v>
      </c>
      <c r="AB18" s="43" t="s">
        <v>353</v>
      </c>
      <c r="AC18" s="43" t="s">
        <v>308</v>
      </c>
      <c r="AD18" s="199" t="s">
        <v>308</v>
      </c>
      <c r="AE18" s="344"/>
      <c r="AF18" s="43" t="s">
        <v>308</v>
      </c>
      <c r="AG18" s="43" t="s">
        <v>308</v>
      </c>
      <c r="AH18" s="44" t="s">
        <v>308</v>
      </c>
      <c r="AI18" s="162" t="s">
        <v>165</v>
      </c>
      <c r="AJ18" s="43" t="s">
        <v>308</v>
      </c>
      <c r="AK18" s="235" t="s">
        <v>308</v>
      </c>
      <c r="AL18" s="43" t="s">
        <v>308</v>
      </c>
      <c r="AM18" s="43" t="s">
        <v>308</v>
      </c>
    </row>
    <row r="19" spans="1:39" ht="30">
      <c r="A19" s="58" t="str">
        <f>HYPERLINK("https://wiki.atlnz.lc/awpwiki/index.php/Qualification_Transceiver_Inventory#AT-SP10LR_I_C","AT-SP10LRa/I")</f>
        <v>AT-SP10LRa/I</v>
      </c>
      <c r="B19" s="59" t="s">
        <v>307</v>
      </c>
      <c r="C19" s="59"/>
      <c r="D19" s="58" t="str">
        <f>HYPERLINK("https://intranet.atlnz.lc/systest/Jira_Reports/testExecReport/jiraExecReport.php?testPlanKey=467&amp;projectKey=TQUALTCM&amp;Report=Report","TP467")</f>
        <v>TP467</v>
      </c>
      <c r="E19" s="888" t="s">
        <v>2359</v>
      </c>
      <c r="F19" s="888" t="s">
        <v>2326</v>
      </c>
      <c r="G19" s="888" t="s">
        <v>2361</v>
      </c>
      <c r="H19" s="888" t="s">
        <v>2471</v>
      </c>
      <c r="I19" s="888" t="s">
        <v>2362</v>
      </c>
      <c r="J19" s="888" t="s">
        <v>2361</v>
      </c>
      <c r="K19" s="888" t="s">
        <v>2326</v>
      </c>
      <c r="L19" s="888" t="s">
        <v>2326</v>
      </c>
      <c r="M19" s="888" t="s">
        <v>319</v>
      </c>
      <c r="N19" s="888" t="s">
        <v>2208</v>
      </c>
      <c r="O19" s="888" t="s">
        <v>2326</v>
      </c>
      <c r="P19" s="888" t="s">
        <v>2326</v>
      </c>
      <c r="Q19" s="888" t="s">
        <v>2326</v>
      </c>
      <c r="R19" s="881" t="s">
        <v>2519</v>
      </c>
      <c r="S19" s="888" t="s">
        <v>2326</v>
      </c>
      <c r="T19" s="888" t="s">
        <v>2326</v>
      </c>
      <c r="U19" s="888" t="s">
        <v>2326</v>
      </c>
      <c r="V19" s="888" t="s">
        <v>2326</v>
      </c>
      <c r="W19" s="888" t="s">
        <v>2166</v>
      </c>
      <c r="X19" s="888" t="s">
        <v>2166</v>
      </c>
      <c r="Y19" s="888" t="s">
        <v>2360</v>
      </c>
      <c r="Z19" s="888" t="s">
        <v>2166</v>
      </c>
      <c r="AA19" s="888" t="s">
        <v>2166</v>
      </c>
      <c r="AB19" s="888" t="s">
        <v>2166</v>
      </c>
      <c r="AC19" s="888" t="s">
        <v>2166</v>
      </c>
      <c r="AD19" s="888" t="s">
        <v>2166</v>
      </c>
      <c r="AE19" s="344"/>
      <c r="AF19" s="43" t="s">
        <v>308</v>
      </c>
      <c r="AG19" s="43" t="s">
        <v>308</v>
      </c>
      <c r="AH19" s="44" t="s">
        <v>308</v>
      </c>
      <c r="AI19" s="162" t="s">
        <v>165</v>
      </c>
      <c r="AJ19" s="43" t="s">
        <v>308</v>
      </c>
      <c r="AK19" s="235" t="s">
        <v>308</v>
      </c>
      <c r="AL19" s="43" t="s">
        <v>308</v>
      </c>
      <c r="AM19" s="43" t="s">
        <v>308</v>
      </c>
    </row>
    <row r="20" spans="1:39" ht="30">
      <c r="A20" s="937" t="str">
        <f>HYPERLINK("https://wiki.atlnz.lc/awpwiki/index.php/Qualification_Transceiver_Inventory#AT-SP10SR_C","AT-SP10SR")</f>
        <v>AT-SP10SR</v>
      </c>
      <c r="B20" s="59" t="s">
        <v>307</v>
      </c>
      <c r="C20" s="59"/>
      <c r="D20" s="58" t="str">
        <f>HYPERLINK("https://intranet.atlnz.lc/systest/Jira_Reports/testExecReport/jiraExecReport.php?testPlanKey=50&amp;projectKey=TQUALTCM&amp;Report=Report","TP50")</f>
        <v>TP50</v>
      </c>
      <c r="E20" s="352" t="s">
        <v>277</v>
      </c>
      <c r="F20" s="888" t="s">
        <v>2214</v>
      </c>
      <c r="G20" s="162" t="s">
        <v>319</v>
      </c>
      <c r="H20" s="845" t="s">
        <v>2508</v>
      </c>
      <c r="I20" s="162" t="s">
        <v>319</v>
      </c>
      <c r="J20" s="397" t="s">
        <v>319</v>
      </c>
      <c r="K20" s="888" t="s">
        <v>271</v>
      </c>
      <c r="L20" s="215" t="s">
        <v>485</v>
      </c>
      <c r="M20" s="215" t="str">
        <f>HYPERLINK("https://intranet.atlnz.lc/systest/Reports/TestLink/SuiteExecC.php?plan=483426&amp;rep=F&amp;platform=177","Pass,2-7-18")</f>
        <v>Pass,2-7-18</v>
      </c>
      <c r="N20" s="397" t="s">
        <v>319</v>
      </c>
      <c r="O20" s="352" t="s">
        <v>291</v>
      </c>
      <c r="P20" s="347" t="s">
        <v>308</v>
      </c>
      <c r="Q20" s="347" t="s">
        <v>299</v>
      </c>
      <c r="R20" s="162" t="s">
        <v>319</v>
      </c>
      <c r="S20" s="352" t="s">
        <v>502</v>
      </c>
      <c r="T20" s="175" t="str">
        <f>HYPERLINK("https://intranet.atlnz.lc/systest/Reports/TestLink/SuiteExecC.php?plan=486616&amp;rep=F&amp;platform=177","Pass, Oct-18")</f>
        <v>Pass, Oct-18</v>
      </c>
      <c r="U20" s="348" t="str">
        <f>HYPERLINK("https://intranet.atlnz.lc/systest/Reports/TestLink/SuiteExecC.php?plan=490516&amp;rep=F&amp;platform=177","Pass, Jan-19")</f>
        <v>Pass, Jan-19</v>
      </c>
      <c r="V20" s="349" t="s">
        <v>139</v>
      </c>
      <c r="W20" s="347" t="s">
        <v>275</v>
      </c>
      <c r="X20" s="336" t="s">
        <v>274</v>
      </c>
      <c r="Y20" s="162" t="s">
        <v>319</v>
      </c>
      <c r="Z20" s="352" t="s">
        <v>356</v>
      </c>
      <c r="AA20" s="352" t="s">
        <v>495</v>
      </c>
      <c r="AB20" s="64" t="s">
        <v>277</v>
      </c>
      <c r="AC20" s="352" t="s">
        <v>496</v>
      </c>
      <c r="AD20" s="199" t="s">
        <v>278</v>
      </c>
      <c r="AE20" s="344"/>
      <c r="AF20" s="354" t="s">
        <v>147</v>
      </c>
      <c r="AG20" s="347" t="s">
        <v>148</v>
      </c>
      <c r="AH20" s="353" t="s">
        <v>503</v>
      </c>
      <c r="AI20" s="162" t="s">
        <v>165</v>
      </c>
      <c r="AJ20" s="352" t="s">
        <v>504</v>
      </c>
      <c r="AK20" s="235" t="s">
        <v>304</v>
      </c>
      <c r="AL20" s="347" t="s">
        <v>504</v>
      </c>
      <c r="AM20" s="347" t="s">
        <v>356</v>
      </c>
    </row>
    <row r="21" spans="1:39" ht="30">
      <c r="A21" s="937" t="str">
        <f>HYPERLINK("https://wiki.atlnz.lc/awpwiki/index.php/Qualification_Transceiver_Inventory#AT-SP10SR_E","AT-SP10SR")</f>
        <v>AT-SP10SR</v>
      </c>
      <c r="B21" s="59" t="s">
        <v>324</v>
      </c>
      <c r="C21" s="59"/>
      <c r="D21" s="58" t="str">
        <f>HYPERLINK("https://intranet.atlnz.lc/systest/Jira_Reports/testExecReport/jiraExecReport.php?testPlanKey=42&amp;projectKey=TQUALTCM&amp;Report=Report","TP42")</f>
        <v>TP42</v>
      </c>
      <c r="E21" s="354" t="s">
        <v>345</v>
      </c>
      <c r="F21" s="888" t="s">
        <v>2214</v>
      </c>
      <c r="G21" s="162" t="s">
        <v>319</v>
      </c>
      <c r="H21" s="845" t="s">
        <v>2508</v>
      </c>
      <c r="I21" s="162" t="s">
        <v>319</v>
      </c>
      <c r="J21" s="397" t="s">
        <v>319</v>
      </c>
      <c r="K21" s="888" t="s">
        <v>271</v>
      </c>
      <c r="L21" s="215" t="s">
        <v>485</v>
      </c>
      <c r="M21" s="215" t="str">
        <f>HYPERLINK("http://intranet.atlnz.lc/systest/Reports/TestLink/SuiteExecC.php?plan=483426&amp;rep=F&amp;platform=695","Pass,2-7-18")</f>
        <v>Pass,2-7-18</v>
      </c>
      <c r="N21" s="397" t="s">
        <v>319</v>
      </c>
      <c r="O21" s="352" t="s">
        <v>299</v>
      </c>
      <c r="P21" s="347" t="s">
        <v>308</v>
      </c>
      <c r="Q21" s="347" t="s">
        <v>299</v>
      </c>
      <c r="R21" s="162" t="s">
        <v>319</v>
      </c>
      <c r="S21" s="347" t="s">
        <v>345</v>
      </c>
      <c r="T21" s="175" t="str">
        <f>HYPERLINK("https://intranet.atlnz.lc/systest/Reports/TestLink/SuiteExecC.php?plan=486616&amp;rep=F&amp;platform=695","Pass, Oct-18")</f>
        <v>Pass, Oct-18</v>
      </c>
      <c r="U21" s="348" t="str">
        <f>HYPERLINK("https://intranet.atlnz.lc/systest/Reports/TestLink/SuiteExecC.php?plan=490516&amp;rep=F&amp;platform=695","Pass, Jan-19")</f>
        <v>Pass, Jan-19</v>
      </c>
      <c r="V21" s="349" t="s">
        <v>274</v>
      </c>
      <c r="W21" s="347" t="s">
        <v>345</v>
      </c>
      <c r="X21" s="349" t="s">
        <v>139</v>
      </c>
      <c r="Y21" s="162" t="s">
        <v>319</v>
      </c>
      <c r="Z21" s="347" t="s">
        <v>345</v>
      </c>
      <c r="AA21" s="347" t="s">
        <v>345</v>
      </c>
      <c r="AB21" s="347" t="s">
        <v>345</v>
      </c>
      <c r="AC21" s="354" t="s">
        <v>345</v>
      </c>
      <c r="AD21" s="199" t="s">
        <v>278</v>
      </c>
      <c r="AE21" s="344"/>
      <c r="AF21" s="354" t="s">
        <v>345</v>
      </c>
      <c r="AG21" s="354" t="s">
        <v>345</v>
      </c>
      <c r="AH21" s="353" t="s">
        <v>345</v>
      </c>
      <c r="AI21" s="162" t="s">
        <v>165</v>
      </c>
      <c r="AJ21" s="352" t="s">
        <v>345</v>
      </c>
      <c r="AK21" s="235" t="s">
        <v>345</v>
      </c>
      <c r="AL21" s="354" t="s">
        <v>345</v>
      </c>
      <c r="AM21" s="354" t="s">
        <v>345</v>
      </c>
    </row>
    <row r="22" spans="1:39" ht="30">
      <c r="A22" s="937" t="str">
        <f>HYPERLINK("https://wiki.atlnz.lc/awpwiki/index.php/Qualification_Transceiver_Inventory#AT-SP10SR_F","AT-SP10SR")</f>
        <v>AT-SP10SR</v>
      </c>
      <c r="B22" s="59" t="s">
        <v>330</v>
      </c>
      <c r="C22" s="59"/>
      <c r="D22" s="58" t="str">
        <f>HYPERLINK("https://intranet.atlnz.lc/systest/Jira_Reports/testExecReport/jiraExecReport.php?testPlanKey=10&amp;projectKey=TQUALTCM&amp;Report=Report","TP10")</f>
        <v>TP10</v>
      </c>
      <c r="E22" s="162" t="s">
        <v>319</v>
      </c>
      <c r="F22" s="888" t="s">
        <v>2214</v>
      </c>
      <c r="G22" s="162" t="s">
        <v>319</v>
      </c>
      <c r="H22" s="845" t="s">
        <v>2508</v>
      </c>
      <c r="I22" s="162" t="s">
        <v>319</v>
      </c>
      <c r="J22" s="397" t="s">
        <v>319</v>
      </c>
      <c r="K22" s="888" t="s">
        <v>271</v>
      </c>
      <c r="L22" s="215" t="s">
        <v>362</v>
      </c>
      <c r="M22" s="162" t="s">
        <v>319</v>
      </c>
      <c r="N22" s="397" t="s">
        <v>319</v>
      </c>
      <c r="O22" s="162" t="s">
        <v>319</v>
      </c>
      <c r="P22" s="162" t="s">
        <v>319</v>
      </c>
      <c r="Q22" s="162" t="s">
        <v>319</v>
      </c>
      <c r="R22" s="162" t="s">
        <v>319</v>
      </c>
      <c r="S22" s="162" t="s">
        <v>319</v>
      </c>
      <c r="T22" s="162" t="s">
        <v>319</v>
      </c>
      <c r="U22" s="162" t="s">
        <v>319</v>
      </c>
      <c r="V22" s="162" t="s">
        <v>319</v>
      </c>
      <c r="W22" s="162" t="s">
        <v>319</v>
      </c>
      <c r="X22" s="162" t="s">
        <v>319</v>
      </c>
      <c r="Y22" s="162" t="s">
        <v>319</v>
      </c>
      <c r="Z22" s="162" t="s">
        <v>319</v>
      </c>
      <c r="AA22" s="162" t="s">
        <v>319</v>
      </c>
      <c r="AB22" s="162" t="s">
        <v>319</v>
      </c>
      <c r="AC22" s="162" t="s">
        <v>319</v>
      </c>
      <c r="AD22" s="199" t="s">
        <v>505</v>
      </c>
      <c r="AE22" s="344"/>
      <c r="AF22" s="162" t="s">
        <v>319</v>
      </c>
      <c r="AG22" s="162" t="s">
        <v>319</v>
      </c>
      <c r="AH22" s="162" t="s">
        <v>319</v>
      </c>
      <c r="AI22" s="162" t="s">
        <v>165</v>
      </c>
      <c r="AJ22" s="162" t="s">
        <v>319</v>
      </c>
      <c r="AK22" s="162" t="s">
        <v>319</v>
      </c>
      <c r="AL22" s="162" t="s">
        <v>319</v>
      </c>
      <c r="AM22" s="162" t="s">
        <v>319</v>
      </c>
    </row>
    <row r="23" spans="1:39" ht="30">
      <c r="A23" s="58" t="str">
        <f>HYPERLINK("https://wiki.atlnz.lc/awpwiki/index.php/Qualification_Transceiver_Inventory#AT-SP10SR_G","AT-SP10SR")</f>
        <v>AT-SP10SR</v>
      </c>
      <c r="B23" s="59" t="s">
        <v>506</v>
      </c>
      <c r="C23" s="59"/>
      <c r="D23" s="58" t="str">
        <f>HYPERLINK("https://intranet.atlnz.lc/systest/Jira_Reports/testExecReport/jiraExecReport.php?testPlanKey=43&amp;projectKey=TQUALTCM&amp;Report=Report","TP43")</f>
        <v>TP43</v>
      </c>
      <c r="E23" s="347" t="s">
        <v>308</v>
      </c>
      <c r="F23" s="888" t="s">
        <v>2214</v>
      </c>
      <c r="G23" s="888" t="s">
        <v>2329</v>
      </c>
      <c r="H23" s="845" t="s">
        <v>2508</v>
      </c>
      <c r="I23" s="888" t="s">
        <v>2185</v>
      </c>
      <c r="J23" s="888" t="s">
        <v>2209</v>
      </c>
      <c r="K23" s="888" t="s">
        <v>271</v>
      </c>
      <c r="L23" s="215" t="s">
        <v>272</v>
      </c>
      <c r="M23" s="216" t="s">
        <v>507</v>
      </c>
      <c r="N23" s="888" t="s">
        <v>2208</v>
      </c>
      <c r="O23" s="352" t="s">
        <v>308</v>
      </c>
      <c r="P23" s="347" t="s">
        <v>308</v>
      </c>
      <c r="Q23" s="347" t="s">
        <v>308</v>
      </c>
      <c r="R23" s="881" t="s">
        <v>2519</v>
      </c>
      <c r="S23" s="347" t="s">
        <v>308</v>
      </c>
      <c r="T23" s="347" t="s">
        <v>308</v>
      </c>
      <c r="U23" s="347" t="s">
        <v>308</v>
      </c>
      <c r="V23" s="336" t="s">
        <v>274</v>
      </c>
      <c r="W23" s="347" t="s">
        <v>308</v>
      </c>
      <c r="X23" s="347" t="s">
        <v>308</v>
      </c>
      <c r="Y23" s="888" t="s">
        <v>2360</v>
      </c>
      <c r="Z23" s="347" t="s">
        <v>308</v>
      </c>
      <c r="AA23" s="347" t="s">
        <v>308</v>
      </c>
      <c r="AB23" s="347" t="s">
        <v>308</v>
      </c>
      <c r="AC23" s="347" t="s">
        <v>308</v>
      </c>
      <c r="AD23" s="199" t="s">
        <v>308</v>
      </c>
      <c r="AE23" s="361"/>
      <c r="AF23" s="347" t="s">
        <v>308</v>
      </c>
      <c r="AG23" s="347" t="s">
        <v>308</v>
      </c>
      <c r="AH23" s="353" t="s">
        <v>308</v>
      </c>
      <c r="AI23" s="162" t="s">
        <v>165</v>
      </c>
      <c r="AJ23" s="347" t="s">
        <v>508</v>
      </c>
      <c r="AK23" s="235" t="s">
        <v>308</v>
      </c>
      <c r="AL23" s="347" t="s">
        <v>308</v>
      </c>
      <c r="AM23" s="347" t="s">
        <v>308</v>
      </c>
    </row>
    <row r="24" spans="1:39" ht="24.75" customHeight="1">
      <c r="A24" s="58" t="str">
        <f>HYPERLINK("https://wiki.atlnz.lc/awpwiki/index.php/Qualification_Transceiver_Inventory#AT-SP10SR_J","AT-SP10SR")</f>
        <v>AT-SP10SR</v>
      </c>
      <c r="B24" s="59" t="s">
        <v>2061</v>
      </c>
      <c r="C24" s="59"/>
      <c r="D24" s="42" t="str">
        <f>HYPERLINK("https://intranet.atlnz.lc/systest/Jira_Reports/testExecReport/jiraExecReport.php?testPlanKey=598&amp;projectKey=TQUALTCM&amp;Report=Report","598")</f>
        <v>598</v>
      </c>
      <c r="E24" s="845" t="s">
        <v>2508</v>
      </c>
      <c r="F24" s="845" t="s">
        <v>2508</v>
      </c>
      <c r="G24" s="845" t="s">
        <v>2508</v>
      </c>
      <c r="H24" s="845" t="s">
        <v>2508</v>
      </c>
      <c r="I24" s="845" t="s">
        <v>2508</v>
      </c>
      <c r="J24" s="845" t="s">
        <v>2508</v>
      </c>
      <c r="K24" s="845" t="s">
        <v>2508</v>
      </c>
      <c r="L24" s="845" t="s">
        <v>2508</v>
      </c>
      <c r="M24" s="845" t="s">
        <v>2508</v>
      </c>
      <c r="N24" s="845" t="s">
        <v>2508</v>
      </c>
      <c r="O24" s="845" t="s">
        <v>2508</v>
      </c>
      <c r="P24" s="845" t="s">
        <v>2508</v>
      </c>
      <c r="Q24" s="845" t="s">
        <v>2508</v>
      </c>
      <c r="R24" s="881" t="s">
        <v>2519</v>
      </c>
      <c r="S24" s="845" t="s">
        <v>2508</v>
      </c>
      <c r="T24" s="845" t="s">
        <v>2508</v>
      </c>
      <c r="U24" s="845" t="s">
        <v>2508</v>
      </c>
      <c r="V24" s="845" t="s">
        <v>2508</v>
      </c>
      <c r="W24" s="845" t="s">
        <v>2508</v>
      </c>
      <c r="X24" s="845" t="s">
        <v>2508</v>
      </c>
      <c r="Y24" s="845" t="s">
        <v>2508</v>
      </c>
      <c r="Z24" s="845" t="s">
        <v>2508</v>
      </c>
      <c r="AA24" s="845" t="s">
        <v>2508</v>
      </c>
      <c r="AB24" s="845" t="s">
        <v>2508</v>
      </c>
      <c r="AC24" s="845" t="s">
        <v>2508</v>
      </c>
      <c r="AD24" s="845" t="s">
        <v>2508</v>
      </c>
      <c r="AE24" s="361"/>
      <c r="AF24" s="347"/>
      <c r="AG24" s="185"/>
      <c r="AH24" s="353"/>
      <c r="AI24" s="162"/>
      <c r="AJ24" s="347"/>
      <c r="AK24" s="235"/>
      <c r="AL24" s="347"/>
      <c r="AM24" s="347"/>
    </row>
    <row r="25" spans="1:39" ht="25.5">
      <c r="A25" s="58" t="s">
        <v>2224</v>
      </c>
      <c r="B25" s="59" t="s">
        <v>2225</v>
      </c>
      <c r="C25" s="59"/>
      <c r="D25" s="42">
        <v>466</v>
      </c>
      <c r="E25" s="370" t="s">
        <v>2223</v>
      </c>
      <c r="F25" s="370" t="s">
        <v>2223</v>
      </c>
      <c r="G25" s="370" t="s">
        <v>2223</v>
      </c>
      <c r="H25" s="845" t="s">
        <v>2508</v>
      </c>
      <c r="I25" s="370" t="s">
        <v>2223</v>
      </c>
      <c r="J25" s="370" t="s">
        <v>2223</v>
      </c>
      <c r="K25" s="370" t="s">
        <v>2223</v>
      </c>
      <c r="L25" s="370" t="s">
        <v>2223</v>
      </c>
      <c r="M25" s="370" t="s">
        <v>2223</v>
      </c>
      <c r="N25" s="370" t="s">
        <v>2223</v>
      </c>
      <c r="O25" s="370" t="s">
        <v>2223</v>
      </c>
      <c r="P25" s="370" t="s">
        <v>2223</v>
      </c>
      <c r="Q25" s="370" t="s">
        <v>2223</v>
      </c>
      <c r="R25" s="965" t="s">
        <v>2520</v>
      </c>
      <c r="S25" s="370" t="s">
        <v>2223</v>
      </c>
      <c r="T25" s="370" t="s">
        <v>2223</v>
      </c>
      <c r="U25" s="370" t="s">
        <v>2223</v>
      </c>
      <c r="V25" s="370" t="s">
        <v>2223</v>
      </c>
      <c r="W25" s="370" t="s">
        <v>2223</v>
      </c>
      <c r="X25" s="370" t="s">
        <v>2223</v>
      </c>
      <c r="Y25" s="370" t="s">
        <v>2223</v>
      </c>
      <c r="Z25" s="370" t="s">
        <v>2223</v>
      </c>
      <c r="AA25" s="370" t="s">
        <v>2223</v>
      </c>
      <c r="AB25" s="370" t="s">
        <v>2223</v>
      </c>
      <c r="AC25" s="370" t="s">
        <v>2223</v>
      </c>
      <c r="AD25" s="370" t="s">
        <v>2223</v>
      </c>
      <c r="AE25" s="361"/>
      <c r="AF25" s="347"/>
      <c r="AG25" s="185"/>
      <c r="AH25" s="353"/>
      <c r="AI25" s="162"/>
      <c r="AJ25" s="347"/>
      <c r="AK25" s="235"/>
      <c r="AL25" s="347"/>
      <c r="AM25" s="347"/>
    </row>
    <row r="26" spans="1:39" ht="25.5">
      <c r="A26" s="58" t="s">
        <v>2226</v>
      </c>
      <c r="B26" s="59" t="s">
        <v>2225</v>
      </c>
      <c r="C26" s="59"/>
      <c r="D26" s="42">
        <v>467</v>
      </c>
      <c r="E26" s="370" t="s">
        <v>2223</v>
      </c>
      <c r="F26" s="370" t="s">
        <v>2223</v>
      </c>
      <c r="G26" s="370" t="s">
        <v>2223</v>
      </c>
      <c r="H26" s="845" t="s">
        <v>2508</v>
      </c>
      <c r="I26" s="370" t="s">
        <v>2223</v>
      </c>
      <c r="J26" s="370" t="s">
        <v>2223</v>
      </c>
      <c r="K26" s="370" t="s">
        <v>2223</v>
      </c>
      <c r="L26" s="370" t="s">
        <v>2223</v>
      </c>
      <c r="M26" s="370" t="s">
        <v>2223</v>
      </c>
      <c r="N26" s="370" t="s">
        <v>2223</v>
      </c>
      <c r="O26" s="370" t="s">
        <v>2223</v>
      </c>
      <c r="P26" s="370" t="s">
        <v>2223</v>
      </c>
      <c r="Q26" s="370" t="s">
        <v>2223</v>
      </c>
      <c r="R26" s="965" t="s">
        <v>2520</v>
      </c>
      <c r="S26" s="370" t="s">
        <v>2223</v>
      </c>
      <c r="T26" s="370" t="s">
        <v>2223</v>
      </c>
      <c r="U26" s="370" t="s">
        <v>2223</v>
      </c>
      <c r="V26" s="370" t="s">
        <v>2223</v>
      </c>
      <c r="W26" s="370" t="s">
        <v>2223</v>
      </c>
      <c r="X26" s="370" t="s">
        <v>2223</v>
      </c>
      <c r="Y26" s="370" t="s">
        <v>2223</v>
      </c>
      <c r="Z26" s="370" t="s">
        <v>2223</v>
      </c>
      <c r="AA26" s="370" t="s">
        <v>2223</v>
      </c>
      <c r="AB26" s="370" t="s">
        <v>2223</v>
      </c>
      <c r="AC26" s="370" t="s">
        <v>2223</v>
      </c>
      <c r="AD26" s="370" t="s">
        <v>2223</v>
      </c>
      <c r="AE26" s="361"/>
      <c r="AF26" s="347"/>
      <c r="AG26" s="185"/>
      <c r="AH26" s="353"/>
      <c r="AI26" s="162"/>
      <c r="AJ26" s="347"/>
      <c r="AK26" s="235"/>
      <c r="AL26" s="347"/>
      <c r="AM26" s="347"/>
    </row>
    <row r="27" spans="1:39" ht="30">
      <c r="A27" s="939" t="str">
        <f>HYPERLINK("https://wiki.atlnz.lc/awpwiki/index.php/Qualification_Transceiver_Inventory#AT-SP10SR_I_X2","AT-SP10SR/I")</f>
        <v>AT-SP10SR/I</v>
      </c>
      <c r="B27" s="59" t="s">
        <v>163</v>
      </c>
      <c r="C27" s="59"/>
      <c r="D27" s="42">
        <v>52</v>
      </c>
      <c r="E27" s="347" t="s">
        <v>277</v>
      </c>
      <c r="F27" s="888" t="s">
        <v>2214</v>
      </c>
      <c r="G27" s="162" t="s">
        <v>319</v>
      </c>
      <c r="H27" s="845" t="s">
        <v>2508</v>
      </c>
      <c r="I27" s="888" t="s">
        <v>2185</v>
      </c>
      <c r="J27" s="888" t="s">
        <v>2209</v>
      </c>
      <c r="K27" s="888" t="s">
        <v>271</v>
      </c>
      <c r="L27" s="215" t="s">
        <v>485</v>
      </c>
      <c r="M27" s="162" t="s">
        <v>319</v>
      </c>
      <c r="N27" s="888" t="s">
        <v>2208</v>
      </c>
      <c r="O27" s="352" t="s">
        <v>494</v>
      </c>
      <c r="P27" s="347" t="s">
        <v>308</v>
      </c>
      <c r="Q27" s="347" t="s">
        <v>299</v>
      </c>
      <c r="R27" s="881" t="s">
        <v>2519</v>
      </c>
      <c r="S27" s="347" t="s">
        <v>357</v>
      </c>
      <c r="T27" s="175" t="str">
        <f>HYPERLINK("http://10.32.16.105/systest/Reports/TestLink/SuiteExecC.php?plan=486616&amp;rep=F&amp;platform=190","Pass, Oct-18")</f>
        <v>Pass, Oct-18</v>
      </c>
      <c r="U27" s="175" t="str">
        <f>HYPERLINK("http://10.32.16.105/systest/Reports/TestLink/SuiteExecC.php?plan=490516&amp;rep=F&amp;platform=190","Pass, Jan-19")</f>
        <v>Pass, Jan-19</v>
      </c>
      <c r="V27" s="349" t="s">
        <v>139</v>
      </c>
      <c r="W27" s="353" t="s">
        <v>275</v>
      </c>
      <c r="X27" s="349" t="s">
        <v>274</v>
      </c>
      <c r="Y27" s="162" t="s">
        <v>319</v>
      </c>
      <c r="Z27" s="352" t="s">
        <v>356</v>
      </c>
      <c r="AA27" s="353" t="s">
        <v>495</v>
      </c>
      <c r="AB27" s="162" t="s">
        <v>165</v>
      </c>
      <c r="AC27" s="347" t="s">
        <v>496</v>
      </c>
      <c r="AD27" s="199" t="s">
        <v>278</v>
      </c>
      <c r="AE27" s="361"/>
      <c r="AF27" s="347" t="s">
        <v>147</v>
      </c>
      <c r="AG27" s="354" t="s">
        <v>148</v>
      </c>
      <c r="AH27" s="353" t="s">
        <v>499</v>
      </c>
      <c r="AI27" s="162" t="s">
        <v>165</v>
      </c>
      <c r="AJ27" s="347" t="s">
        <v>499</v>
      </c>
      <c r="AK27" s="162" t="s">
        <v>165</v>
      </c>
      <c r="AL27" s="347" t="s">
        <v>499</v>
      </c>
      <c r="AM27" s="347" t="s">
        <v>499</v>
      </c>
    </row>
    <row r="28" spans="1:39" ht="30">
      <c r="A28" s="938" t="str">
        <f>HYPERLINK("https://wiki.atlnz.lc/awpwiki/index.php/Qualification_Transceiver_Inventory#AT-SP10SR_I_A","AT-SP10SR/I-90")</f>
        <v>AT-SP10SR/I-90</v>
      </c>
      <c r="B28" s="87" t="s">
        <v>487</v>
      </c>
      <c r="C28" s="87"/>
      <c r="D28" s="42">
        <v>51</v>
      </c>
      <c r="E28" s="162" t="s">
        <v>319</v>
      </c>
      <c r="F28" s="888" t="s">
        <v>2214</v>
      </c>
      <c r="G28" s="888" t="s">
        <v>2329</v>
      </c>
      <c r="H28" s="845" t="s">
        <v>2508</v>
      </c>
      <c r="I28" s="162" t="s">
        <v>319</v>
      </c>
      <c r="J28" s="397" t="s">
        <v>319</v>
      </c>
      <c r="K28" s="888" t="s">
        <v>271</v>
      </c>
      <c r="L28" s="215" t="s">
        <v>485</v>
      </c>
      <c r="M28" s="215" t="str">
        <f>HYPERLINK("https://intranet.atlnz.lc/systest/Reports/TestLink/SuiteExecC.php?plan=483426&amp;rep=F&amp;platform=1144","Pass,2-7-18")</f>
        <v>Pass,2-7-18</v>
      </c>
      <c r="N28" s="397" t="s">
        <v>319</v>
      </c>
      <c r="O28" s="162" t="s">
        <v>319</v>
      </c>
      <c r="P28" s="162" t="s">
        <v>319</v>
      </c>
      <c r="Q28" s="162" t="s">
        <v>319</v>
      </c>
      <c r="R28" s="845" t="s">
        <v>2395</v>
      </c>
      <c r="S28" s="162" t="s">
        <v>319</v>
      </c>
      <c r="T28" s="162" t="s">
        <v>319</v>
      </c>
      <c r="U28" s="162" t="s">
        <v>319</v>
      </c>
      <c r="V28" s="162" t="s">
        <v>319</v>
      </c>
      <c r="W28" s="162" t="s">
        <v>319</v>
      </c>
      <c r="X28" s="162" t="s">
        <v>319</v>
      </c>
      <c r="Y28" s="888" t="s">
        <v>2360</v>
      </c>
      <c r="Z28" s="162" t="s">
        <v>319</v>
      </c>
      <c r="AA28" s="162" t="s">
        <v>319</v>
      </c>
      <c r="AB28" s="162" t="s">
        <v>319</v>
      </c>
      <c r="AC28" s="162" t="s">
        <v>319</v>
      </c>
      <c r="AD28" s="199" t="s">
        <v>278</v>
      </c>
      <c r="AE28" s="344"/>
      <c r="AF28" s="162" t="s">
        <v>319</v>
      </c>
      <c r="AG28" s="362" t="s">
        <v>509</v>
      </c>
      <c r="AH28" s="162" t="s">
        <v>319</v>
      </c>
      <c r="AI28" s="162" t="s">
        <v>165</v>
      </c>
      <c r="AJ28" s="162" t="s">
        <v>319</v>
      </c>
      <c r="AK28" s="162" t="s">
        <v>319</v>
      </c>
      <c r="AL28" s="162" t="s">
        <v>319</v>
      </c>
      <c r="AM28" s="162" t="s">
        <v>319</v>
      </c>
    </row>
    <row r="29" spans="1:39" ht="30">
      <c r="A29" s="363" t="str">
        <f>HYPERLINK("https://wiki.atlnz.lc/awpwiki/index.php/Qualification_Transceiver_Inventory#AT-SP10T","AT-SP10T")</f>
        <v>AT-SP10T</v>
      </c>
      <c r="B29" s="364" t="s">
        <v>161</v>
      </c>
      <c r="C29" s="364"/>
      <c r="D29" s="42">
        <v>35</v>
      </c>
      <c r="E29" s="162" t="s">
        <v>319</v>
      </c>
      <c r="F29" s="888" t="s">
        <v>2214</v>
      </c>
      <c r="G29" s="888" t="s">
        <v>2329</v>
      </c>
      <c r="H29" s="845" t="s">
        <v>2508</v>
      </c>
      <c r="I29" s="162" t="s">
        <v>319</v>
      </c>
      <c r="J29" s="397" t="s">
        <v>319</v>
      </c>
      <c r="K29" s="888" t="s">
        <v>271</v>
      </c>
      <c r="L29" s="215" t="s">
        <v>272</v>
      </c>
      <c r="M29" s="215" t="str">
        <f>HYPERLINK("https://intranet.atlnz.lc/systest/Reports/TestLink/SuiteExecC.php?plan=483426&amp;rep=F&amp;platform=1105","Pass,2-7-18")</f>
        <v>Pass,2-7-18</v>
      </c>
      <c r="N29" s="397" t="s">
        <v>319</v>
      </c>
      <c r="O29" s="365" t="s">
        <v>494</v>
      </c>
      <c r="P29" s="235" t="s">
        <v>308</v>
      </c>
      <c r="Q29" s="235" t="s">
        <v>299</v>
      </c>
      <c r="R29" s="845" t="s">
        <v>2395</v>
      </c>
      <c r="S29" s="235" t="s">
        <v>510</v>
      </c>
      <c r="T29" s="215" t="str">
        <f>HYPERLINK("http://10.32.16.105/systest/Reports/TestLink/SuiteExecC.php?plan=486616&amp;rep=F&amp;platform=1105","Pass, Oct-18")</f>
        <v>Pass, Oct-18</v>
      </c>
      <c r="U29" s="215" t="str">
        <f>HYPERLINK("http://10.32.16.105/systest/Reports/TestLink/SuiteExecC.php?plan=490516&amp;rep=F&amp;platform=1105","Pass, Mar-19")</f>
        <v>Pass, Mar-19</v>
      </c>
      <c r="V29" s="235" t="s">
        <v>274</v>
      </c>
      <c r="W29" s="235" t="s">
        <v>275</v>
      </c>
      <c r="X29" s="235" t="s">
        <v>139</v>
      </c>
      <c r="Y29" s="888" t="s">
        <v>2360</v>
      </c>
      <c r="Z29" s="235" t="s">
        <v>510</v>
      </c>
      <c r="AA29" s="235" t="s">
        <v>510</v>
      </c>
      <c r="AB29" s="235" t="s">
        <v>510</v>
      </c>
      <c r="AC29" s="162" t="s">
        <v>165</v>
      </c>
      <c r="AD29" s="864" t="s">
        <v>511</v>
      </c>
      <c r="AE29" s="344"/>
      <c r="AF29" s="162" t="s">
        <v>165</v>
      </c>
      <c r="AG29" s="162" t="s">
        <v>165</v>
      </c>
      <c r="AH29" s="366" t="s">
        <v>510</v>
      </c>
      <c r="AI29" s="162" t="s">
        <v>165</v>
      </c>
      <c r="AJ29" s="235" t="s">
        <v>510</v>
      </c>
      <c r="AK29" s="235" t="s">
        <v>510</v>
      </c>
      <c r="AL29" s="162" t="s">
        <v>165</v>
      </c>
      <c r="AM29" s="162" t="s">
        <v>165</v>
      </c>
    </row>
    <row r="30" spans="1:39" ht="30">
      <c r="A30" s="939" t="str">
        <f>HYPERLINK("https://wiki.atlnz.lc/awpwiki/index.php/Qualification_Transceiver_Inventory#AT-SP10Ta_B","AT-SP10Ta")</f>
        <v>AT-SP10Ta</v>
      </c>
      <c r="B30" s="364" t="s">
        <v>161</v>
      </c>
      <c r="C30" s="364"/>
      <c r="D30" s="42">
        <v>275</v>
      </c>
      <c r="E30" s="888" t="s">
        <v>512</v>
      </c>
      <c r="F30" s="162" t="s">
        <v>319</v>
      </c>
      <c r="G30" s="888" t="s">
        <v>2329</v>
      </c>
      <c r="H30" s="845" t="s">
        <v>2508</v>
      </c>
      <c r="I30" s="162" t="s">
        <v>319</v>
      </c>
      <c r="J30" s="397" t="s">
        <v>319</v>
      </c>
      <c r="K30" s="162" t="s">
        <v>319</v>
      </c>
      <c r="L30" s="888" t="s">
        <v>512</v>
      </c>
      <c r="M30" s="888" t="s">
        <v>512</v>
      </c>
      <c r="N30" s="397" t="s">
        <v>319</v>
      </c>
      <c r="O30" s="888" t="s">
        <v>512</v>
      </c>
      <c r="P30" s="888" t="s">
        <v>512</v>
      </c>
      <c r="Q30" s="888" t="s">
        <v>512</v>
      </c>
      <c r="R30" s="845" t="s">
        <v>2395</v>
      </c>
      <c r="S30" s="888" t="s">
        <v>512</v>
      </c>
      <c r="T30" s="888" t="s">
        <v>512</v>
      </c>
      <c r="U30" s="888" t="s">
        <v>512</v>
      </c>
      <c r="V30" s="888" t="s">
        <v>512</v>
      </c>
      <c r="W30" s="888" t="s">
        <v>512</v>
      </c>
      <c r="X30" s="888" t="s">
        <v>512</v>
      </c>
      <c r="Y30" s="162" t="s">
        <v>319</v>
      </c>
      <c r="Z30" s="888" t="s">
        <v>512</v>
      </c>
      <c r="AA30" s="888" t="s">
        <v>512</v>
      </c>
      <c r="AB30" s="888" t="s">
        <v>512</v>
      </c>
      <c r="AC30" s="888" t="s">
        <v>512</v>
      </c>
      <c r="AD30" s="888" t="s">
        <v>512</v>
      </c>
      <c r="AE30" s="368"/>
      <c r="AF30" s="162" t="s">
        <v>165</v>
      </c>
      <c r="AG30" s="73" t="s">
        <v>512</v>
      </c>
      <c r="AH30" s="360" t="s">
        <v>512</v>
      </c>
      <c r="AI30" s="162" t="s">
        <v>165</v>
      </c>
      <c r="AJ30" s="162" t="s">
        <v>165</v>
      </c>
      <c r="AK30" s="162" t="s">
        <v>165</v>
      </c>
      <c r="AL30" s="162" t="s">
        <v>165</v>
      </c>
      <c r="AM30" s="162" t="s">
        <v>165</v>
      </c>
    </row>
    <row r="31" spans="1:39" ht="30">
      <c r="A31" s="937" t="str">
        <f>HYPERLINK("https://wiki.atlnz.lc/awpwiki/index.php/Qualification_Transceiver_Inventory#AT-SP10Ta_B1","AT-SP10Ta")</f>
        <v>AT-SP10Ta</v>
      </c>
      <c r="B31" s="41" t="s">
        <v>514</v>
      </c>
      <c r="C31" s="41"/>
      <c r="D31" s="42">
        <v>257</v>
      </c>
      <c r="E31" s="888" t="s">
        <v>512</v>
      </c>
      <c r="F31" s="162" t="s">
        <v>319</v>
      </c>
      <c r="G31" s="162" t="s">
        <v>319</v>
      </c>
      <c r="H31" s="845" t="s">
        <v>2508</v>
      </c>
      <c r="I31" s="888" t="s">
        <v>2185</v>
      </c>
      <c r="J31" s="888" t="s">
        <v>2209</v>
      </c>
      <c r="K31" s="888" t="s">
        <v>271</v>
      </c>
      <c r="L31" s="888" t="s">
        <v>512</v>
      </c>
      <c r="M31" s="888" t="s">
        <v>512</v>
      </c>
      <c r="N31" s="888" t="s">
        <v>2208</v>
      </c>
      <c r="O31" s="888" t="s">
        <v>512</v>
      </c>
      <c r="P31" s="888" t="s">
        <v>512</v>
      </c>
      <c r="Q31" s="888" t="s">
        <v>512</v>
      </c>
      <c r="R31" s="845" t="s">
        <v>2395</v>
      </c>
      <c r="S31" s="888" t="s">
        <v>512</v>
      </c>
      <c r="T31" s="888" t="s">
        <v>512</v>
      </c>
      <c r="U31" s="888" t="s">
        <v>512</v>
      </c>
      <c r="V31" s="888" t="s">
        <v>512</v>
      </c>
      <c r="W31" s="888" t="s">
        <v>512</v>
      </c>
      <c r="X31" s="888" t="s">
        <v>512</v>
      </c>
      <c r="Y31" s="162" t="s">
        <v>319</v>
      </c>
      <c r="Z31" s="888" t="s">
        <v>512</v>
      </c>
      <c r="AA31" s="888" t="s">
        <v>512</v>
      </c>
      <c r="AB31" s="888" t="s">
        <v>512</v>
      </c>
      <c r="AC31" s="888" t="s">
        <v>512</v>
      </c>
      <c r="AD31" s="888" t="s">
        <v>512</v>
      </c>
      <c r="AE31" s="368"/>
      <c r="AF31" s="162" t="s">
        <v>165</v>
      </c>
      <c r="AG31" s="367" t="s">
        <v>513</v>
      </c>
      <c r="AH31" s="369" t="s">
        <v>513</v>
      </c>
      <c r="AI31" s="162" t="s">
        <v>165</v>
      </c>
      <c r="AJ31" s="162" t="s">
        <v>165</v>
      </c>
      <c r="AK31" s="162" t="s">
        <v>165</v>
      </c>
      <c r="AL31" s="162" t="s">
        <v>165</v>
      </c>
      <c r="AM31" s="162" t="s">
        <v>165</v>
      </c>
    </row>
    <row r="32" spans="1:39" ht="30">
      <c r="A32" s="363" t="str">
        <f>HYPERLINK("https://wiki.atlnz.lc/awpwiki/index.php/Qualification_Transceiver_Inventory#AT-SP10TM_X3","AT-SP10TM")</f>
        <v>AT-SP10TM</v>
      </c>
      <c r="B32" s="364" t="s">
        <v>515</v>
      </c>
      <c r="C32" s="364"/>
      <c r="D32" s="42">
        <v>259</v>
      </c>
      <c r="E32" s="888" t="s">
        <v>512</v>
      </c>
      <c r="F32" s="888" t="s">
        <v>2214</v>
      </c>
      <c r="G32" s="888" t="s">
        <v>2329</v>
      </c>
      <c r="H32" s="845" t="s">
        <v>2508</v>
      </c>
      <c r="I32" s="888" t="s">
        <v>2185</v>
      </c>
      <c r="J32" s="888" t="s">
        <v>2209</v>
      </c>
      <c r="K32" s="888" t="s">
        <v>271</v>
      </c>
      <c r="L32" s="888" t="s">
        <v>512</v>
      </c>
      <c r="M32" s="888" t="s">
        <v>512</v>
      </c>
      <c r="N32" s="888" t="s">
        <v>2208</v>
      </c>
      <c r="O32" s="359" t="s">
        <v>2408</v>
      </c>
      <c r="P32" s="359" t="s">
        <v>2408</v>
      </c>
      <c r="Q32" s="359" t="s">
        <v>2408</v>
      </c>
      <c r="R32" s="845" t="s">
        <v>2395</v>
      </c>
      <c r="S32" s="888" t="s">
        <v>512</v>
      </c>
      <c r="T32" s="888" t="s">
        <v>512</v>
      </c>
      <c r="U32" s="73" t="s">
        <v>516</v>
      </c>
      <c r="V32" s="888" t="s">
        <v>512</v>
      </c>
      <c r="W32" s="888" t="s">
        <v>512</v>
      </c>
      <c r="X32" s="888" t="s">
        <v>512</v>
      </c>
      <c r="Y32" s="162" t="s">
        <v>319</v>
      </c>
      <c r="Z32" s="888" t="s">
        <v>512</v>
      </c>
      <c r="AA32" s="888" t="s">
        <v>512</v>
      </c>
      <c r="AB32" s="888" t="s">
        <v>512</v>
      </c>
      <c r="AC32" s="888" t="s">
        <v>512</v>
      </c>
      <c r="AD32" s="888" t="s">
        <v>512</v>
      </c>
      <c r="AE32" s="368"/>
      <c r="AF32" s="162" t="s">
        <v>165</v>
      </c>
      <c r="AG32" s="73" t="s">
        <v>513</v>
      </c>
      <c r="AH32" s="360" t="s">
        <v>513</v>
      </c>
      <c r="AI32" s="162" t="s">
        <v>165</v>
      </c>
      <c r="AJ32" s="162" t="s">
        <v>165</v>
      </c>
      <c r="AK32" s="162" t="s">
        <v>165</v>
      </c>
      <c r="AL32" s="162" t="s">
        <v>165</v>
      </c>
      <c r="AM32" s="162" t="s">
        <v>165</v>
      </c>
    </row>
    <row r="33" spans="1:50" ht="30">
      <c r="A33" s="363" t="str">
        <f>HYPERLINK("https://wiki.atlnz.lc/awpwiki/index.php/Qualification_Transceiver_Inventory#AT-SP10TM_X3","AT-SP10TM")</f>
        <v>AT-SP10TM</v>
      </c>
      <c r="B33" s="364" t="s">
        <v>163</v>
      </c>
      <c r="C33" s="364"/>
      <c r="D33" s="42">
        <v>259</v>
      </c>
      <c r="E33" s="162" t="s">
        <v>319</v>
      </c>
      <c r="F33" s="162" t="s">
        <v>319</v>
      </c>
      <c r="G33" s="162" t="s">
        <v>319</v>
      </c>
      <c r="H33" s="162" t="s">
        <v>319</v>
      </c>
      <c r="I33" s="162" t="s">
        <v>319</v>
      </c>
      <c r="J33" s="162" t="s">
        <v>319</v>
      </c>
      <c r="K33" s="162" t="s">
        <v>319</v>
      </c>
      <c r="L33" s="162" t="s">
        <v>319</v>
      </c>
      <c r="M33" s="162" t="s">
        <v>319</v>
      </c>
      <c r="N33" s="162" t="s">
        <v>319</v>
      </c>
      <c r="O33" s="162" t="s">
        <v>319</v>
      </c>
      <c r="P33" s="162" t="s">
        <v>319</v>
      </c>
      <c r="Q33" s="162" t="s">
        <v>319</v>
      </c>
      <c r="R33" s="881" t="s">
        <v>2519</v>
      </c>
      <c r="S33" s="162" t="s">
        <v>319</v>
      </c>
      <c r="T33" s="162" t="s">
        <v>319</v>
      </c>
      <c r="U33" s="162" t="s">
        <v>319</v>
      </c>
      <c r="V33" s="162" t="s">
        <v>319</v>
      </c>
      <c r="W33" s="162" t="s">
        <v>319</v>
      </c>
      <c r="X33" s="162" t="s">
        <v>319</v>
      </c>
      <c r="Y33" s="888" t="s">
        <v>2360</v>
      </c>
      <c r="Z33" s="162" t="s">
        <v>319</v>
      </c>
      <c r="AA33" s="162" t="s">
        <v>319</v>
      </c>
      <c r="AB33" s="162" t="s">
        <v>319</v>
      </c>
      <c r="AC33" s="162" t="s">
        <v>319</v>
      </c>
      <c r="AD33" s="162" t="s">
        <v>319</v>
      </c>
      <c r="AE33" s="368"/>
      <c r="AF33" s="162" t="s">
        <v>165</v>
      </c>
      <c r="AG33" s="73" t="s">
        <v>513</v>
      </c>
      <c r="AH33" s="360" t="s">
        <v>513</v>
      </c>
      <c r="AI33" s="162" t="s">
        <v>165</v>
      </c>
      <c r="AJ33" s="162" t="s">
        <v>165</v>
      </c>
      <c r="AK33" s="162" t="s">
        <v>165</v>
      </c>
      <c r="AL33" s="162" t="s">
        <v>165</v>
      </c>
      <c r="AM33" s="162" t="s">
        <v>165</v>
      </c>
    </row>
    <row r="34" spans="1:50" ht="30">
      <c r="A34" s="58" t="str">
        <f>HYPERLINK("https://wiki.atlnz.lc/awpwiki/index.php/Qualification_Transceiver_Inventory#AT-SP10TM-I_B","AT-SP10TM/I")</f>
        <v>AT-SP10TM/I</v>
      </c>
      <c r="B34" s="59" t="s">
        <v>161</v>
      </c>
      <c r="C34" s="963"/>
      <c r="D34" s="42">
        <v>619</v>
      </c>
      <c r="E34" s="162"/>
      <c r="F34" s="162"/>
      <c r="G34" s="162"/>
      <c r="I34" s="162"/>
      <c r="J34" s="162"/>
      <c r="K34" s="162"/>
      <c r="L34" s="162"/>
      <c r="N34" s="162"/>
      <c r="O34" s="162"/>
      <c r="Q34" s="162"/>
      <c r="R34" s="881" t="s">
        <v>2519</v>
      </c>
      <c r="S34" s="162"/>
      <c r="T34" s="162"/>
      <c r="U34" s="162"/>
      <c r="W34" s="162"/>
      <c r="Y34" s="888"/>
      <c r="Z34" s="162"/>
      <c r="AA34" s="162"/>
      <c r="AB34" s="162"/>
      <c r="AC34" s="162"/>
      <c r="AD34" s="162"/>
      <c r="AE34" s="368"/>
      <c r="AF34" s="162"/>
      <c r="AG34" s="73"/>
      <c r="AH34" s="360"/>
      <c r="AI34" s="964"/>
      <c r="AJ34" s="162"/>
      <c r="AK34" s="162"/>
      <c r="AL34" s="162"/>
      <c r="AM34" s="162"/>
    </row>
    <row r="35" spans="1:50" ht="45">
      <c r="A35" s="58" t="str">
        <f>HYPERLINK("https://wiki.atlnz.lc/awpwiki/index.php/Qualification_Transceiver_Inventory#AT-SP10TW1","AT-SP10TW1")</f>
        <v>AT-SP10TW1</v>
      </c>
      <c r="B35" s="59" t="s">
        <v>324</v>
      </c>
      <c r="C35" s="59"/>
      <c r="D35" s="42">
        <v>474</v>
      </c>
      <c r="E35" s="888" t="s">
        <v>2217</v>
      </c>
      <c r="F35" s="888" t="s">
        <v>2214</v>
      </c>
      <c r="G35" s="888" t="s">
        <v>2329</v>
      </c>
      <c r="H35" s="845" t="s">
        <v>2508</v>
      </c>
      <c r="I35" s="888" t="s">
        <v>2185</v>
      </c>
      <c r="J35" s="888" t="s">
        <v>2209</v>
      </c>
      <c r="K35" s="888" t="s">
        <v>2218</v>
      </c>
      <c r="L35" s="888" t="s">
        <v>2218</v>
      </c>
      <c r="M35" s="370" t="s">
        <v>162</v>
      </c>
      <c r="N35" s="888" t="s">
        <v>2208</v>
      </c>
      <c r="O35" s="888" t="s">
        <v>2217</v>
      </c>
      <c r="P35" s="370" t="s">
        <v>162</v>
      </c>
      <c r="Q35" s="888" t="s">
        <v>2217</v>
      </c>
      <c r="R35" s="881" t="s">
        <v>2519</v>
      </c>
      <c r="S35" s="888" t="s">
        <v>2218</v>
      </c>
      <c r="T35" s="888" t="s">
        <v>2217</v>
      </c>
      <c r="U35" s="888" t="s">
        <v>2217</v>
      </c>
      <c r="V35" s="370" t="s">
        <v>162</v>
      </c>
      <c r="W35" s="888" t="s">
        <v>2217</v>
      </c>
      <c r="X35" s="370" t="s">
        <v>162</v>
      </c>
      <c r="Y35" s="888" t="s">
        <v>2360</v>
      </c>
      <c r="Z35" s="888" t="s">
        <v>2217</v>
      </c>
      <c r="AA35" s="888" t="s">
        <v>2217</v>
      </c>
      <c r="AB35" s="888" t="s">
        <v>2217</v>
      </c>
      <c r="AC35" s="888" t="s">
        <v>2217</v>
      </c>
      <c r="AD35" s="888" t="s">
        <v>2218</v>
      </c>
      <c r="AE35" s="368"/>
      <c r="AF35" s="235" t="s">
        <v>147</v>
      </c>
      <c r="AG35" s="162" t="s">
        <v>165</v>
      </c>
      <c r="AH35" s="366" t="s">
        <v>518</v>
      </c>
      <c r="AI35" s="371" t="s">
        <v>279</v>
      </c>
      <c r="AJ35" s="235" t="s">
        <v>356</v>
      </c>
      <c r="AK35" s="235" t="s">
        <v>304</v>
      </c>
      <c r="AL35" s="235" t="s">
        <v>519</v>
      </c>
      <c r="AM35" s="235" t="s">
        <v>520</v>
      </c>
    </row>
    <row r="36" spans="1:50" ht="45">
      <c r="A36" s="58" t="str">
        <f>HYPERLINK("https://wiki.atlnz.lc/awpwiki/index.php/Qualification_Transceiver_Inventory#AT-SP10TW3","AT-SP10TW3")</f>
        <v>AT-SP10TW3</v>
      </c>
      <c r="B36" s="59" t="s">
        <v>161</v>
      </c>
      <c r="C36" s="372"/>
      <c r="D36" s="42">
        <v>57</v>
      </c>
      <c r="E36" s="235" t="s">
        <v>345</v>
      </c>
      <c r="F36" s="888" t="s">
        <v>2214</v>
      </c>
      <c r="G36" s="888" t="s">
        <v>2220</v>
      </c>
      <c r="H36" s="888" t="s">
        <v>2220</v>
      </c>
      <c r="I36" s="888" t="s">
        <v>2220</v>
      </c>
      <c r="J36" s="888" t="s">
        <v>2220</v>
      </c>
      <c r="K36" s="888" t="s">
        <v>271</v>
      </c>
      <c r="L36" s="888" t="s">
        <v>2220</v>
      </c>
      <c r="M36" s="888" t="s">
        <v>2220</v>
      </c>
      <c r="N36" s="888" t="s">
        <v>2220</v>
      </c>
      <c r="O36" s="365" t="s">
        <v>291</v>
      </c>
      <c r="P36" s="888" t="s">
        <v>2219</v>
      </c>
      <c r="Q36" s="235" t="s">
        <v>299</v>
      </c>
      <c r="R36" s="845" t="s">
        <v>2395</v>
      </c>
      <c r="S36" s="235" t="s">
        <v>273</v>
      </c>
      <c r="T36" s="175" t="str">
        <f>HYPERLINK("http://10.32.16.105/systest/Reports/TestLink/SuiteExecC.php?plan=486616&amp;rep=F&amp;platform=198","Pass, Oct-18")</f>
        <v>Pass, Oct-18</v>
      </c>
      <c r="U36" s="175" t="str">
        <f>HYPERLINK("http://10.32.16.105/systest/Reports/TestLink/SuiteExecC.php?plan=490516&amp;rep=F&amp;platform=198","Pass, Jan-19")</f>
        <v>Pass, Jan-19</v>
      </c>
      <c r="V36" s="888" t="s">
        <v>2219</v>
      </c>
      <c r="W36" s="235" t="s">
        <v>275</v>
      </c>
      <c r="X36" s="888" t="s">
        <v>2219</v>
      </c>
      <c r="Y36" s="888" t="s">
        <v>2219</v>
      </c>
      <c r="Z36" s="235" t="s">
        <v>356</v>
      </c>
      <c r="AA36" s="235" t="s">
        <v>367</v>
      </c>
      <c r="AB36" s="235" t="s">
        <v>277</v>
      </c>
      <c r="AC36" s="235" t="s">
        <v>367</v>
      </c>
      <c r="AD36" s="235" t="s">
        <v>517</v>
      </c>
      <c r="AE36" s="368"/>
      <c r="AF36" s="162" t="s">
        <v>165</v>
      </c>
      <c r="AG36" s="162" t="s">
        <v>165</v>
      </c>
      <c r="AH36" s="366" t="s">
        <v>518</v>
      </c>
      <c r="AI36" s="162" t="s">
        <v>165</v>
      </c>
      <c r="AJ36" s="235" t="s">
        <v>356</v>
      </c>
      <c r="AK36" s="235" t="s">
        <v>304</v>
      </c>
      <c r="AL36" s="235" t="s">
        <v>519</v>
      </c>
      <c r="AM36" s="235" t="s">
        <v>520</v>
      </c>
    </row>
    <row r="37" spans="1:50" ht="45">
      <c r="A37" s="58" t="str">
        <f>HYPERLINK("https://wiki.atlnz.lc/awpwiki/index.php/Qualification_Transceiver_Inventory#AT-SP10TW3","AT-SP10TW3")</f>
        <v>AT-SP10TW3</v>
      </c>
      <c r="B37" s="59" t="s">
        <v>506</v>
      </c>
      <c r="C37" s="373"/>
      <c r="D37" s="42">
        <v>373</v>
      </c>
      <c r="E37" s="888" t="s">
        <v>2218</v>
      </c>
      <c r="F37" s="888" t="s">
        <v>2214</v>
      </c>
      <c r="G37" s="888" t="s">
        <v>2329</v>
      </c>
      <c r="H37" s="845" t="s">
        <v>2508</v>
      </c>
      <c r="I37" s="888" t="s">
        <v>2185</v>
      </c>
      <c r="J37" s="888" t="s">
        <v>2209</v>
      </c>
      <c r="K37" s="888" t="s">
        <v>271</v>
      </c>
      <c r="L37" s="215" t="s">
        <v>362</v>
      </c>
      <c r="M37" s="370" t="s">
        <v>162</v>
      </c>
      <c r="N37" s="888" t="s">
        <v>2208</v>
      </c>
      <c r="O37" s="888" t="s">
        <v>2218</v>
      </c>
      <c r="P37" s="370" t="s">
        <v>162</v>
      </c>
      <c r="Q37" s="888" t="s">
        <v>2218</v>
      </c>
      <c r="R37" s="845" t="s">
        <v>2395</v>
      </c>
      <c r="S37" s="888" t="s">
        <v>2218</v>
      </c>
      <c r="T37" s="888" t="s">
        <v>2218</v>
      </c>
      <c r="U37" s="888" t="s">
        <v>2218</v>
      </c>
      <c r="V37" s="370" t="s">
        <v>162</v>
      </c>
      <c r="W37" s="888" t="s">
        <v>2218</v>
      </c>
      <c r="X37" s="370" t="s">
        <v>162</v>
      </c>
      <c r="Y37" s="888" t="s">
        <v>2360</v>
      </c>
      <c r="Z37" s="888" t="s">
        <v>2218</v>
      </c>
      <c r="AA37" s="888" t="s">
        <v>2218</v>
      </c>
      <c r="AB37" s="888" t="s">
        <v>2218</v>
      </c>
      <c r="AC37" s="888" t="s">
        <v>2218</v>
      </c>
      <c r="AD37" s="888" t="s">
        <v>2218</v>
      </c>
      <c r="AE37" s="368"/>
      <c r="AF37" s="177"/>
      <c r="AG37" s="162" t="s">
        <v>165</v>
      </c>
      <c r="AH37" s="185"/>
      <c r="AI37" s="162" t="s">
        <v>165</v>
      </c>
      <c r="AJ37" s="185"/>
      <c r="AK37" s="235"/>
      <c r="AL37" s="185"/>
      <c r="AM37" s="185"/>
    </row>
    <row r="38" spans="1:50" ht="30">
      <c r="A38" s="58" t="str">
        <f>HYPERLINK("https://wiki.atlnz.lc/awpwiki/index.php/Qualification_Transceiver_Inventory#AT-SP10TW7-A","AT-SP10TW7")</f>
        <v>AT-SP10TW7</v>
      </c>
      <c r="B38" s="59" t="s">
        <v>163</v>
      </c>
      <c r="C38" s="59"/>
      <c r="D38" s="42">
        <v>58</v>
      </c>
      <c r="E38" s="162" t="s">
        <v>165</v>
      </c>
      <c r="F38" s="162" t="s">
        <v>319</v>
      </c>
      <c r="G38" s="888" t="s">
        <v>2329</v>
      </c>
      <c r="H38" s="845" t="s">
        <v>2508</v>
      </c>
      <c r="I38" s="162" t="s">
        <v>319</v>
      </c>
      <c r="J38" s="888" t="s">
        <v>2209</v>
      </c>
      <c r="K38" s="888" t="s">
        <v>271</v>
      </c>
      <c r="L38" s="215" t="s">
        <v>272</v>
      </c>
      <c r="M38" s="215" t="str">
        <f>HYPERLINK("https://intranet.atlnz.lc/systest/Reports/TestLink/SuiteExecC.php?plan=483426&amp;rep=F&amp;platform=199","Pass,2-7-18")</f>
        <v>Pass,2-7-18</v>
      </c>
      <c r="N38" s="888" t="s">
        <v>2208</v>
      </c>
      <c r="O38" s="162" t="s">
        <v>165</v>
      </c>
      <c r="P38" s="162" t="s">
        <v>165</v>
      </c>
      <c r="Q38" s="162" t="s">
        <v>165</v>
      </c>
      <c r="R38" s="845" t="s">
        <v>2395</v>
      </c>
      <c r="S38" s="347" t="s">
        <v>273</v>
      </c>
      <c r="T38" s="175" t="str">
        <f>HYPERLINK("http://10.32.16.105/systest/Reports/TestLink/SuiteExecC.php?plan=486616&amp;rep=F&amp;platform=199","Pass, Oct-18")</f>
        <v>Pass, Oct-18</v>
      </c>
      <c r="U38" s="348" t="str">
        <f>HYPERLINK("http://10.32.16.105/systest/Reports/TestLink/SuiteExecC.php?plan=490516&amp;rep=F&amp;platform=199","Pass, Jan-19")</f>
        <v>Pass, Jan-19</v>
      </c>
      <c r="V38" s="349" t="s">
        <v>139</v>
      </c>
      <c r="W38" s="353" t="s">
        <v>275</v>
      </c>
      <c r="X38" s="349" t="s">
        <v>274</v>
      </c>
      <c r="Y38" s="888" t="s">
        <v>2360</v>
      </c>
      <c r="Z38" s="352" t="s">
        <v>356</v>
      </c>
      <c r="AA38" s="347" t="s">
        <v>367</v>
      </c>
      <c r="AB38" s="347" t="s">
        <v>277</v>
      </c>
      <c r="AC38" s="347" t="s">
        <v>367</v>
      </c>
      <c r="AD38" s="235" t="s">
        <v>278</v>
      </c>
      <c r="AE38" s="368"/>
      <c r="AF38" s="162" t="s">
        <v>165</v>
      </c>
      <c r="AG38" s="162" t="s">
        <v>165</v>
      </c>
      <c r="AH38" s="353" t="s">
        <v>518</v>
      </c>
      <c r="AI38" s="162" t="s">
        <v>165</v>
      </c>
      <c r="AJ38" s="352" t="s">
        <v>356</v>
      </c>
      <c r="AK38" s="235" t="s">
        <v>304</v>
      </c>
      <c r="AL38" s="354" t="s">
        <v>519</v>
      </c>
      <c r="AM38" s="354" t="s">
        <v>520</v>
      </c>
    </row>
    <row r="39" spans="1:50" ht="30">
      <c r="A39" s="58" t="str">
        <f>HYPERLINK("https://wiki.atlnz.lc/awpwiki/index.php/Qualification_Transceiver_Inventory#AT-SP10TW7-D","AT-SP10TW7")</f>
        <v>AT-SP10TW7</v>
      </c>
      <c r="B39" s="59" t="s">
        <v>352</v>
      </c>
      <c r="C39" s="59"/>
      <c r="D39" s="42">
        <v>547</v>
      </c>
      <c r="E39" s="162" t="s">
        <v>319</v>
      </c>
      <c r="F39" s="162" t="s">
        <v>319</v>
      </c>
      <c r="G39" s="162" t="s">
        <v>319</v>
      </c>
      <c r="H39" s="845" t="s">
        <v>2508</v>
      </c>
      <c r="I39" s="162" t="s">
        <v>319</v>
      </c>
      <c r="J39" s="162" t="s">
        <v>319</v>
      </c>
      <c r="K39" s="162" t="s">
        <v>319</v>
      </c>
      <c r="L39" s="162" t="s">
        <v>319</v>
      </c>
      <c r="M39" s="162" t="s">
        <v>319</v>
      </c>
      <c r="N39" s="162" t="s">
        <v>319</v>
      </c>
      <c r="O39" s="162" t="s">
        <v>319</v>
      </c>
      <c r="P39" s="162" t="s">
        <v>319</v>
      </c>
      <c r="Q39" s="162" t="s">
        <v>319</v>
      </c>
      <c r="R39" s="881" t="s">
        <v>2519</v>
      </c>
      <c r="S39" s="162" t="s">
        <v>319</v>
      </c>
      <c r="T39" s="162" t="s">
        <v>319</v>
      </c>
      <c r="U39" s="162" t="s">
        <v>319</v>
      </c>
      <c r="V39" s="162" t="s">
        <v>319</v>
      </c>
      <c r="W39" s="162" t="s">
        <v>319</v>
      </c>
      <c r="X39" s="162" t="s">
        <v>319</v>
      </c>
      <c r="Y39" s="162" t="s">
        <v>319</v>
      </c>
      <c r="Z39" s="162" t="s">
        <v>319</v>
      </c>
      <c r="AA39" s="162" t="s">
        <v>319</v>
      </c>
      <c r="AB39" s="162" t="s">
        <v>319</v>
      </c>
      <c r="AC39" s="162" t="s">
        <v>319</v>
      </c>
      <c r="AD39" s="162" t="s">
        <v>319</v>
      </c>
      <c r="AE39" s="368"/>
      <c r="AF39" s="162" t="s">
        <v>165</v>
      </c>
      <c r="AG39" s="162" t="s">
        <v>165</v>
      </c>
      <c r="AH39" s="353" t="s">
        <v>518</v>
      </c>
      <c r="AI39" s="162" t="s">
        <v>165</v>
      </c>
      <c r="AJ39" s="352" t="s">
        <v>356</v>
      </c>
      <c r="AK39" s="235" t="s">
        <v>304</v>
      </c>
      <c r="AL39" s="354" t="s">
        <v>519</v>
      </c>
      <c r="AM39" s="354" t="s">
        <v>520</v>
      </c>
    </row>
    <row r="40" spans="1:50" s="400" customFormat="1" ht="30" customHeight="1">
      <c r="A40" s="381" t="str">
        <f>HYPERLINK("https://wiki.atlnz.lc/awpwiki/index.php/Qualification_Transceiver_Inventory#AT-SP10ZR80_I_C","AT-SP10ZR80/I_C")</f>
        <v>AT-SP10ZR80/I_C</v>
      </c>
      <c r="B40" s="395" t="s">
        <v>307</v>
      </c>
      <c r="C40" s="395" t="s">
        <v>307</v>
      </c>
      <c r="D40" s="396">
        <v>418</v>
      </c>
      <c r="E40" s="73" t="s">
        <v>2167</v>
      </c>
      <c r="F40" s="888" t="s">
        <v>2214</v>
      </c>
      <c r="G40" s="888" t="s">
        <v>2329</v>
      </c>
      <c r="H40" s="845" t="s">
        <v>2508</v>
      </c>
      <c r="I40" s="888" t="s">
        <v>2185</v>
      </c>
      <c r="J40" s="888" t="s">
        <v>2209</v>
      </c>
      <c r="K40" s="397" t="s">
        <v>319</v>
      </c>
      <c r="L40" s="888" t="s">
        <v>2167</v>
      </c>
      <c r="M40" s="888" t="s">
        <v>2167</v>
      </c>
      <c r="N40" s="888" t="s">
        <v>2208</v>
      </c>
      <c r="O40" s="888" t="s">
        <v>2167</v>
      </c>
      <c r="P40" s="888" t="s">
        <v>2167</v>
      </c>
      <c r="Q40" s="888" t="s">
        <v>2167</v>
      </c>
      <c r="R40" s="881" t="s">
        <v>2519</v>
      </c>
      <c r="S40" s="888" t="s">
        <v>2167</v>
      </c>
      <c r="T40" s="888" t="s">
        <v>2167</v>
      </c>
      <c r="U40" s="888" t="s">
        <v>2167</v>
      </c>
      <c r="V40" s="888" t="s">
        <v>2167</v>
      </c>
      <c r="W40" s="888" t="s">
        <v>2167</v>
      </c>
      <c r="X40" s="888" t="s">
        <v>2167</v>
      </c>
      <c r="Y40" s="888" t="s">
        <v>2360</v>
      </c>
      <c r="Z40" s="888" t="s">
        <v>2167</v>
      </c>
      <c r="AA40" s="397" t="s">
        <v>319</v>
      </c>
      <c r="AB40" s="888" t="s">
        <v>2167</v>
      </c>
      <c r="AC40" s="888" t="s">
        <v>2167</v>
      </c>
      <c r="AD40" s="888" t="s">
        <v>2167</v>
      </c>
      <c r="AE40" s="399"/>
      <c r="AF40" s="397" t="s">
        <v>319</v>
      </c>
      <c r="AG40" s="397" t="s">
        <v>319</v>
      </c>
      <c r="AH40" s="73" t="s">
        <v>2167</v>
      </c>
      <c r="AI40" s="397" t="s">
        <v>319</v>
      </c>
      <c r="AJ40" s="397" t="s">
        <v>319</v>
      </c>
      <c r="AK40" s="397" t="s">
        <v>319</v>
      </c>
      <c r="AL40" s="397" t="s">
        <v>319</v>
      </c>
      <c r="AM40" s="397" t="s">
        <v>319</v>
      </c>
    </row>
    <row r="41" spans="1:50" ht="18.75" customHeight="1" collapsed="1">
      <c r="A41" s="378" t="s">
        <v>524</v>
      </c>
      <c r="B41" s="379"/>
      <c r="C41" s="379"/>
      <c r="D41" s="100"/>
      <c r="E41" s="379"/>
      <c r="F41" s="379"/>
      <c r="G41" s="379"/>
      <c r="H41" s="379"/>
      <c r="I41" s="379"/>
      <c r="J41" s="379"/>
      <c r="K41" s="379"/>
      <c r="L41" s="379"/>
      <c r="M41" s="379"/>
      <c r="N41" s="379"/>
      <c r="O41" s="379"/>
      <c r="P41" s="379"/>
      <c r="Q41" s="379"/>
      <c r="R41" s="379"/>
      <c r="S41" s="379"/>
      <c r="T41" s="379"/>
      <c r="U41" s="379"/>
      <c r="V41" s="379"/>
      <c r="W41" s="379"/>
      <c r="X41" s="379"/>
      <c r="Y41" s="379"/>
      <c r="Z41" s="379"/>
      <c r="AA41" s="379"/>
      <c r="AB41" s="379"/>
      <c r="AC41" s="379"/>
      <c r="AD41" s="379"/>
      <c r="AE41" s="380"/>
      <c r="AF41" s="379"/>
      <c r="AG41" s="379"/>
      <c r="AH41" s="379"/>
      <c r="AI41" s="379"/>
      <c r="AJ41" s="379"/>
      <c r="AK41" s="379"/>
      <c r="AL41" s="379"/>
      <c r="AM41" s="379"/>
      <c r="AN41"/>
      <c r="AO41"/>
      <c r="AP41"/>
      <c r="AQ41"/>
      <c r="AR41"/>
      <c r="AT41"/>
      <c r="AU41"/>
      <c r="AV41"/>
      <c r="AW41"/>
      <c r="AX41"/>
    </row>
    <row r="42" spans="1:50" ht="30" hidden="1" outlineLevel="1">
      <c r="A42" s="58" t="str">
        <f>HYPERLINK("https://wiki.atlnz.lc/awpwiki/index.php/Qualification_Transceiver_Inventory#AT-SP10ER40_I","AT-SP10ER40/I")</f>
        <v>AT-SP10ER40/I</v>
      </c>
      <c r="B42" s="59" t="s">
        <v>163</v>
      </c>
      <c r="C42" s="59"/>
      <c r="D42" s="42">
        <v>46</v>
      </c>
      <c r="E42" s="352" t="s">
        <v>277</v>
      </c>
      <c r="F42" s="888" t="s">
        <v>2214</v>
      </c>
      <c r="G42" s="162" t="s">
        <v>319</v>
      </c>
      <c r="H42" s="162"/>
      <c r="I42" s="162" t="s">
        <v>319</v>
      </c>
      <c r="J42" s="162" t="s">
        <v>319</v>
      </c>
      <c r="K42" s="162" t="s">
        <v>319</v>
      </c>
      <c r="L42" s="215" t="s">
        <v>272</v>
      </c>
      <c r="M42" s="215" t="str">
        <f>HYPERLINK("http://10.32.16.105/systest/Reports/TestLink/SuiteExecC.php?plan=483426&amp;rep=F&amp;platform=192","Pass,2-7-18")</f>
        <v>Pass,2-7-18</v>
      </c>
      <c r="N42" s="162" t="s">
        <v>319</v>
      </c>
      <c r="O42" s="352" t="s">
        <v>494</v>
      </c>
      <c r="P42" s="347" t="s">
        <v>308</v>
      </c>
      <c r="Q42" s="347" t="s">
        <v>299</v>
      </c>
      <c r="R42" s="352"/>
      <c r="S42" s="352" t="s">
        <v>273</v>
      </c>
      <c r="T42" s="175" t="str">
        <f>HYPERLINK("http://10.32.16.105/systest/Reports/TestLink/SuiteExecC.php?plan=486616&amp;rep=F&amp;platform=192","Pass, Oct-18")</f>
        <v>Pass, Oct-18</v>
      </c>
      <c r="U42" s="348" t="str">
        <f>HYPERLINK("http://10.32.16.105/systest/Reports/TestLink/SuiteExecC.php?plan=490516&amp;rep=F&amp;platform=192","Pass, Jan-19")</f>
        <v>Pass, Jan-19</v>
      </c>
      <c r="V42" s="349" t="s">
        <v>139</v>
      </c>
      <c r="W42" s="353" t="s">
        <v>275</v>
      </c>
      <c r="X42" s="349" t="s">
        <v>139</v>
      </c>
      <c r="Y42" s="353" t="s">
        <v>275</v>
      </c>
      <c r="Z42" s="352" t="s">
        <v>356</v>
      </c>
      <c r="AA42" s="352" t="s">
        <v>495</v>
      </c>
      <c r="AB42" s="357" t="s">
        <v>277</v>
      </c>
      <c r="AC42" s="352" t="s">
        <v>496</v>
      </c>
      <c r="AD42" s="199" t="s">
        <v>278</v>
      </c>
      <c r="AE42" s="344"/>
      <c r="AF42" s="352" t="s">
        <v>147</v>
      </c>
      <c r="AG42" s="347" t="s">
        <v>148</v>
      </c>
      <c r="AH42" s="358" t="s">
        <v>497</v>
      </c>
      <c r="AI42" s="162" t="s">
        <v>165</v>
      </c>
      <c r="AJ42" s="352" t="s">
        <v>498</v>
      </c>
      <c r="AK42" s="235" t="s">
        <v>304</v>
      </c>
      <c r="AL42" s="352" t="s">
        <v>499</v>
      </c>
      <c r="AM42" s="352" t="s">
        <v>498</v>
      </c>
    </row>
    <row r="43" spans="1:50" hidden="1" outlineLevel="1">
      <c r="A43" s="381" t="str">
        <f>HYPERLINK("https://wiki.atlnz.lc/awpwiki/index.php/Qualification_Transceiver_Inventory#","AT-STACKOP/9.0")</f>
        <v>AT-STACKOP/9.0</v>
      </c>
      <c r="B43" s="364" t="s">
        <v>163</v>
      </c>
      <c r="C43" s="364"/>
      <c r="D43" s="100"/>
      <c r="E43" s="162" t="s">
        <v>165</v>
      </c>
      <c r="F43" s="162" t="s">
        <v>319</v>
      </c>
      <c r="G43" s="162" t="s">
        <v>319</v>
      </c>
      <c r="H43" s="162"/>
      <c r="I43" s="162" t="s">
        <v>165</v>
      </c>
      <c r="J43" s="162" t="s">
        <v>165</v>
      </c>
      <c r="K43" s="162" t="s">
        <v>165</v>
      </c>
      <c r="L43" s="162" t="s">
        <v>165</v>
      </c>
      <c r="M43" s="215" t="str">
        <f>HYPERLINK("https://intranet.atlnz.lc/systest/Reports/TestLink/SuiteExecC.php?plan=483426&amp;rep=F&amp;platform=196","Pass,2-7-18")</f>
        <v>Pass,2-7-18</v>
      </c>
      <c r="N43" s="162" t="s">
        <v>319</v>
      </c>
      <c r="O43" s="162" t="s">
        <v>165</v>
      </c>
      <c r="P43" s="162" t="s">
        <v>165</v>
      </c>
      <c r="Q43" s="162" t="s">
        <v>165</v>
      </c>
      <c r="R43" s="162"/>
      <c r="S43" s="235" t="s">
        <v>502</v>
      </c>
      <c r="T43" s="162" t="s">
        <v>319</v>
      </c>
      <c r="U43" s="162" t="s">
        <v>319</v>
      </c>
      <c r="V43" s="162" t="s">
        <v>319</v>
      </c>
      <c r="W43" s="162" t="s">
        <v>165</v>
      </c>
      <c r="X43" s="162" t="s">
        <v>319</v>
      </c>
      <c r="Y43" s="162" t="s">
        <v>165</v>
      </c>
      <c r="Z43" s="162" t="s">
        <v>165</v>
      </c>
      <c r="AA43" s="162" t="s">
        <v>165</v>
      </c>
      <c r="AB43" s="162" t="s">
        <v>165</v>
      </c>
      <c r="AC43" s="235" t="s">
        <v>375</v>
      </c>
      <c r="AD43" s="162" t="s">
        <v>165</v>
      </c>
      <c r="AE43" s="380"/>
      <c r="AF43" s="162" t="s">
        <v>165</v>
      </c>
      <c r="AG43" s="235" t="s">
        <v>148</v>
      </c>
      <c r="AH43" s="235" t="s">
        <v>499</v>
      </c>
      <c r="AI43" s="162" t="s">
        <v>165</v>
      </c>
      <c r="AJ43" s="162" t="s">
        <v>165</v>
      </c>
      <c r="AK43" s="162" t="s">
        <v>165</v>
      </c>
      <c r="AL43" s="162" t="s">
        <v>165</v>
      </c>
      <c r="AM43" s="162" t="s">
        <v>165</v>
      </c>
      <c r="AN43"/>
      <c r="AO43"/>
      <c r="AP43"/>
      <c r="AQ43"/>
      <c r="AR43"/>
      <c r="AT43"/>
      <c r="AU43"/>
      <c r="AV43"/>
      <c r="AW43"/>
      <c r="AX43"/>
    </row>
    <row r="44" spans="1:50" ht="19.5" hidden="1" customHeight="1" outlineLevel="1">
      <c r="A44" s="86" t="str">
        <f>HYPERLINK("https://wiki.atlnz.lc/awpwiki/index.php/Qualification_Transceiver_Inventory#AT-SP10ZR80_I","AT-SP10ZR80/I")</f>
        <v>AT-SP10ZR80/I</v>
      </c>
      <c r="B44" s="87" t="s">
        <v>163</v>
      </c>
      <c r="C44" s="87"/>
      <c r="D44" s="88">
        <v>53</v>
      </c>
      <c r="E44" s="355" t="s">
        <v>521</v>
      </c>
      <c r="F44" s="162" t="s">
        <v>319</v>
      </c>
      <c r="G44" s="162" t="s">
        <v>319</v>
      </c>
      <c r="H44" s="207"/>
      <c r="I44" s="207" t="s">
        <v>319</v>
      </c>
      <c r="J44" s="207" t="s">
        <v>319</v>
      </c>
      <c r="K44" s="207" t="s">
        <v>319</v>
      </c>
      <c r="L44" s="355" t="s">
        <v>362</v>
      </c>
      <c r="M44" s="355" t="str">
        <f>HYPERLINK("https://intranet.atlnz.lc/systest/Reports/TestLink/SuiteExecC.php?plan=483426&amp;rep=F&amp;platform=330","Pass,2-7-18")</f>
        <v>Pass,2-7-18</v>
      </c>
      <c r="N44" s="162" t="s">
        <v>319</v>
      </c>
      <c r="O44" s="374" t="s">
        <v>494</v>
      </c>
      <c r="P44" s="355" t="s">
        <v>308</v>
      </c>
      <c r="Q44" s="355" t="s">
        <v>299</v>
      </c>
      <c r="R44" s="355"/>
      <c r="S44" s="175" t="s">
        <v>521</v>
      </c>
      <c r="T44" s="175" t="str">
        <f>HYPERLINK("http://10.32.16.105/systest/Reports/TestLink/SuiteExecC.php?plan=486616&amp;rep=F&amp;platform=330","Pass, Oct-18")</f>
        <v>Pass, Oct-18</v>
      </c>
      <c r="U44" s="348" t="str">
        <f>HYPERLINK("http://10.32.16.105/systest/Reports/TestLink/SuiteExecC.php?plan=490516&amp;rep=F&amp;platform=330","Pass, Jan-19")</f>
        <v>Pass, Jan-19</v>
      </c>
      <c r="V44" s="375" t="s">
        <v>274</v>
      </c>
      <c r="W44" s="356" t="s">
        <v>275</v>
      </c>
      <c r="X44" s="375" t="s">
        <v>139</v>
      </c>
      <c r="Y44" s="356" t="s">
        <v>275</v>
      </c>
      <c r="Z44" s="205" t="s">
        <v>521</v>
      </c>
      <c r="AA44" s="175" t="s">
        <v>521</v>
      </c>
      <c r="AB44" s="175" t="s">
        <v>521</v>
      </c>
      <c r="AC44" s="175" t="s">
        <v>521</v>
      </c>
      <c r="AD44" s="376" t="s">
        <v>278</v>
      </c>
      <c r="AE44" s="377"/>
      <c r="AF44" s="355" t="s">
        <v>522</v>
      </c>
      <c r="AG44" s="355" t="s">
        <v>148</v>
      </c>
      <c r="AH44" s="356" t="s">
        <v>523</v>
      </c>
      <c r="AI44" s="207" t="s">
        <v>165</v>
      </c>
      <c r="AJ44" s="205" t="s">
        <v>521</v>
      </c>
      <c r="AK44" s="227" t="s">
        <v>521</v>
      </c>
      <c r="AL44" s="362" t="s">
        <v>523</v>
      </c>
      <c r="AM44" s="362" t="s">
        <v>523</v>
      </c>
    </row>
    <row r="45" spans="1:50" ht="15" hidden="1" customHeight="1" outlineLevel="1">
      <c r="A45" s="381" t="str">
        <f>HYPERLINK("http://intranet.atlnz.lc/systest/products/Accessories/pluggable_transceiver/Images/SFP+/AT-SP10LR.JPG","AT-SP10LR")</f>
        <v>AT-SP10LR</v>
      </c>
      <c r="B45" s="364" t="s">
        <v>352</v>
      </c>
      <c r="C45" s="364" t="s">
        <v>352</v>
      </c>
      <c r="D45" s="100"/>
      <c r="E45" s="235" t="s">
        <v>277</v>
      </c>
      <c r="F45" s="162" t="s">
        <v>319</v>
      </c>
      <c r="G45" s="162" t="s">
        <v>319</v>
      </c>
      <c r="H45" s="207"/>
      <c r="I45" s="207" t="s">
        <v>319</v>
      </c>
      <c r="J45" s="207" t="s">
        <v>319</v>
      </c>
      <c r="K45" s="207" t="s">
        <v>319</v>
      </c>
      <c r="L45" s="235"/>
      <c r="M45" s="215" t="str">
        <f>HYPERLINK("https://intranet.atlnz.lc/systest/Reports/TestLink/SuiteExecC.php?plan=483426&amp;rep=F&amp;platform=178","Pass,2-7-18")</f>
        <v>Pass,2-7-18</v>
      </c>
      <c r="N45" s="162" t="s">
        <v>319</v>
      </c>
      <c r="O45" s="235" t="s">
        <v>291</v>
      </c>
      <c r="P45" s="235" t="s">
        <v>308</v>
      </c>
      <c r="Q45" s="235" t="s">
        <v>299</v>
      </c>
      <c r="R45" s="235"/>
      <c r="S45" s="235" t="s">
        <v>525</v>
      </c>
      <c r="T45" s="215" t="str">
        <f>HYPERLINK("https://intranet.atlnz.lc/systest/Reports/TestLink/SuiteExecC.php?plan=486616&amp;rep=F&amp;platform=178","Pass, Oct-18")</f>
        <v>Pass, Oct-18</v>
      </c>
      <c r="U45" s="215" t="str">
        <f>HYPERLINK("https://intranet.atlnz.lc/systest/Reports/TestLink/SuiteExecC.php?plan=490516&amp;rep=F&amp;platform=178","Pass, Jan-19")</f>
        <v>Pass, Jan-19</v>
      </c>
      <c r="V45" s="351" t="s">
        <v>139</v>
      </c>
      <c r="W45" s="235" t="s">
        <v>275</v>
      </c>
      <c r="X45" s="351" t="s">
        <v>274</v>
      </c>
      <c r="Y45" s="235" t="s">
        <v>275</v>
      </c>
      <c r="Z45" s="235" t="s">
        <v>525</v>
      </c>
      <c r="AA45" s="235" t="s">
        <v>525</v>
      </c>
      <c r="AB45" s="216" t="s">
        <v>277</v>
      </c>
      <c r="AC45" s="235" t="s">
        <v>525</v>
      </c>
      <c r="AD45" s="382" t="s">
        <v>278</v>
      </c>
      <c r="AE45" s="380"/>
      <c r="AF45" s="235" t="s">
        <v>525</v>
      </c>
      <c r="AG45" s="235" t="s">
        <v>148</v>
      </c>
      <c r="AH45" s="235" t="s">
        <v>526</v>
      </c>
      <c r="AI45" s="162" t="s">
        <v>165</v>
      </c>
      <c r="AJ45" s="235" t="s">
        <v>525</v>
      </c>
      <c r="AK45" s="235" t="s">
        <v>525</v>
      </c>
      <c r="AL45" s="235" t="s">
        <v>525</v>
      </c>
      <c r="AM45" s="235" t="s">
        <v>525</v>
      </c>
      <c r="AN45"/>
      <c r="AO45"/>
      <c r="AP45"/>
      <c r="AQ45"/>
      <c r="AR45"/>
      <c r="AT45"/>
      <c r="AU45"/>
      <c r="AV45"/>
      <c r="AW45"/>
      <c r="AX45"/>
    </row>
    <row r="46" spans="1:50" hidden="1" outlineLevel="1">
      <c r="A46" s="381" t="str">
        <f>HYPERLINK("https://wiki.atlnz.lc/awpwiki/index.php/Qualification_Transceiver_Inventory#AT-SP10LRM","AT-SP10LRM")</f>
        <v>AT-SP10LRM</v>
      </c>
      <c r="B46" s="364" t="s">
        <v>163</v>
      </c>
      <c r="C46" s="364"/>
      <c r="D46" s="100"/>
      <c r="E46" s="218" t="s">
        <v>527</v>
      </c>
      <c r="F46" s="162" t="s">
        <v>319</v>
      </c>
      <c r="G46" s="162" t="s">
        <v>319</v>
      </c>
      <c r="H46" s="207"/>
      <c r="I46" s="207" t="s">
        <v>319</v>
      </c>
      <c r="J46" s="207" t="s">
        <v>319</v>
      </c>
      <c r="K46" s="207" t="s">
        <v>319</v>
      </c>
      <c r="L46" s="215" t="s">
        <v>485</v>
      </c>
      <c r="M46" s="215" t="str">
        <f>HYPERLINK("https://intranet.atlnz.lc/systest/Reports/TestLink/SuiteExecC.php?plan=483426&amp;rep=F&amp;platform=321","Pass,2-7-18")</f>
        <v>Pass,2-7-18</v>
      </c>
      <c r="N46" s="162" t="s">
        <v>319</v>
      </c>
      <c r="O46" s="235" t="s">
        <v>291</v>
      </c>
      <c r="P46" s="235" t="s">
        <v>308</v>
      </c>
      <c r="Q46" s="235" t="s">
        <v>299</v>
      </c>
      <c r="R46" s="235"/>
      <c r="S46" s="218" t="s">
        <v>528</v>
      </c>
      <c r="T46" s="215" t="str">
        <f>HYPERLINK("https://intranet.atlnz.lc/systest/Reports/TestLink/SuiteExecC.php?plan=486616&amp;rep=F&amp;platform=321","Pass, Oct-18")</f>
        <v>Pass, Oct-18</v>
      </c>
      <c r="U46" s="215" t="str">
        <f>HYPERLINK("https://intranet.atlnz.lc/systest/Reports/TestLink/SuiteExecC.php?plan=490516&amp;rep=F&amp;platform=321","Pass, Jan-19")</f>
        <v>Pass, Jan-19</v>
      </c>
      <c r="V46" s="351" t="s">
        <v>139</v>
      </c>
      <c r="W46" s="235" t="s">
        <v>275</v>
      </c>
      <c r="X46" s="351" t="s">
        <v>274</v>
      </c>
      <c r="Y46" s="235" t="s">
        <v>275</v>
      </c>
      <c r="Z46" s="218" t="s">
        <v>529</v>
      </c>
      <c r="AA46" s="218" t="s">
        <v>530</v>
      </c>
      <c r="AB46" s="162" t="s">
        <v>165</v>
      </c>
      <c r="AC46" s="218" t="s">
        <v>531</v>
      </c>
      <c r="AD46" s="382" t="s">
        <v>278</v>
      </c>
      <c r="AE46" s="380"/>
      <c r="AF46" s="235" t="s">
        <v>147</v>
      </c>
      <c r="AG46" s="235" t="s">
        <v>148</v>
      </c>
      <c r="AH46" s="218" t="s">
        <v>529</v>
      </c>
      <c r="AI46" s="162" t="s">
        <v>165</v>
      </c>
      <c r="AJ46" s="218" t="s">
        <v>529</v>
      </c>
      <c r="AK46" s="235" t="s">
        <v>304</v>
      </c>
      <c r="AL46" s="218" t="s">
        <v>529</v>
      </c>
      <c r="AM46" s="218" t="s">
        <v>529</v>
      </c>
      <c r="AN46"/>
      <c r="AO46"/>
      <c r="AP46"/>
      <c r="AQ46"/>
      <c r="AR46"/>
      <c r="AT46"/>
      <c r="AU46"/>
      <c r="AV46"/>
      <c r="AW46"/>
      <c r="AX46"/>
    </row>
    <row r="47" spans="1:50" ht="15" hidden="1" customHeight="1" outlineLevel="1">
      <c r="A47" s="381" t="str">
        <f>HYPERLINK("http://intranet.atlnz.lc/systest/products/Accessories/pluggable_transceiver/Images/SFP+/AT-SP10LR-I.JPG","AT-SP10LR/I")</f>
        <v>AT-SP10LR/I</v>
      </c>
      <c r="B47" s="364" t="s">
        <v>161</v>
      </c>
      <c r="C47" s="364" t="s">
        <v>161</v>
      </c>
      <c r="D47" s="100"/>
      <c r="E47" s="235" t="s">
        <v>277</v>
      </c>
      <c r="F47" s="162" t="s">
        <v>319</v>
      </c>
      <c r="G47" s="162" t="s">
        <v>319</v>
      </c>
      <c r="H47" s="207"/>
      <c r="I47" s="207" t="s">
        <v>319</v>
      </c>
      <c r="J47" s="207" t="s">
        <v>319</v>
      </c>
      <c r="K47" s="207" t="s">
        <v>319</v>
      </c>
      <c r="L47" s="235"/>
      <c r="M47" s="215" t="str">
        <f>HYPERLINK("https://intranet.atlnz.lc/systest/Reports/TestLink/SuiteExecC.php?plan=483426&amp;rep=F&amp;platform=191","Pass,2-7-18")</f>
        <v>Pass,2-7-18</v>
      </c>
      <c r="N47" s="162" t="s">
        <v>319</v>
      </c>
      <c r="O47" s="235" t="s">
        <v>291</v>
      </c>
      <c r="P47" s="235" t="s">
        <v>308</v>
      </c>
      <c r="Q47" s="235" t="s">
        <v>299</v>
      </c>
      <c r="R47" s="235"/>
      <c r="S47" s="235" t="s">
        <v>532</v>
      </c>
      <c r="T47" s="215" t="str">
        <f>HYPERLINK("https://intranet.atlnz.lc/systest/Reports/TestLink/SuiteExecC.php?plan=486616&amp;rep=F&amp;platform=191","Pass, Oct-18")</f>
        <v>Pass, Oct-18</v>
      </c>
      <c r="U47" s="215" t="str">
        <f>HYPERLINK("https://intranet.atlnz.lc/systest/Reports/TestLink/SuiteExecC.php?plan=490516&amp;rep=F&amp;platform=191","Pass, Jan-19")</f>
        <v>Pass, Jan-19</v>
      </c>
      <c r="V47" s="351" t="s">
        <v>139</v>
      </c>
      <c r="W47" s="235" t="s">
        <v>275</v>
      </c>
      <c r="X47" s="351" t="s">
        <v>274</v>
      </c>
      <c r="Y47" s="235" t="s">
        <v>275</v>
      </c>
      <c r="Z47" s="235" t="s">
        <v>532</v>
      </c>
      <c r="AA47" s="235" t="s">
        <v>532</v>
      </c>
      <c r="AB47" s="162" t="s">
        <v>165</v>
      </c>
      <c r="AC47" s="235" t="s">
        <v>532</v>
      </c>
      <c r="AD47" s="382" t="s">
        <v>278</v>
      </c>
      <c r="AE47" s="380"/>
      <c r="AF47" s="235" t="s">
        <v>532</v>
      </c>
      <c r="AG47" s="235" t="s">
        <v>148</v>
      </c>
      <c r="AH47" s="235" t="s">
        <v>532</v>
      </c>
      <c r="AI47" s="162" t="s">
        <v>165</v>
      </c>
      <c r="AJ47" s="235" t="s">
        <v>532</v>
      </c>
      <c r="AK47" s="235" t="s">
        <v>532</v>
      </c>
      <c r="AL47" s="235" t="s">
        <v>532</v>
      </c>
      <c r="AM47" s="235" t="s">
        <v>532</v>
      </c>
      <c r="AN47"/>
      <c r="AO47"/>
      <c r="AP47"/>
      <c r="AQ47"/>
      <c r="AR47"/>
      <c r="AT47"/>
      <c r="AU47"/>
      <c r="AV47"/>
      <c r="AW47"/>
      <c r="AX47"/>
    </row>
    <row r="48" spans="1:50" ht="18.75" customHeight="1" collapsed="1">
      <c r="A48" s="378" t="s">
        <v>533</v>
      </c>
      <c r="B48" s="379"/>
      <c r="C48" s="379"/>
      <c r="D48" s="100"/>
      <c r="E48" s="379"/>
      <c r="F48" s="379"/>
      <c r="G48" s="379"/>
      <c r="H48" s="379"/>
      <c r="I48" s="379"/>
      <c r="J48" s="379"/>
      <c r="K48" s="379"/>
      <c r="L48" s="379"/>
      <c r="M48" s="379"/>
      <c r="N48" s="379"/>
      <c r="O48" s="379"/>
      <c r="P48" s="379"/>
      <c r="Q48" s="379"/>
      <c r="R48" s="379"/>
      <c r="S48" s="379"/>
      <c r="T48" s="379"/>
      <c r="U48" s="379"/>
      <c r="V48" s="379"/>
      <c r="W48" s="379"/>
      <c r="X48" s="379"/>
      <c r="Y48" s="379"/>
      <c r="Z48" s="379"/>
      <c r="AA48" s="379"/>
      <c r="AB48" s="379"/>
      <c r="AC48" s="379"/>
      <c r="AD48" s="379"/>
      <c r="AE48" s="383"/>
      <c r="AF48" s="379"/>
      <c r="AG48" s="379"/>
      <c r="AH48" s="379"/>
      <c r="AI48" s="379"/>
      <c r="AJ48" s="379"/>
      <c r="AK48" s="379"/>
      <c r="AL48" s="379"/>
      <c r="AM48" s="379"/>
      <c r="AN48"/>
      <c r="AO48"/>
      <c r="AP48"/>
      <c r="AQ48"/>
      <c r="AR48"/>
      <c r="AT48"/>
      <c r="AU48"/>
      <c r="AV48"/>
      <c r="AW48"/>
      <c r="AX48"/>
    </row>
    <row r="49" spans="1:50" ht="15" hidden="1" customHeight="1" outlineLevel="1">
      <c r="A49" s="381" t="str">
        <f>HYPERLINK("http://intranet.atlnz.lc/systest/products/Accessories/pluggable_transceiver/Images/SFP+/AT-SP10LR20-I.JPG","AT-SP10LR20/I")</f>
        <v>AT-SP10LR20/I</v>
      </c>
      <c r="B49" s="384" t="s">
        <v>163</v>
      </c>
      <c r="C49" s="384" t="s">
        <v>163</v>
      </c>
      <c r="D49" s="100"/>
      <c r="E49" s="385" t="s">
        <v>527</v>
      </c>
      <c r="F49" s="385"/>
      <c r="G49" s="385"/>
      <c r="H49" s="385"/>
      <c r="I49" s="385"/>
      <c r="J49" s="385"/>
      <c r="K49" s="385"/>
      <c r="L49" s="386"/>
      <c r="M49" s="385" t="e">
        <f>IF(#REF!=0,"TestLink ID?",HYPERLINK("http://10.32.16.105/systest/Reports/TestLink/SuiteExecC.php?plan=483426&amp;rep=F&amp;platform="&amp;#REF!,"Fail,2-7-18"))</f>
        <v>#REF!</v>
      </c>
      <c r="N49" s="385"/>
      <c r="O49" s="385" t="s">
        <v>534</v>
      </c>
      <c r="P49" s="385" t="s">
        <v>534</v>
      </c>
      <c r="Q49" s="385" t="s">
        <v>535</v>
      </c>
      <c r="R49" s="385"/>
      <c r="S49" s="385" t="s">
        <v>536</v>
      </c>
      <c r="T49" s="385" t="e">
        <f>IF(#REF!=0,"TestLink ID?",HYPERLINK("http://10.32.16.105/systest/Reports/TestLink/SuiteExecC.php?plan=486616&amp;rep=F&amp;platform="&amp;#REF!,"Fail, Oct'17"))</f>
        <v>#REF!</v>
      </c>
      <c r="U49" s="385" t="e">
        <f>IF(#REF!=0,"TestLink ID?",HYPERLINK("http://10.32.16.105/systest/Reports/TestLink/SuiteExecC.php?plan=490516&amp;rep=F&amp;platform="&amp;#REF!,"Fail, Jan'19"))</f>
        <v>#REF!</v>
      </c>
      <c r="V49" s="385"/>
      <c r="W49" s="385" t="s">
        <v>537</v>
      </c>
      <c r="X49" s="385"/>
      <c r="Y49" s="385" t="s">
        <v>537</v>
      </c>
      <c r="Z49" s="386" t="s">
        <v>529</v>
      </c>
      <c r="AA49" s="386" t="s">
        <v>530</v>
      </c>
      <c r="AB49" s="386" t="s">
        <v>165</v>
      </c>
      <c r="AC49" s="385" t="s">
        <v>531</v>
      </c>
      <c r="AD49" s="385"/>
      <c r="AE49" s="387"/>
      <c r="AF49" s="385" t="s">
        <v>538</v>
      </c>
      <c r="AG49" s="385" t="s">
        <v>368</v>
      </c>
      <c r="AH49" s="386" t="s">
        <v>529</v>
      </c>
      <c r="AI49" s="385" t="s">
        <v>165</v>
      </c>
      <c r="AJ49" s="385" t="s">
        <v>529</v>
      </c>
      <c r="AK49" s="385" t="s">
        <v>165</v>
      </c>
      <c r="AL49" s="385" t="s">
        <v>529</v>
      </c>
      <c r="AM49" s="386" t="s">
        <v>529</v>
      </c>
      <c r="AN49"/>
      <c r="AO49"/>
      <c r="AP49"/>
      <c r="AQ49"/>
      <c r="AR49"/>
      <c r="AT49"/>
      <c r="AU49"/>
      <c r="AV49"/>
      <c r="AW49"/>
      <c r="AX49"/>
    </row>
    <row r="50" spans="1:50" ht="15" hidden="1" customHeight="1" outlineLevel="1">
      <c r="A50" s="250" t="s">
        <v>539</v>
      </c>
      <c r="B50" s="388"/>
      <c r="C50" s="388"/>
      <c r="D50" s="100"/>
      <c r="E50" s="389"/>
      <c r="F50" s="389"/>
      <c r="G50" s="389"/>
      <c r="H50" s="389"/>
      <c r="I50" s="389"/>
      <c r="J50" s="389"/>
      <c r="K50" s="389"/>
      <c r="L50" s="390"/>
      <c r="M50" s="389"/>
      <c r="N50" s="389"/>
      <c r="O50" s="389"/>
      <c r="P50" s="389"/>
      <c r="Q50" s="389"/>
      <c r="R50" s="389"/>
      <c r="S50" s="390"/>
      <c r="T50" s="389"/>
      <c r="U50" s="389"/>
      <c r="V50" s="389"/>
      <c r="W50" s="389"/>
      <c r="X50" s="389"/>
      <c r="Y50" s="389"/>
      <c r="Z50" s="390"/>
      <c r="AA50" s="390"/>
      <c r="AB50" s="390"/>
      <c r="AC50" s="389"/>
      <c r="AD50" s="389"/>
      <c r="AE50" s="387"/>
      <c r="AF50" s="389"/>
      <c r="AG50" s="389"/>
      <c r="AH50" s="390"/>
      <c r="AI50" s="389"/>
      <c r="AJ50" s="389" t="s">
        <v>540</v>
      </c>
      <c r="AK50" s="389"/>
      <c r="AL50" s="390" t="s">
        <v>519</v>
      </c>
      <c r="AM50" s="390" t="s">
        <v>541</v>
      </c>
      <c r="AN50"/>
      <c r="AO50"/>
      <c r="AP50"/>
      <c r="AQ50"/>
      <c r="AR50"/>
      <c r="AT50"/>
      <c r="AU50"/>
      <c r="AV50"/>
      <c r="AW50"/>
      <c r="AX50"/>
    </row>
    <row r="51" spans="1:50" ht="15" hidden="1" customHeight="1" outlineLevel="1">
      <c r="A51" s="250" t="s">
        <v>542</v>
      </c>
      <c r="B51" s="388"/>
      <c r="C51" s="388"/>
      <c r="D51" s="100"/>
      <c r="E51" s="391"/>
      <c r="F51" s="389"/>
      <c r="G51" s="389"/>
      <c r="H51" s="389"/>
      <c r="I51" s="391"/>
      <c r="J51" s="391"/>
      <c r="K51" s="391"/>
      <c r="L51" s="390"/>
      <c r="M51" s="391"/>
      <c r="N51" s="391"/>
      <c r="O51" s="391"/>
      <c r="P51" s="391"/>
      <c r="Q51" s="391"/>
      <c r="R51" s="391"/>
      <c r="S51" s="390"/>
      <c r="T51" s="391"/>
      <c r="U51" s="391"/>
      <c r="V51" s="391"/>
      <c r="W51" s="391"/>
      <c r="X51" s="391"/>
      <c r="Y51" s="391"/>
      <c r="Z51" s="390"/>
      <c r="AA51" s="390"/>
      <c r="AB51" s="390"/>
      <c r="AC51" s="391"/>
      <c r="AD51" s="391"/>
      <c r="AE51" s="387"/>
      <c r="AF51" s="391"/>
      <c r="AG51" s="391"/>
      <c r="AH51" s="390"/>
      <c r="AI51" s="391"/>
      <c r="AJ51" s="391"/>
      <c r="AK51" s="391"/>
      <c r="AL51" s="390" t="s">
        <v>519</v>
      </c>
      <c r="AM51" s="390" t="s">
        <v>543</v>
      </c>
      <c r="AN51"/>
      <c r="AO51"/>
      <c r="AP51"/>
      <c r="AQ51"/>
      <c r="AR51"/>
      <c r="AT51"/>
      <c r="AU51"/>
      <c r="AV51"/>
      <c r="AW51"/>
      <c r="AX51"/>
    </row>
    <row r="52" spans="1:50" ht="15" hidden="1" customHeight="1" outlineLevel="1">
      <c r="A52" s="381" t="str">
        <f>HYPERLINK("https://wiki.atlnz.lc/awpwiki/index.php/Qualification_Transceiver_Inventory#AT-StackXS_1.0","AT-StackXS/1.0")</f>
        <v>AT-StackXS/1.0</v>
      </c>
      <c r="B52" s="384"/>
      <c r="C52" s="384"/>
      <c r="D52" s="100"/>
      <c r="E52" s="385" t="s">
        <v>277</v>
      </c>
      <c r="F52" s="385"/>
      <c r="G52" s="385"/>
      <c r="H52" s="385"/>
      <c r="I52" s="385"/>
      <c r="J52" s="385"/>
      <c r="K52" s="385"/>
      <c r="L52" s="386"/>
      <c r="M52" s="385" t="s">
        <v>489</v>
      </c>
      <c r="N52" s="385"/>
      <c r="O52" s="385" t="s">
        <v>494</v>
      </c>
      <c r="P52" s="385" t="s">
        <v>494</v>
      </c>
      <c r="Q52" s="385" t="s">
        <v>299</v>
      </c>
      <c r="R52" s="385"/>
      <c r="S52" s="385" t="s">
        <v>273</v>
      </c>
      <c r="T52" s="385"/>
      <c r="U52" s="385"/>
      <c r="V52" s="385"/>
      <c r="W52" s="385" t="s">
        <v>275</v>
      </c>
      <c r="X52" s="385"/>
      <c r="Y52" s="385" t="s">
        <v>275</v>
      </c>
      <c r="Z52" s="386" t="s">
        <v>165</v>
      </c>
      <c r="AA52" s="386" t="s">
        <v>165</v>
      </c>
      <c r="AB52" s="386" t="s">
        <v>165</v>
      </c>
      <c r="AC52" s="385" t="s">
        <v>165</v>
      </c>
      <c r="AD52" s="385"/>
      <c r="AE52" s="387"/>
      <c r="AF52" s="385" t="s">
        <v>147</v>
      </c>
      <c r="AG52" s="385" t="s">
        <v>148</v>
      </c>
      <c r="AH52" s="386" t="s">
        <v>499</v>
      </c>
      <c r="AI52" s="385" t="s">
        <v>282</v>
      </c>
      <c r="AJ52" s="385" t="s">
        <v>165</v>
      </c>
      <c r="AK52" s="385" t="s">
        <v>165</v>
      </c>
      <c r="AL52" s="385" t="s">
        <v>165</v>
      </c>
      <c r="AM52" s="386" t="s">
        <v>165</v>
      </c>
      <c r="AN52"/>
      <c r="AO52"/>
      <c r="AP52"/>
      <c r="AQ52"/>
      <c r="AR52"/>
      <c r="AT52"/>
      <c r="AU52"/>
      <c r="AV52"/>
      <c r="AW52"/>
      <c r="AX52"/>
    </row>
    <row r="53" spans="1:50" ht="15" hidden="1" customHeight="1" outlineLevel="1">
      <c r="A53" s="381" t="str">
        <f>HYPERLINK("https://wiki.atlnz.lc/awpwiki/index.php/Qualification_Transceiver_Inventory#AT-StackXS_3.0","AT-StackXS/3.0")</f>
        <v>AT-StackXS/3.0</v>
      </c>
      <c r="B53" s="384"/>
      <c r="C53" s="384"/>
      <c r="D53" s="100"/>
      <c r="E53" s="385" t="s">
        <v>165</v>
      </c>
      <c r="F53" s="385"/>
      <c r="G53" s="385"/>
      <c r="H53" s="385"/>
      <c r="I53" s="385"/>
      <c r="J53" s="385"/>
      <c r="K53" s="385"/>
      <c r="L53" s="386"/>
      <c r="M53" s="385" t="s">
        <v>489</v>
      </c>
      <c r="N53" s="385"/>
      <c r="O53" s="385" t="s">
        <v>165</v>
      </c>
      <c r="P53" s="385" t="s">
        <v>165</v>
      </c>
      <c r="Q53" s="385" t="s">
        <v>165</v>
      </c>
      <c r="R53" s="385"/>
      <c r="S53" s="385" t="s">
        <v>273</v>
      </c>
      <c r="T53" s="385"/>
      <c r="U53" s="385"/>
      <c r="V53" s="385"/>
      <c r="W53" s="385" t="s">
        <v>165</v>
      </c>
      <c r="X53" s="385"/>
      <c r="Y53" s="385" t="s">
        <v>165</v>
      </c>
      <c r="Z53" s="386" t="s">
        <v>165</v>
      </c>
      <c r="AA53" s="386" t="s">
        <v>165</v>
      </c>
      <c r="AB53" s="386" t="s">
        <v>165</v>
      </c>
      <c r="AC53" s="385" t="s">
        <v>165</v>
      </c>
      <c r="AD53" s="385"/>
      <c r="AE53" s="387"/>
      <c r="AF53" s="385" t="s">
        <v>165</v>
      </c>
      <c r="AG53" s="385" t="s">
        <v>165</v>
      </c>
      <c r="AH53" s="386" t="s">
        <v>499</v>
      </c>
      <c r="AI53" s="385" t="s">
        <v>165</v>
      </c>
      <c r="AJ53" s="385" t="s">
        <v>165</v>
      </c>
      <c r="AK53" s="385" t="s">
        <v>165</v>
      </c>
      <c r="AL53" s="385" t="s">
        <v>165</v>
      </c>
      <c r="AM53" s="386" t="s">
        <v>165</v>
      </c>
      <c r="AN53"/>
      <c r="AO53"/>
      <c r="AP53"/>
      <c r="AQ53"/>
      <c r="AR53"/>
      <c r="AT53"/>
      <c r="AU53"/>
      <c r="AV53"/>
      <c r="AW53"/>
      <c r="AX53"/>
    </row>
    <row r="54" spans="1:50" ht="15" hidden="1" customHeight="1" outlineLevel="1">
      <c r="A54" s="381" t="str">
        <f>HYPERLINK("https://wiki.atlnz.lc/awpwiki/index.php/Qualification_Transceiver_Inventory#AT-StackXS_7.0","AT-StackXS/7.0")</f>
        <v>AT-StackXS/7.0</v>
      </c>
      <c r="B54" s="384"/>
      <c r="C54" s="384"/>
      <c r="D54" s="100"/>
      <c r="E54" s="385" t="s">
        <v>165</v>
      </c>
      <c r="F54" s="385"/>
      <c r="G54" s="385"/>
      <c r="H54" s="385"/>
      <c r="I54" s="385"/>
      <c r="J54" s="385"/>
      <c r="K54" s="385"/>
      <c r="L54" s="386"/>
      <c r="M54" s="385" t="s">
        <v>489</v>
      </c>
      <c r="N54" s="385"/>
      <c r="O54" s="385" t="s">
        <v>165</v>
      </c>
      <c r="P54" s="385" t="s">
        <v>165</v>
      </c>
      <c r="Q54" s="385" t="s">
        <v>165</v>
      </c>
      <c r="R54" s="385"/>
      <c r="S54" s="385" t="s">
        <v>357</v>
      </c>
      <c r="T54" s="385"/>
      <c r="U54" s="385"/>
      <c r="V54" s="385"/>
      <c r="W54" s="385" t="s">
        <v>165</v>
      </c>
      <c r="X54" s="385"/>
      <c r="Y54" s="385" t="s">
        <v>165</v>
      </c>
      <c r="Z54" s="386" t="s">
        <v>165</v>
      </c>
      <c r="AA54" s="386" t="s">
        <v>165</v>
      </c>
      <c r="AB54" s="386" t="s">
        <v>165</v>
      </c>
      <c r="AC54" s="385" t="s">
        <v>165</v>
      </c>
      <c r="AD54" s="385"/>
      <c r="AE54" s="387"/>
      <c r="AF54" s="385" t="s">
        <v>165</v>
      </c>
      <c r="AG54" s="385" t="s">
        <v>165</v>
      </c>
      <c r="AH54" s="386" t="s">
        <v>140</v>
      </c>
      <c r="AI54" s="385" t="s">
        <v>165</v>
      </c>
      <c r="AJ54" s="385" t="s">
        <v>165</v>
      </c>
      <c r="AK54" s="385" t="s">
        <v>165</v>
      </c>
      <c r="AL54" s="385" t="s">
        <v>165</v>
      </c>
      <c r="AM54" s="386" t="s">
        <v>165</v>
      </c>
      <c r="AN54"/>
      <c r="AO54"/>
      <c r="AP54"/>
      <c r="AQ54"/>
      <c r="AR54"/>
      <c r="AT54"/>
      <c r="AU54"/>
      <c r="AV54"/>
      <c r="AW54"/>
      <c r="AX54"/>
    </row>
    <row r="55" spans="1:50" ht="15" hidden="1" customHeight="1" outlineLevel="1">
      <c r="A55" s="250" t="s">
        <v>539</v>
      </c>
      <c r="B55" s="384" t="s">
        <v>544</v>
      </c>
      <c r="C55" s="384" t="s">
        <v>544</v>
      </c>
      <c r="D55" s="100"/>
      <c r="E55" s="385"/>
      <c r="F55" s="385"/>
      <c r="G55" s="385"/>
      <c r="H55" s="385"/>
      <c r="I55" s="385"/>
      <c r="J55" s="385"/>
      <c r="K55" s="385"/>
      <c r="L55" s="386"/>
      <c r="M55" s="385"/>
      <c r="N55" s="385"/>
      <c r="O55" s="385"/>
      <c r="P55" s="385"/>
      <c r="Q55" s="385"/>
      <c r="R55" s="385"/>
      <c r="S55" s="385"/>
      <c r="T55" s="385"/>
      <c r="U55" s="385"/>
      <c r="V55" s="385"/>
      <c r="W55" s="385"/>
      <c r="X55" s="385"/>
      <c r="Y55" s="385"/>
      <c r="Z55" s="386"/>
      <c r="AA55" s="386"/>
      <c r="AB55" s="386"/>
      <c r="AC55" s="385"/>
      <c r="AD55" s="385"/>
      <c r="AE55" s="387"/>
      <c r="AF55" s="385"/>
      <c r="AG55" s="385"/>
      <c r="AH55" s="386"/>
      <c r="AI55" s="385"/>
      <c r="AJ55" s="385" t="s">
        <v>543</v>
      </c>
      <c r="AK55" s="385"/>
      <c r="AL55" s="385" t="s">
        <v>519</v>
      </c>
      <c r="AM55" s="386" t="s">
        <v>543</v>
      </c>
      <c r="AN55"/>
      <c r="AO55"/>
      <c r="AP55"/>
      <c r="AQ55"/>
      <c r="AR55"/>
      <c r="AT55"/>
      <c r="AU55"/>
      <c r="AV55"/>
      <c r="AW55"/>
      <c r="AX55"/>
    </row>
    <row r="56" spans="1:50" ht="15" hidden="1" customHeight="1" outlineLevel="1">
      <c r="A56" s="250" t="s">
        <v>545</v>
      </c>
      <c r="B56" s="384" t="s">
        <v>163</v>
      </c>
      <c r="C56" s="384" t="s">
        <v>163</v>
      </c>
      <c r="D56" s="100"/>
      <c r="E56" s="385"/>
      <c r="F56" s="385"/>
      <c r="G56" s="385"/>
      <c r="H56" s="385"/>
      <c r="I56" s="385"/>
      <c r="J56" s="385"/>
      <c r="K56" s="385"/>
      <c r="L56" s="392"/>
      <c r="M56" s="385"/>
      <c r="N56" s="385"/>
      <c r="O56" s="385"/>
      <c r="P56" s="385"/>
      <c r="Q56" s="385"/>
      <c r="R56" s="385"/>
      <c r="S56" s="385" t="s">
        <v>273</v>
      </c>
      <c r="T56" s="385"/>
      <c r="U56" s="385"/>
      <c r="V56" s="385"/>
      <c r="W56" s="385"/>
      <c r="X56" s="385"/>
      <c r="Y56" s="385"/>
      <c r="Z56" s="386" t="s">
        <v>356</v>
      </c>
      <c r="AA56" s="386" t="s">
        <v>495</v>
      </c>
      <c r="AB56" s="386"/>
      <c r="AC56" s="385" t="s">
        <v>496</v>
      </c>
      <c r="AD56" s="385"/>
      <c r="AE56" s="387"/>
      <c r="AF56" s="385" t="s">
        <v>147</v>
      </c>
      <c r="AG56" s="385"/>
      <c r="AH56" s="392" t="s">
        <v>499</v>
      </c>
      <c r="AI56" s="385"/>
      <c r="AJ56" s="385" t="s">
        <v>498</v>
      </c>
      <c r="AK56" s="385" t="s">
        <v>304</v>
      </c>
      <c r="AL56" s="385" t="s">
        <v>498</v>
      </c>
      <c r="AM56" s="386" t="s">
        <v>498</v>
      </c>
      <c r="AN56"/>
      <c r="AO56"/>
      <c r="AP56"/>
      <c r="AQ56"/>
      <c r="AR56"/>
      <c r="AT56"/>
      <c r="AU56"/>
      <c r="AV56"/>
      <c r="AW56"/>
      <c r="AX56"/>
    </row>
    <row r="57" spans="1:50" ht="15" hidden="1" customHeight="1" outlineLevel="1">
      <c r="A57" s="250" t="s">
        <v>542</v>
      </c>
      <c r="B57" s="384" t="s">
        <v>307</v>
      </c>
      <c r="C57" s="384" t="s">
        <v>307</v>
      </c>
      <c r="D57" s="100"/>
      <c r="E57" s="385"/>
      <c r="F57" s="385"/>
      <c r="G57" s="385"/>
      <c r="H57" s="385"/>
      <c r="I57" s="385"/>
      <c r="J57" s="385"/>
      <c r="K57" s="385"/>
      <c r="L57" s="392"/>
      <c r="M57" s="385"/>
      <c r="N57" s="385"/>
      <c r="O57" s="385"/>
      <c r="P57" s="385"/>
      <c r="Q57" s="385"/>
      <c r="R57" s="385"/>
      <c r="S57" s="385"/>
      <c r="T57" s="385"/>
      <c r="U57" s="385"/>
      <c r="V57" s="385"/>
      <c r="W57" s="385"/>
      <c r="X57" s="385"/>
      <c r="Y57" s="385"/>
      <c r="Z57" s="386" t="s">
        <v>327</v>
      </c>
      <c r="AA57" s="386" t="s">
        <v>495</v>
      </c>
      <c r="AB57" s="386"/>
      <c r="AC57" s="385" t="s">
        <v>496</v>
      </c>
      <c r="AD57" s="385"/>
      <c r="AE57" s="387"/>
      <c r="AF57" s="385" t="s">
        <v>147</v>
      </c>
      <c r="AG57" s="385"/>
      <c r="AH57" s="392" t="s">
        <v>503</v>
      </c>
      <c r="AI57" s="385"/>
      <c r="AJ57" s="385" t="s">
        <v>327</v>
      </c>
      <c r="AK57" s="385" t="s">
        <v>304</v>
      </c>
      <c r="AL57" s="385" t="s">
        <v>327</v>
      </c>
      <c r="AM57" s="386" t="s">
        <v>327</v>
      </c>
      <c r="AN57"/>
      <c r="AO57"/>
      <c r="AP57"/>
      <c r="AQ57"/>
      <c r="AR57"/>
      <c r="AT57"/>
      <c r="AU57"/>
      <c r="AV57"/>
      <c r="AW57"/>
      <c r="AX57"/>
    </row>
    <row r="58" spans="1:50" ht="15" hidden="1" customHeight="1" outlineLevel="1">
      <c r="A58" s="250" t="s">
        <v>542</v>
      </c>
      <c r="B58" s="384" t="s">
        <v>161</v>
      </c>
      <c r="C58" s="384" t="s">
        <v>161</v>
      </c>
      <c r="D58" s="100"/>
      <c r="E58" s="385"/>
      <c r="F58" s="385"/>
      <c r="G58" s="385"/>
      <c r="H58" s="385"/>
      <c r="I58" s="385"/>
      <c r="J58" s="385"/>
      <c r="K58" s="385"/>
      <c r="L58" s="392"/>
      <c r="M58" s="385"/>
      <c r="N58" s="385"/>
      <c r="O58" s="385"/>
      <c r="P58" s="385"/>
      <c r="Q58" s="385"/>
      <c r="R58" s="385"/>
      <c r="S58" s="385"/>
      <c r="T58" s="385"/>
      <c r="U58" s="385"/>
      <c r="V58" s="385"/>
      <c r="W58" s="385"/>
      <c r="X58" s="385"/>
      <c r="Y58" s="385"/>
      <c r="Z58" s="386"/>
      <c r="AA58" s="386"/>
      <c r="AB58" s="386"/>
      <c r="AC58" s="385"/>
      <c r="AD58" s="385"/>
      <c r="AE58" s="387"/>
      <c r="AF58" s="385"/>
      <c r="AG58" s="385"/>
      <c r="AH58" s="392" t="str">
        <f>AH60</f>
        <v>Pass, Oct-12</v>
      </c>
      <c r="AI58" s="385"/>
      <c r="AJ58" s="385" t="str">
        <f>AJ60</f>
        <v>pass</v>
      </c>
      <c r="AK58" s="385"/>
      <c r="AL58" s="385" t="str">
        <f>AL60</f>
        <v>Pass, Feb-12</v>
      </c>
      <c r="AM58" s="386" t="str">
        <f>AM60</f>
        <v>pass</v>
      </c>
      <c r="AN58"/>
      <c r="AO58"/>
      <c r="AP58"/>
      <c r="AQ58"/>
      <c r="AR58"/>
      <c r="AT58"/>
      <c r="AU58"/>
      <c r="AV58"/>
      <c r="AW58"/>
      <c r="AX58"/>
    </row>
    <row r="59" spans="1:50" ht="15" hidden="1" customHeight="1" outlineLevel="1">
      <c r="A59" s="250" t="s">
        <v>539</v>
      </c>
      <c r="B59" s="384" t="s">
        <v>163</v>
      </c>
      <c r="C59" s="384" t="s">
        <v>163</v>
      </c>
      <c r="D59" s="100"/>
      <c r="E59" s="385" t="s">
        <v>277</v>
      </c>
      <c r="F59" s="385"/>
      <c r="G59" s="385"/>
      <c r="H59" s="385"/>
      <c r="I59" s="385"/>
      <c r="J59" s="385"/>
      <c r="K59" s="385"/>
      <c r="L59" s="392"/>
      <c r="M59" s="385"/>
      <c r="N59" s="385"/>
      <c r="O59" s="385"/>
      <c r="P59" s="385"/>
      <c r="Q59" s="385"/>
      <c r="R59" s="385"/>
      <c r="S59" s="385" t="s">
        <v>502</v>
      </c>
      <c r="T59" s="385"/>
      <c r="U59" s="385"/>
      <c r="V59" s="385"/>
      <c r="W59" s="385" t="s">
        <v>275</v>
      </c>
      <c r="X59" s="385"/>
      <c r="Y59" s="385" t="s">
        <v>275</v>
      </c>
      <c r="Z59" s="386" t="s">
        <v>147</v>
      </c>
      <c r="AA59" s="386" t="s">
        <v>147</v>
      </c>
      <c r="AB59" s="386" t="s">
        <v>277</v>
      </c>
      <c r="AC59" s="385" t="s">
        <v>147</v>
      </c>
      <c r="AD59" s="385"/>
      <c r="AE59" s="387"/>
      <c r="AF59" s="385" t="s">
        <v>147</v>
      </c>
      <c r="AG59" s="385" t="s">
        <v>148</v>
      </c>
      <c r="AH59" s="392" t="s">
        <v>147</v>
      </c>
      <c r="AI59" s="385" t="s">
        <v>165</v>
      </c>
      <c r="AJ59" s="385" t="s">
        <v>147</v>
      </c>
      <c r="AK59" s="385" t="s">
        <v>147</v>
      </c>
      <c r="AL59" s="385" t="s">
        <v>147</v>
      </c>
      <c r="AM59" s="386" t="s">
        <v>147</v>
      </c>
      <c r="AN59"/>
      <c r="AO59"/>
      <c r="AP59"/>
      <c r="AQ59"/>
      <c r="AR59"/>
      <c r="AT59"/>
      <c r="AU59"/>
      <c r="AV59"/>
      <c r="AW59"/>
      <c r="AX59"/>
    </row>
    <row r="60" spans="1:50" ht="15" hidden="1" customHeight="1" outlineLevel="1">
      <c r="A60" s="250" t="s">
        <v>542</v>
      </c>
      <c r="B60" s="384" t="s">
        <v>163</v>
      </c>
      <c r="C60" s="384" t="s">
        <v>163</v>
      </c>
      <c r="D60" s="100"/>
      <c r="E60" s="385"/>
      <c r="F60" s="385"/>
      <c r="G60" s="385"/>
      <c r="H60" s="385"/>
      <c r="I60" s="385"/>
      <c r="J60" s="385"/>
      <c r="K60" s="385"/>
      <c r="L60" s="392"/>
      <c r="M60" s="385"/>
      <c r="N60" s="385"/>
      <c r="O60" s="385"/>
      <c r="P60" s="385"/>
      <c r="Q60" s="385"/>
      <c r="R60" s="385"/>
      <c r="S60" s="385"/>
      <c r="T60" s="385"/>
      <c r="U60" s="385"/>
      <c r="V60" s="385"/>
      <c r="W60" s="385"/>
      <c r="X60" s="385"/>
      <c r="Y60" s="385"/>
      <c r="Z60" s="386"/>
      <c r="AA60" s="386"/>
      <c r="AB60" s="386"/>
      <c r="AC60" s="385"/>
      <c r="AD60" s="385"/>
      <c r="AE60" s="387"/>
      <c r="AF60" s="385"/>
      <c r="AG60" s="385"/>
      <c r="AH60" s="392" t="s">
        <v>518</v>
      </c>
      <c r="AI60" s="385"/>
      <c r="AJ60" s="385" t="s">
        <v>543</v>
      </c>
      <c r="AK60" s="385"/>
      <c r="AL60" s="385" t="s">
        <v>519</v>
      </c>
      <c r="AM60" s="386" t="s">
        <v>543</v>
      </c>
      <c r="AN60"/>
      <c r="AO60"/>
      <c r="AP60"/>
      <c r="AQ60"/>
      <c r="AR60"/>
      <c r="AT60"/>
      <c r="AU60"/>
      <c r="AV60"/>
      <c r="AW60"/>
      <c r="AX60"/>
    </row>
    <row r="61" spans="1:50" ht="46.5" customHeight="1" collapsed="1">
      <c r="A61" s="393" t="s">
        <v>546</v>
      </c>
      <c r="B61" s="379"/>
      <c r="C61" s="379"/>
      <c r="D61" s="100"/>
      <c r="E61" s="379"/>
      <c r="F61" s="379"/>
      <c r="G61" s="379"/>
      <c r="H61" s="379"/>
      <c r="I61" s="379"/>
      <c r="J61" s="379"/>
      <c r="K61" s="379"/>
      <c r="L61" s="379"/>
      <c r="M61" s="379"/>
      <c r="N61" s="379"/>
      <c r="O61" s="379"/>
      <c r="P61" s="379"/>
      <c r="Q61" s="379"/>
      <c r="R61" s="379"/>
      <c r="S61" s="379"/>
      <c r="T61" s="379"/>
      <c r="U61" s="379"/>
      <c r="V61" s="379"/>
      <c r="W61" s="379"/>
      <c r="X61" s="379"/>
      <c r="Y61" s="379"/>
      <c r="Z61" s="379"/>
      <c r="AA61" s="379"/>
      <c r="AB61" s="379"/>
      <c r="AC61" s="379"/>
      <c r="AD61" s="379"/>
      <c r="AE61" s="380"/>
      <c r="AF61" s="379"/>
      <c r="AG61" s="379"/>
      <c r="AH61" s="379"/>
      <c r="AI61" s="379"/>
      <c r="AJ61" s="379"/>
      <c r="AK61" s="379"/>
      <c r="AL61" s="379"/>
      <c r="AM61" s="379"/>
      <c r="AN61"/>
      <c r="AO61"/>
      <c r="AP61"/>
      <c r="AQ61"/>
      <c r="AR61"/>
      <c r="AT61"/>
      <c r="AU61"/>
      <c r="AV61"/>
      <c r="AW61"/>
      <c r="AX61"/>
    </row>
    <row r="62" spans="1:50" s="400" customFormat="1" ht="30" hidden="1" customHeight="1" outlineLevel="1">
      <c r="A62" s="394" t="str">
        <f>HYPERLINK("https://wiki.atlnz.lc/awpwiki/index.php/Qualification_Transceiver_Inventory#AT-SP10ZR80_I_C","AT-SP10ZR80_I_C")</f>
        <v>AT-SP10ZR80_I_C</v>
      </c>
      <c r="B62" s="395" t="s">
        <v>307</v>
      </c>
      <c r="C62" s="395" t="s">
        <v>307</v>
      </c>
      <c r="D62" s="396">
        <v>418</v>
      </c>
      <c r="E62" s="397" t="s">
        <v>319</v>
      </c>
      <c r="F62" s="397"/>
      <c r="G62" s="397"/>
      <c r="H62" s="397"/>
      <c r="I62" s="397" t="s">
        <v>319</v>
      </c>
      <c r="J62" s="397" t="s">
        <v>319</v>
      </c>
      <c r="K62" s="397" t="s">
        <v>319</v>
      </c>
      <c r="L62" s="397" t="s">
        <v>319</v>
      </c>
      <c r="M62" s="397" t="s">
        <v>319</v>
      </c>
      <c r="N62" s="397"/>
      <c r="O62" s="397" t="s">
        <v>319</v>
      </c>
      <c r="P62" s="397" t="s">
        <v>319</v>
      </c>
      <c r="Q62" s="397" t="s">
        <v>319</v>
      </c>
      <c r="R62" s="397"/>
      <c r="S62" s="397" t="s">
        <v>319</v>
      </c>
      <c r="T62" s="398" t="s">
        <v>547</v>
      </c>
      <c r="U62" s="398" t="s">
        <v>547</v>
      </c>
      <c r="V62" s="398" t="s">
        <v>547</v>
      </c>
      <c r="W62" s="398" t="s">
        <v>547</v>
      </c>
      <c r="X62" s="398" t="s">
        <v>547</v>
      </c>
      <c r="Y62" s="398" t="s">
        <v>547</v>
      </c>
      <c r="Z62" s="397" t="s">
        <v>319</v>
      </c>
      <c r="AA62" s="397" t="s">
        <v>319</v>
      </c>
      <c r="AB62" s="397" t="s">
        <v>319</v>
      </c>
      <c r="AC62" s="397" t="s">
        <v>319</v>
      </c>
      <c r="AD62" s="397" t="s">
        <v>319</v>
      </c>
      <c r="AE62" s="399"/>
      <c r="AF62" s="397" t="s">
        <v>319</v>
      </c>
      <c r="AG62" s="397" t="s">
        <v>319</v>
      </c>
      <c r="AH62" s="397" t="s">
        <v>319</v>
      </c>
      <c r="AI62" s="397" t="s">
        <v>319</v>
      </c>
      <c r="AJ62" s="397" t="s">
        <v>319</v>
      </c>
      <c r="AK62" s="397" t="s">
        <v>319</v>
      </c>
      <c r="AL62" s="397" t="s">
        <v>319</v>
      </c>
      <c r="AM62" s="397" t="s">
        <v>319</v>
      </c>
    </row>
    <row r="63" spans="1:50" ht="15" hidden="1" customHeight="1" outlineLevel="1">
      <c r="A63" s="250" t="s">
        <v>548</v>
      </c>
      <c r="B63" s="364"/>
      <c r="C63" s="364"/>
      <c r="D63" s="100"/>
      <c r="E63" s="162" t="s">
        <v>165</v>
      </c>
      <c r="F63" s="397"/>
      <c r="G63" s="397"/>
      <c r="H63" s="397"/>
      <c r="I63" s="162" t="s">
        <v>165</v>
      </c>
      <c r="J63" s="162" t="s">
        <v>165</v>
      </c>
      <c r="K63" s="162" t="s">
        <v>165</v>
      </c>
      <c r="L63" s="162" t="s">
        <v>165</v>
      </c>
      <c r="M63" s="162" t="s">
        <v>165</v>
      </c>
      <c r="N63" s="162"/>
      <c r="O63" s="162" t="s">
        <v>165</v>
      </c>
      <c r="P63" s="162" t="s">
        <v>165</v>
      </c>
      <c r="Q63" s="162" t="s">
        <v>165</v>
      </c>
      <c r="R63" s="162"/>
      <c r="S63" s="235" t="s">
        <v>502</v>
      </c>
      <c r="T63" s="162" t="s">
        <v>165</v>
      </c>
      <c r="U63" s="162" t="s">
        <v>165</v>
      </c>
      <c r="V63" s="162" t="s">
        <v>165</v>
      </c>
      <c r="W63" s="162" t="s">
        <v>165</v>
      </c>
      <c r="X63" s="162" t="s">
        <v>165</v>
      </c>
      <c r="Y63" s="162" t="s">
        <v>165</v>
      </c>
      <c r="Z63" s="162" t="s">
        <v>165</v>
      </c>
      <c r="AA63" s="162" t="s">
        <v>165</v>
      </c>
      <c r="AB63" s="162" t="s">
        <v>165</v>
      </c>
      <c r="AC63" s="162" t="s">
        <v>165</v>
      </c>
      <c r="AD63" s="162" t="s">
        <v>165</v>
      </c>
      <c r="AE63" s="380"/>
      <c r="AF63" s="162" t="s">
        <v>165</v>
      </c>
      <c r="AG63" s="162" t="s">
        <v>165</v>
      </c>
      <c r="AH63" s="235" t="s">
        <v>497</v>
      </c>
      <c r="AI63" s="162" t="s">
        <v>165</v>
      </c>
      <c r="AJ63" s="162" t="s">
        <v>165</v>
      </c>
      <c r="AK63" s="162" t="s">
        <v>165</v>
      </c>
      <c r="AL63" s="162" t="s">
        <v>165</v>
      </c>
      <c r="AM63" s="162" t="s">
        <v>165</v>
      </c>
      <c r="AN63"/>
      <c r="AO63"/>
      <c r="AP63"/>
      <c r="AQ63"/>
      <c r="AR63"/>
      <c r="AT63"/>
      <c r="AU63"/>
      <c r="AV63"/>
      <c r="AW63"/>
      <c r="AX63"/>
    </row>
    <row r="64" spans="1:50">
      <c r="AR64"/>
      <c r="AS64" s="15"/>
      <c r="AX64"/>
    </row>
    <row r="65" spans="44:50">
      <c r="AR65"/>
      <c r="AS65" s="15"/>
      <c r="AX65"/>
    </row>
    <row r="66" spans="44:50">
      <c r="AR66"/>
      <c r="AS66" s="15"/>
      <c r="AX66"/>
    </row>
    <row r="67" spans="44:50">
      <c r="AR67"/>
      <c r="AS67" s="15"/>
      <c r="AX67"/>
    </row>
    <row r="68" spans="44:50">
      <c r="AR68"/>
      <c r="AS68" s="15"/>
      <c r="AX68"/>
    </row>
    <row r="69" spans="44:50">
      <c r="AR69"/>
      <c r="AS69" s="15"/>
      <c r="AX69"/>
    </row>
    <row r="70" spans="44:50">
      <c r="AR70"/>
      <c r="AS70" s="15"/>
    </row>
    <row r="71" spans="44:50">
      <c r="AR71"/>
      <c r="AS71" s="15"/>
    </row>
    <row r="72" spans="44:50">
      <c r="AR72"/>
      <c r="AS72" s="15"/>
    </row>
    <row r="73" spans="44:50">
      <c r="AR73"/>
      <c r="AS73" s="15"/>
    </row>
    <row r="74" spans="44:50">
      <c r="AR74"/>
      <c r="AS74" s="15"/>
    </row>
    <row r="75" spans="44:50">
      <c r="AR75"/>
      <c r="AS75" s="15"/>
    </row>
    <row r="76" spans="44:50">
      <c r="AR76"/>
      <c r="AS76" s="15"/>
    </row>
    <row r="77" spans="44:50">
      <c r="AR77"/>
      <c r="AS77" s="15"/>
    </row>
    <row r="78" spans="44:50">
      <c r="AR78"/>
      <c r="AS78" s="15"/>
    </row>
    <row r="79" spans="44:50">
      <c r="AR79"/>
      <c r="AS79" s="15"/>
    </row>
    <row r="80" spans="44:50">
      <c r="AR80"/>
      <c r="AS80" s="15"/>
    </row>
    <row r="81" spans="44:45">
      <c r="AR81"/>
      <c r="AS81" s="15"/>
    </row>
    <row r="82" spans="44:45">
      <c r="AR82"/>
      <c r="AS82" s="15"/>
    </row>
    <row r="83" spans="44:45">
      <c r="AR83"/>
      <c r="AS83" s="15"/>
    </row>
    <row r="84" spans="44:45">
      <c r="AR84"/>
      <c r="AS84" s="15"/>
    </row>
    <row r="85" spans="44:45">
      <c r="AR85"/>
      <c r="AS85" s="15"/>
    </row>
    <row r="86" spans="44:45">
      <c r="AR86"/>
      <c r="AS86" s="15"/>
    </row>
    <row r="87" spans="44:45">
      <c r="AR87"/>
      <c r="AS87" s="15"/>
    </row>
    <row r="88" spans="44:45">
      <c r="AR88"/>
      <c r="AS88" s="15"/>
    </row>
    <row r="89" spans="44:45">
      <c r="AR89"/>
      <c r="AS89" s="15"/>
    </row>
    <row r="90" spans="44:45">
      <c r="AR90"/>
      <c r="AS90" s="15"/>
    </row>
    <row r="91" spans="44:45">
      <c r="AR91"/>
      <c r="AS91" s="15"/>
    </row>
    <row r="92" spans="44:45">
      <c r="AR92"/>
      <c r="AS92" s="15"/>
    </row>
    <row r="93" spans="44:45">
      <c r="AR93"/>
      <c r="AS93" s="15"/>
    </row>
    <row r="94" spans="44:45">
      <c r="AR94"/>
      <c r="AS94" s="15"/>
    </row>
    <row r="95" spans="44:45">
      <c r="AR95"/>
      <c r="AS95" s="15"/>
    </row>
    <row r="96" spans="44:45">
      <c r="AR96"/>
      <c r="AS96" s="15"/>
    </row>
    <row r="97" spans="44:45">
      <c r="AR97"/>
      <c r="AS97" s="15"/>
    </row>
    <row r="98" spans="44:45">
      <c r="AR98"/>
      <c r="AS98" s="15"/>
    </row>
    <row r="99" spans="44:45">
      <c r="AR99"/>
      <c r="AS99" s="15"/>
    </row>
    <row r="100" spans="44:45">
      <c r="AR100"/>
      <c r="AS100" s="15"/>
    </row>
    <row r="101" spans="44:45">
      <c r="AR101"/>
      <c r="AS101" s="15"/>
    </row>
    <row r="102" spans="44:45">
      <c r="AR102"/>
      <c r="AS102" s="15"/>
    </row>
    <row r="103" spans="44:45">
      <c r="AR103"/>
      <c r="AS103" s="15"/>
    </row>
    <row r="104" spans="44:45">
      <c r="AR104"/>
      <c r="AS104" s="15"/>
    </row>
    <row r="105" spans="44:45">
      <c r="AR105"/>
      <c r="AS105" s="15"/>
    </row>
    <row r="106" spans="44:45">
      <c r="AR106"/>
      <c r="AS106" s="15"/>
    </row>
    <row r="107" spans="44:45">
      <c r="AR107"/>
      <c r="AS107" s="15"/>
    </row>
    <row r="108" spans="44:45">
      <c r="AR108"/>
      <c r="AS108" s="15"/>
    </row>
  </sheetData>
  <mergeCells count="9">
    <mergeCell ref="W3:X3"/>
    <mergeCell ref="Z3:AD3"/>
    <mergeCell ref="AE3:AE7"/>
    <mergeCell ref="AL3:AM3"/>
    <mergeCell ref="A3:C7"/>
    <mergeCell ref="D3:D7"/>
    <mergeCell ref="L3:M3"/>
    <mergeCell ref="O3:Q3"/>
    <mergeCell ref="T3:V3"/>
  </mergeCells>
  <phoneticPr fontId="64" type="noConversion"/>
  <conditionalFormatting sqref="AD22 AG28 AG42:AK44 AC27:AD27 AC42:AC44 L28:M28 S42:S44 AC47:AD47 AD28:AD29 L27 M29 AG29:AM29 E42 AF42:AM42 E8:E13 AF8:AM13 E44:E47 L44:M47 AF44:AM47 L8:M13 M42:M44 M23 E23 AF23:AM27 E27 M38:M39 AG38:AM39 Z44:AD46 Z47:AA47 O44:Y47 O27:Q27 O29:Q29 O23:Q23 S38:X38 O42:AD42 Z38:AC38 Z23:AC23 Z8:AD13 Z29:AB29 Z27:AA27 O8:Q13 S23:X23 S8:X13 S29:X29 S27:X27 L18:M18 E18 AF18:AM21 O18:Q18 Z18:AD18 S18:X18 E20:E21 L20:M21 O20:Q21 S20:X21 Z20:AD21">
    <cfRule type="expression" dxfId="2056" priority="316">
      <formula>NOT(ISERROR(SEARCH("fail",E8)))</formula>
    </cfRule>
  </conditionalFormatting>
  <conditionalFormatting sqref="AD23">
    <cfRule type="expression" dxfId="2055" priority="317">
      <formula>NOT(ISERROR(SEARCH("fail",AD23)))</formula>
    </cfRule>
  </conditionalFormatting>
  <conditionalFormatting sqref="L3 AG1:AM5 AE63:AM65547 AG7:AM15 AE1:AF15 AE41:AM61 AE16:AM39">
    <cfRule type="expression" dxfId="2054" priority="318">
      <formula>NOT(ISERROR(SEARCH("fail,",#REF!)))</formula>
    </cfRule>
  </conditionalFormatting>
  <conditionalFormatting sqref="L7 AG32:AK32 AE62:AM62 O32:Q32 AH16:AK17">
    <cfRule type="expression" dxfId="2053" priority="319">
      <formula>NOT(ISERROR(SEARCH("fail,",#REF!)))</formula>
    </cfRule>
  </conditionalFormatting>
  <conditionalFormatting sqref="I6:J6 K6:K7 N6 G64:H65502">
    <cfRule type="expression" dxfId="2052" priority="320">
      <formula>NOT(ISERROR(SEARCH("fail,",G6)))</formula>
    </cfRule>
  </conditionalFormatting>
  <conditionalFormatting sqref="O32:Q32">
    <cfRule type="expression" dxfId="2051" priority="321">
      <formula>NOT(ISERROR(SEARCH("fail,",O32)))</formula>
    </cfRule>
  </conditionalFormatting>
  <conditionalFormatting sqref="U32">
    <cfRule type="expression" dxfId="2050" priority="322">
      <formula>NOT(ISERROR(SEARCH("fail,",U32)))</formula>
    </cfRule>
  </conditionalFormatting>
  <conditionalFormatting sqref="AG30:AK30">
    <cfRule type="expression" dxfId="2049" priority="323">
      <formula>NOT(ISERROR(SEARCH("fail,",AG30)))</formula>
    </cfRule>
  </conditionalFormatting>
  <conditionalFormatting sqref="AG31:AG34">
    <cfRule type="expression" dxfId="2048" priority="326">
      <formula>NOT(ISERROR(SEARCH("fail,",AG31)))</formula>
    </cfRule>
  </conditionalFormatting>
  <conditionalFormatting sqref="AH31:AK32">
    <cfRule type="expression" dxfId="2047" priority="327">
      <formula>NOT(ISERROR(SEARCH("fail,",AH31)))</formula>
    </cfRule>
  </conditionalFormatting>
  <conditionalFormatting sqref="U32">
    <cfRule type="expression" dxfId="2046" priority="331">
      <formula>NOT(ISERROR(SEARCH("fail,",U32)))</formula>
    </cfRule>
  </conditionalFormatting>
  <conditionalFormatting sqref="L37">
    <cfRule type="expression" dxfId="2045" priority="333">
      <formula>NOT(ISERROR(SEARCH("fail",L37)))</formula>
    </cfRule>
  </conditionalFormatting>
  <conditionalFormatting sqref="L22">
    <cfRule type="expression" dxfId="2044" priority="334">
      <formula>NOT(ISERROR(SEARCH("fail",L22)))</formula>
    </cfRule>
  </conditionalFormatting>
  <conditionalFormatting sqref="L23">
    <cfRule type="expression" dxfId="2043" priority="335">
      <formula>NOT(ISERROR(SEARCH("fail,",L23)))</formula>
    </cfRule>
  </conditionalFormatting>
  <conditionalFormatting sqref="L29">
    <cfRule type="expression" dxfId="2042" priority="336">
      <formula>NOT(ISERROR(SEARCH("fail,",L29)))</formula>
    </cfRule>
  </conditionalFormatting>
  <conditionalFormatting sqref="L42">
    <cfRule type="expression" dxfId="2041" priority="338">
      <formula>NOT(ISERROR(SEARCH("fail,",L42)))</formula>
    </cfRule>
  </conditionalFormatting>
  <conditionalFormatting sqref="L42:M42">
    <cfRule type="expression" dxfId="2040" priority="339">
      <formula>NOT(ISERROR(SEARCH("fail",L42)))</formula>
    </cfRule>
  </conditionalFormatting>
  <conditionalFormatting sqref="O42:R42">
    <cfRule type="expression" dxfId="2039" priority="341">
      <formula>NOT(ISERROR(SEARCH("fail",O42)))</formula>
    </cfRule>
  </conditionalFormatting>
  <conditionalFormatting sqref="AF42">
    <cfRule type="expression" dxfId="2038" priority="342">
      <formula>NOT(ISERROR(SEARCH("fail",AF42)))</formula>
    </cfRule>
  </conditionalFormatting>
  <conditionalFormatting sqref="L38:L39">
    <cfRule type="expression" dxfId="2037" priority="344">
      <formula>NOT(ISERROR(SEARCH("fail,",L38)))</formula>
    </cfRule>
  </conditionalFormatting>
  <conditionalFormatting sqref="AF16:AF17">
    <cfRule type="expression" dxfId="2036" priority="345">
      <formula>NOT(ISERROR(SEARCH("fail,",AF16)))</formula>
    </cfRule>
  </conditionalFormatting>
  <conditionalFormatting sqref="AF16:AF17">
    <cfRule type="expression" dxfId="2035" priority="346">
      <formula>NOT(ISERROR(SEARCH("fail,",AF16)))</formula>
    </cfRule>
  </conditionalFormatting>
  <conditionalFormatting sqref="I7">
    <cfRule type="expression" dxfId="2034" priority="354">
      <formula>NOT(ISERROR(SEARCH("fail,",I7)))</formula>
    </cfRule>
  </conditionalFormatting>
  <conditionalFormatting sqref="T62">
    <cfRule type="expression" dxfId="2033" priority="355">
      <formula>NOT(ISERROR(SEARCH("fail,",T62)))</formula>
    </cfRule>
  </conditionalFormatting>
  <conditionalFormatting sqref="T62">
    <cfRule type="expression" dxfId="2032" priority="356">
      <formula>NOT(ISERROR(SEARCH("fail,",T62)))</formula>
    </cfRule>
  </conditionalFormatting>
  <conditionalFormatting sqref="T62">
    <cfRule type="expression" dxfId="2031" priority="357">
      <formula>NOT(ISERROR(SEARCH("fail,",T62)))</formula>
    </cfRule>
  </conditionalFormatting>
  <conditionalFormatting sqref="U62:V62">
    <cfRule type="expression" dxfId="2030" priority="358">
      <formula>NOT(ISERROR(SEARCH("fail,",U62)))</formula>
    </cfRule>
  </conditionalFormatting>
  <conditionalFormatting sqref="U62:V62">
    <cfRule type="expression" dxfId="2029" priority="359">
      <formula>NOT(ISERROR(SEARCH("fail,",U62)))</formula>
    </cfRule>
  </conditionalFormatting>
  <conditionalFormatting sqref="U62:V62">
    <cfRule type="expression" dxfId="2028" priority="360">
      <formula>NOT(ISERROR(SEARCH("fail,",U62)))</formula>
    </cfRule>
  </conditionalFormatting>
  <conditionalFormatting sqref="W62:Y62">
    <cfRule type="expression" dxfId="2027" priority="361">
      <formula>NOT(ISERROR(SEARCH("fail,",W62)))</formula>
    </cfRule>
  </conditionalFormatting>
  <conditionalFormatting sqref="W62:Y62">
    <cfRule type="expression" dxfId="2026" priority="362">
      <formula>NOT(ISERROR(SEARCH("fail,",W62)))</formula>
    </cfRule>
  </conditionalFormatting>
  <conditionalFormatting sqref="W62:Y62">
    <cfRule type="expression" dxfId="2025" priority="363">
      <formula>NOT(ISERROR(SEARCH("fail,",W62)))</formula>
    </cfRule>
  </conditionalFormatting>
  <conditionalFormatting sqref="L6:N6">
    <cfRule type="expression" dxfId="2024" priority="366">
      <formula>NOT(ISERROR(SEARCH("fail,",L6)))</formula>
    </cfRule>
  </conditionalFormatting>
  <conditionalFormatting sqref="T6:Y6">
    <cfRule type="expression" dxfId="2023" priority="368">
      <formula>NOT(ISERROR(SEARCH("fail,",T6)))</formula>
    </cfRule>
  </conditionalFormatting>
  <conditionalFormatting sqref="Z6:AD6">
    <cfRule type="expression" dxfId="2022" priority="369">
      <formula>NOT(ISERROR(SEARCH("fail,",Z6)))</formula>
    </cfRule>
  </conditionalFormatting>
  <conditionalFormatting sqref="AI6">
    <cfRule type="expression" dxfId="2021" priority="370">
      <formula>NOT(ISERROR(SEARCH("fail,",AI6)))</formula>
    </cfRule>
  </conditionalFormatting>
  <conditionalFormatting sqref="AG6:AI6">
    <cfRule type="expression" dxfId="2020" priority="371">
      <formula>NOT(ISERROR(SEARCH("fail,",AG6)))</formula>
    </cfRule>
  </conditionalFormatting>
  <conditionalFormatting sqref="AJ6">
    <cfRule type="expression" dxfId="2019" priority="372">
      <formula>NOT(ISERROR(SEARCH("fail,",AJ6)))</formula>
    </cfRule>
  </conditionalFormatting>
  <conditionalFormatting sqref="AK6">
    <cfRule type="expression" dxfId="2018" priority="373">
      <formula>NOT(ISERROR(SEARCH("fail,",AK6)))</formula>
    </cfRule>
  </conditionalFormatting>
  <conditionalFormatting sqref="AL6:AM6">
    <cfRule type="expression" dxfId="2017" priority="374">
      <formula>NOT(ISERROR(SEARCH("fail,",AL6)))</formula>
    </cfRule>
  </conditionalFormatting>
  <conditionalFormatting sqref="AE40:AG40 AI40:AM40">
    <cfRule type="expression" dxfId="2016" priority="284">
      <formula>NOT(ISERROR(SEARCH("fail,",#REF!)))</formula>
    </cfRule>
  </conditionalFormatting>
  <conditionalFormatting sqref="AG42:AH42 E42">
    <cfRule type="expression" dxfId="2015" priority="1091">
      <formula>NOT(ISERROR(SEARCH("fail",E12)))</formula>
    </cfRule>
  </conditionalFormatting>
  <conditionalFormatting sqref="E40">
    <cfRule type="expression" dxfId="2014" priority="253">
      <formula>NOT(ISERROR(SEARCH("fail,",E40)))</formula>
    </cfRule>
  </conditionalFormatting>
  <conditionalFormatting sqref="AH40">
    <cfRule type="expression" dxfId="2013" priority="247">
      <formula>NOT(ISERROR(SEARCH("fail,",AH40)))</formula>
    </cfRule>
  </conditionalFormatting>
  <conditionalFormatting sqref="J7">
    <cfRule type="expression" dxfId="2012" priority="222">
      <formula>NOT(ISERROR(SEARCH("fail,",J7)))</formula>
    </cfRule>
  </conditionalFormatting>
  <conditionalFormatting sqref="N7">
    <cfRule type="expression" dxfId="2011" priority="221">
      <formula>NOT(ISERROR(SEARCH("fail,",N7)))</formula>
    </cfRule>
  </conditionalFormatting>
  <conditionalFormatting sqref="G6:H7 G1:H3">
    <cfRule type="expression" dxfId="2010" priority="216">
      <formula>NOT(ISERROR(SEARCH("fail,",G1)))</formula>
    </cfRule>
  </conditionalFormatting>
  <conditionalFormatting sqref="F64:F65502">
    <cfRule type="expression" dxfId="2009" priority="193">
      <formula>NOT(ISERROR(SEARCH("fail,",F64)))</formula>
    </cfRule>
  </conditionalFormatting>
  <conditionalFormatting sqref="F1:F2">
    <cfRule type="expression" dxfId="2008" priority="192">
      <formula>NOT(ISERROR(SEARCH("fail,",F1)))</formula>
    </cfRule>
  </conditionalFormatting>
  <conditionalFormatting sqref="F6:F7 F3">
    <cfRule type="expression" dxfId="2007" priority="188">
      <formula>NOT(ISERROR(SEARCH("fail,",F3)))</formula>
    </cfRule>
  </conditionalFormatting>
  <conditionalFormatting sqref="F8">
    <cfRule type="expression" dxfId="2006" priority="187">
      <formula>NOT(ISERROR(SEARCH("fail,",F8)))</formula>
    </cfRule>
  </conditionalFormatting>
  <conditionalFormatting sqref="F9">
    <cfRule type="expression" dxfId="2005" priority="186">
      <formula>NOT(ISERROR(SEARCH("fail,",F9)))</formula>
    </cfRule>
  </conditionalFormatting>
  <conditionalFormatting sqref="F10">
    <cfRule type="expression" dxfId="2004" priority="185">
      <formula>NOT(ISERROR(SEARCH("fail,",F10)))</formula>
    </cfRule>
  </conditionalFormatting>
  <conditionalFormatting sqref="F11">
    <cfRule type="expression" dxfId="2003" priority="184">
      <formula>NOT(ISERROR(SEARCH("fail,",F11)))</formula>
    </cfRule>
  </conditionalFormatting>
  <conditionalFormatting sqref="F27:F28 F16:F23 H17">
    <cfRule type="expression" dxfId="2002" priority="183">
      <formula>NOT(ISERROR(SEARCH("fail,",F16)))</formula>
    </cfRule>
  </conditionalFormatting>
  <conditionalFormatting sqref="F29">
    <cfRule type="expression" dxfId="2001" priority="182">
      <formula>NOT(ISERROR(SEARCH("fail,",F29)))</formula>
    </cfRule>
  </conditionalFormatting>
  <conditionalFormatting sqref="F32">
    <cfRule type="expression" dxfId="2000" priority="181">
      <formula>NOT(ISERROR(SEARCH("fail,",F32)))</formula>
    </cfRule>
  </conditionalFormatting>
  <conditionalFormatting sqref="F35:F37">
    <cfRule type="expression" dxfId="1999" priority="180">
      <formula>NOT(ISERROR(SEARCH("fail,",F35)))</formula>
    </cfRule>
  </conditionalFormatting>
  <conditionalFormatting sqref="F40">
    <cfRule type="expression" dxfId="1998" priority="179">
      <formula>NOT(ISERROR(SEARCH("fail,",F40)))</formula>
    </cfRule>
  </conditionalFormatting>
  <conditionalFormatting sqref="F42">
    <cfRule type="expression" dxfId="1997" priority="178">
      <formula>NOT(ISERROR(SEARCH("fail,",F42)))</formula>
    </cfRule>
  </conditionalFormatting>
  <conditionalFormatting sqref="I8:I19 K17">
    <cfRule type="expression" dxfId="1996" priority="175">
      <formula>NOT(ISERROR(SEARCH("fail,",I8)))</formula>
    </cfRule>
  </conditionalFormatting>
  <conditionalFormatting sqref="I23 I27">
    <cfRule type="expression" dxfId="1995" priority="174">
      <formula>NOT(ISERROR(SEARCH("fail,",I23)))</formula>
    </cfRule>
  </conditionalFormatting>
  <conditionalFormatting sqref="I31:I32">
    <cfRule type="expression" dxfId="1994" priority="173">
      <formula>NOT(ISERROR(SEARCH("fail,",I31)))</formula>
    </cfRule>
  </conditionalFormatting>
  <conditionalFormatting sqref="I35">
    <cfRule type="expression" dxfId="1993" priority="172">
      <formula>NOT(ISERROR(SEARCH("fail,",I35)))</formula>
    </cfRule>
  </conditionalFormatting>
  <conditionalFormatting sqref="I37">
    <cfRule type="expression" dxfId="1992" priority="171">
      <formula>NOT(ISERROR(SEARCH("fail,",I37)))</formula>
    </cfRule>
  </conditionalFormatting>
  <conditionalFormatting sqref="I40">
    <cfRule type="expression" dxfId="1991" priority="170">
      <formula>NOT(ISERROR(SEARCH("fail,",I40)))</formula>
    </cfRule>
  </conditionalFormatting>
  <conditionalFormatting sqref="J8:J19">
    <cfRule type="expression" dxfId="1990" priority="169">
      <formula>NOT(ISERROR(SEARCH("fail,",J8)))</formula>
    </cfRule>
  </conditionalFormatting>
  <conditionalFormatting sqref="J23 J27">
    <cfRule type="expression" dxfId="1989" priority="168">
      <formula>NOT(ISERROR(SEARCH("fail,",J23)))</formula>
    </cfRule>
  </conditionalFormatting>
  <conditionalFormatting sqref="J31:J32">
    <cfRule type="expression" dxfId="1988" priority="167">
      <formula>NOT(ISERROR(SEARCH("fail,",J31)))</formula>
    </cfRule>
  </conditionalFormatting>
  <conditionalFormatting sqref="J35">
    <cfRule type="expression" dxfId="1987" priority="166">
      <formula>NOT(ISERROR(SEARCH("fail,",J35)))</formula>
    </cfRule>
  </conditionalFormatting>
  <conditionalFormatting sqref="J37">
    <cfRule type="expression" dxfId="1986" priority="165">
      <formula>NOT(ISERROR(SEARCH("fail,",J37)))</formula>
    </cfRule>
  </conditionalFormatting>
  <conditionalFormatting sqref="J38:J40">
    <cfRule type="expression" dxfId="1985" priority="164">
      <formula>NOT(ISERROR(SEARCH("fail,",J38)))</formula>
    </cfRule>
  </conditionalFormatting>
  <conditionalFormatting sqref="K36:K39">
    <cfRule type="expression" dxfId="1984" priority="163">
      <formula>NOT(ISERROR(SEARCH("fail,",K36)))</formula>
    </cfRule>
  </conditionalFormatting>
  <conditionalFormatting sqref="K32">
    <cfRule type="expression" dxfId="1983" priority="161">
      <formula>NOT(ISERROR(SEARCH("fail,",K32)))</formula>
    </cfRule>
  </conditionalFormatting>
  <conditionalFormatting sqref="K31">
    <cfRule type="expression" dxfId="1982" priority="160">
      <formula>NOT(ISERROR(SEARCH("fail,",K31)))</formula>
    </cfRule>
  </conditionalFormatting>
  <conditionalFormatting sqref="K29">
    <cfRule type="expression" dxfId="1981" priority="159">
      <formula>NOT(ISERROR(SEARCH("fail,",K29)))</formula>
    </cfRule>
  </conditionalFormatting>
  <conditionalFormatting sqref="K28">
    <cfRule type="expression" dxfId="1980" priority="158">
      <formula>NOT(ISERROR(SEARCH("fail,",K28)))</formula>
    </cfRule>
  </conditionalFormatting>
  <conditionalFormatting sqref="K27">
    <cfRule type="expression" dxfId="1979" priority="157">
      <formula>NOT(ISERROR(SEARCH("fail,",K27)))</formula>
    </cfRule>
  </conditionalFormatting>
  <conditionalFormatting sqref="K23">
    <cfRule type="expression" dxfId="1978" priority="156">
      <formula>NOT(ISERROR(SEARCH("fail,",K23)))</formula>
    </cfRule>
  </conditionalFormatting>
  <conditionalFormatting sqref="K22">
    <cfRule type="expression" dxfId="1977" priority="155">
      <formula>NOT(ISERROR(SEARCH("fail,",K22)))</formula>
    </cfRule>
  </conditionalFormatting>
  <conditionalFormatting sqref="K21">
    <cfRule type="expression" dxfId="1976" priority="154">
      <formula>NOT(ISERROR(SEARCH("fail,",K21)))</formula>
    </cfRule>
  </conditionalFormatting>
  <conditionalFormatting sqref="K20">
    <cfRule type="expression" dxfId="1975" priority="153">
      <formula>NOT(ISERROR(SEARCH("fail,",K20)))</formula>
    </cfRule>
  </conditionalFormatting>
  <conditionalFormatting sqref="K13">
    <cfRule type="expression" dxfId="1974" priority="152">
      <formula>NOT(ISERROR(SEARCH("fail,",K13)))</formula>
    </cfRule>
  </conditionalFormatting>
  <conditionalFormatting sqref="K12">
    <cfRule type="expression" dxfId="1973" priority="151">
      <formula>NOT(ISERROR(SEARCH("fail,",K12)))</formula>
    </cfRule>
  </conditionalFormatting>
  <conditionalFormatting sqref="K11">
    <cfRule type="expression" dxfId="1972" priority="150">
      <formula>NOT(ISERROR(SEARCH("fail,",K11)))</formula>
    </cfRule>
  </conditionalFormatting>
  <conditionalFormatting sqref="K10">
    <cfRule type="expression" dxfId="1971" priority="149">
      <formula>NOT(ISERROR(SEARCH("fail,",K10)))</formula>
    </cfRule>
  </conditionalFormatting>
  <conditionalFormatting sqref="K9">
    <cfRule type="expression" dxfId="1970" priority="148">
      <formula>NOT(ISERROR(SEARCH("fail,",K9)))</formula>
    </cfRule>
  </conditionalFormatting>
  <conditionalFormatting sqref="K8">
    <cfRule type="expression" dxfId="1969" priority="147">
      <formula>NOT(ISERROR(SEARCH("fail,",K8)))</formula>
    </cfRule>
  </conditionalFormatting>
  <conditionalFormatting sqref="N8:N16 N18:N19">
    <cfRule type="expression" dxfId="1968" priority="146">
      <formula>NOT(ISERROR(SEARCH("fail,",N8)))</formula>
    </cfRule>
  </conditionalFormatting>
  <conditionalFormatting sqref="N23">
    <cfRule type="expression" dxfId="1967" priority="145">
      <formula>NOT(ISERROR(SEARCH("fail,",N23)))</formula>
    </cfRule>
  </conditionalFormatting>
  <conditionalFormatting sqref="N27">
    <cfRule type="expression" dxfId="1966" priority="144">
      <formula>NOT(ISERROR(SEARCH("fail,",N27)))</formula>
    </cfRule>
  </conditionalFormatting>
  <conditionalFormatting sqref="N31">
    <cfRule type="expression" dxfId="1965" priority="143">
      <formula>NOT(ISERROR(SEARCH("fail,",N31)))</formula>
    </cfRule>
  </conditionalFormatting>
  <conditionalFormatting sqref="N32">
    <cfRule type="expression" dxfId="1964" priority="142">
      <formula>NOT(ISERROR(SEARCH("fail,",N32)))</formula>
    </cfRule>
  </conditionalFormatting>
  <conditionalFormatting sqref="N35">
    <cfRule type="expression" dxfId="1963" priority="141">
      <formula>NOT(ISERROR(SEARCH("fail,",N35)))</formula>
    </cfRule>
  </conditionalFormatting>
  <conditionalFormatting sqref="N37">
    <cfRule type="expression" dxfId="1962" priority="140">
      <formula>NOT(ISERROR(SEARCH("fail,",N37)))</formula>
    </cfRule>
  </conditionalFormatting>
  <conditionalFormatting sqref="N38:N39">
    <cfRule type="expression" dxfId="1961" priority="139">
      <formula>NOT(ISERROR(SEARCH("fail,",N38)))</formula>
    </cfRule>
  </conditionalFormatting>
  <conditionalFormatting sqref="N40">
    <cfRule type="expression" dxfId="1960" priority="138">
      <formula>NOT(ISERROR(SEARCH("fail,",N40)))</formula>
    </cfRule>
  </conditionalFormatting>
  <conditionalFormatting sqref="M14:M15">
    <cfRule type="expression" dxfId="1959" priority="137">
      <formula>NOT(ISERROR(SEARCH("fail,",M14)))</formula>
    </cfRule>
  </conditionalFormatting>
  <conditionalFormatting sqref="L14:L17">
    <cfRule type="expression" dxfId="1958" priority="136">
      <formula>NOT(ISERROR(SEARCH("fail,",L14)))</formula>
    </cfRule>
  </conditionalFormatting>
  <conditionalFormatting sqref="L40:M40">
    <cfRule type="expression" dxfId="1957" priority="134">
      <formula>NOT(ISERROR(SEARCH("fail,",L40)))</formula>
    </cfRule>
  </conditionalFormatting>
  <conditionalFormatting sqref="O40">
    <cfRule type="expression" dxfId="1956" priority="133">
      <formula>NOT(ISERROR(SEARCH("fail,",O40)))</formula>
    </cfRule>
  </conditionalFormatting>
  <conditionalFormatting sqref="P40">
    <cfRule type="expression" dxfId="1955" priority="132">
      <formula>NOT(ISERROR(SEARCH("fail,",P40)))</formula>
    </cfRule>
  </conditionalFormatting>
  <conditionalFormatting sqref="Q40">
    <cfRule type="expression" dxfId="1954" priority="131">
      <formula>NOT(ISERROR(SEARCH("fail,",Q40)))</formula>
    </cfRule>
  </conditionalFormatting>
  <conditionalFormatting sqref="S40">
    <cfRule type="expression" dxfId="1953" priority="130">
      <formula>NOT(ISERROR(SEARCH("fail,",S40)))</formula>
    </cfRule>
  </conditionalFormatting>
  <conditionalFormatting sqref="T40">
    <cfRule type="expression" dxfId="1952" priority="129">
      <formula>NOT(ISERROR(SEARCH("fail,",T40)))</formula>
    </cfRule>
  </conditionalFormatting>
  <conditionalFormatting sqref="U40">
    <cfRule type="expression" dxfId="1951" priority="128">
      <formula>NOT(ISERROR(SEARCH("fail,",U40)))</formula>
    </cfRule>
  </conditionalFormatting>
  <conditionalFormatting sqref="V40">
    <cfRule type="expression" dxfId="1950" priority="127">
      <formula>NOT(ISERROR(SEARCH("fail,",V40)))</formula>
    </cfRule>
  </conditionalFormatting>
  <conditionalFormatting sqref="W40">
    <cfRule type="expression" dxfId="1949" priority="126">
      <formula>NOT(ISERROR(SEARCH("fail,",W40)))</formula>
    </cfRule>
  </conditionalFormatting>
  <conditionalFormatting sqref="X40">
    <cfRule type="expression" dxfId="1948" priority="125">
      <formula>NOT(ISERROR(SEARCH("fail,",X40)))</formula>
    </cfRule>
  </conditionalFormatting>
  <conditionalFormatting sqref="Z40">
    <cfRule type="expression" dxfId="1947" priority="124">
      <formula>NOT(ISERROR(SEARCH("fail,",Z40)))</formula>
    </cfRule>
  </conditionalFormatting>
  <conditionalFormatting sqref="AB40">
    <cfRule type="expression" dxfId="1946" priority="123">
      <formula>NOT(ISERROR(SEARCH("fail,",AB40)))</formula>
    </cfRule>
  </conditionalFormatting>
  <conditionalFormatting sqref="AC40">
    <cfRule type="expression" dxfId="1945" priority="121">
      <formula>NOT(ISERROR(SEARCH("fail,",AC40)))</formula>
    </cfRule>
  </conditionalFormatting>
  <conditionalFormatting sqref="AD40">
    <cfRule type="expression" dxfId="1944" priority="120">
      <formula>NOT(ISERROR(SEARCH("fail,",AD40)))</formula>
    </cfRule>
  </conditionalFormatting>
  <conditionalFormatting sqref="W14:X14">
    <cfRule type="expression" dxfId="1943" priority="119">
      <formula>NOT(ISERROR(SEARCH("fail,",W14)))</formula>
    </cfRule>
  </conditionalFormatting>
  <conditionalFormatting sqref="X15">
    <cfRule type="expression" dxfId="1942" priority="118">
      <formula>NOT(ISERROR(SEARCH("fail,",X15)))</formula>
    </cfRule>
  </conditionalFormatting>
  <conditionalFormatting sqref="W15">
    <cfRule type="expression" dxfId="1941" priority="117">
      <formula>NOT(ISERROR(SEARCH("fail,",W15)))</formula>
    </cfRule>
  </conditionalFormatting>
  <conditionalFormatting sqref="AA16">
    <cfRule type="expression" dxfId="1940" priority="116">
      <formula>NOT(ISERROR(SEARCH("fail,",AA16)))</formula>
    </cfRule>
  </conditionalFormatting>
  <conditionalFormatting sqref="X16">
    <cfRule type="expression" dxfId="1939" priority="115">
      <formula>NOT(ISERROR(SEARCH("fail,",X16)))</formula>
    </cfRule>
  </conditionalFormatting>
  <conditionalFormatting sqref="Z16">
    <cfRule type="expression" dxfId="1938" priority="114">
      <formula>NOT(ISERROR(SEARCH("fail,",Z16)))</formula>
    </cfRule>
  </conditionalFormatting>
  <conditionalFormatting sqref="W16">
    <cfRule type="expression" dxfId="1937" priority="113">
      <formula>NOT(ISERROR(SEARCH("fail,",W16)))</formula>
    </cfRule>
  </conditionalFormatting>
  <conditionalFormatting sqref="V16">
    <cfRule type="expression" dxfId="1936" priority="112">
      <formula>NOT(ISERROR(SEARCH("fail,",V16)))</formula>
    </cfRule>
  </conditionalFormatting>
  <conditionalFormatting sqref="U16">
    <cfRule type="expression" dxfId="1935" priority="111">
      <formula>NOT(ISERROR(SEARCH("fail,",U16)))</formula>
    </cfRule>
  </conditionalFormatting>
  <conditionalFormatting sqref="T16">
    <cfRule type="expression" dxfId="1934" priority="110">
      <formula>NOT(ISERROR(SEARCH("fail,",T16)))</formula>
    </cfRule>
  </conditionalFormatting>
  <conditionalFormatting sqref="S16">
    <cfRule type="expression" dxfId="1933" priority="109">
      <formula>NOT(ISERROR(SEARCH("fail,",S16)))</formula>
    </cfRule>
  </conditionalFormatting>
  <conditionalFormatting sqref="Q16">
    <cfRule type="expression" dxfId="1932" priority="108">
      <formula>NOT(ISERROR(SEARCH("fail,",Q16)))</formula>
    </cfRule>
  </conditionalFormatting>
  <conditionalFormatting sqref="P16">
    <cfRule type="expression" dxfId="1931" priority="107">
      <formula>NOT(ISERROR(SEARCH("fail,",P16)))</formula>
    </cfRule>
  </conditionalFormatting>
  <conditionalFormatting sqref="O16">
    <cfRule type="expression" dxfId="1930" priority="106">
      <formula>NOT(ISERROR(SEARCH("fail,",O16)))</formula>
    </cfRule>
  </conditionalFormatting>
  <conditionalFormatting sqref="S15">
    <cfRule type="expression" dxfId="1929" priority="105">
      <formula>NOT(ISERROR(SEARCH("fail,",S15)))</formula>
    </cfRule>
  </conditionalFormatting>
  <conditionalFormatting sqref="S14">
    <cfRule type="expression" dxfId="1928" priority="104">
      <formula>NOT(ISERROR(SEARCH("fail,",S14)))</formula>
    </cfRule>
  </conditionalFormatting>
  <conditionalFormatting sqref="AB16">
    <cfRule type="expression" dxfId="1927" priority="103">
      <formula>NOT(ISERROR(SEARCH("fail,",AB16)))</formula>
    </cfRule>
  </conditionalFormatting>
  <conditionalFormatting sqref="AC16">
    <cfRule type="expression" dxfId="1926" priority="102">
      <formula>NOT(ISERROR(SEARCH("fail,",AC16)))</formula>
    </cfRule>
  </conditionalFormatting>
  <conditionalFormatting sqref="AD16">
    <cfRule type="expression" dxfId="1925" priority="101">
      <formula>NOT(ISERROR(SEARCH("fail,",AD16)))</formula>
    </cfRule>
  </conditionalFormatting>
  <conditionalFormatting sqref="M16:M17 N17:AD17">
    <cfRule type="expression" dxfId="1924" priority="100">
      <formula>NOT(ISERROR(SEARCH("fail,",M16)))</formula>
    </cfRule>
  </conditionalFormatting>
  <conditionalFormatting sqref="E16:E17">
    <cfRule type="expression" dxfId="1923" priority="99">
      <formula>NOT(ISERROR(SEARCH("fail,",E16)))</formula>
    </cfRule>
  </conditionalFormatting>
  <conditionalFormatting sqref="L30:M30">
    <cfRule type="expression" dxfId="1922" priority="98">
      <formula>NOT(ISERROR(SEARCH("fail,",L30)))</formula>
    </cfRule>
  </conditionalFormatting>
  <conditionalFormatting sqref="L31">
    <cfRule type="expression" dxfId="1921" priority="97">
      <formula>NOT(ISERROR(SEARCH("fail,",L31)))</formula>
    </cfRule>
  </conditionalFormatting>
  <conditionalFormatting sqref="M31">
    <cfRule type="expression" dxfId="1920" priority="96">
      <formula>NOT(ISERROR(SEARCH("fail,",M31)))</formula>
    </cfRule>
  </conditionalFormatting>
  <conditionalFormatting sqref="M32">
    <cfRule type="expression" dxfId="1919" priority="95">
      <formula>NOT(ISERROR(SEARCH("fail,",M32)))</formula>
    </cfRule>
  </conditionalFormatting>
  <conditionalFormatting sqref="L32">
    <cfRule type="expression" dxfId="1918" priority="94">
      <formula>NOT(ISERROR(SEARCH("fail,",L32)))</formula>
    </cfRule>
  </conditionalFormatting>
  <conditionalFormatting sqref="E32">
    <cfRule type="expression" dxfId="1917" priority="93">
      <formula>NOT(ISERROR(SEARCH("fail,",E32)))</formula>
    </cfRule>
  </conditionalFormatting>
  <conditionalFormatting sqref="E31">
    <cfRule type="expression" dxfId="1916" priority="92">
      <formula>NOT(ISERROR(SEARCH("fail,",E31)))</formula>
    </cfRule>
  </conditionalFormatting>
  <conditionalFormatting sqref="E30">
    <cfRule type="expression" dxfId="1915" priority="91">
      <formula>NOT(ISERROR(SEARCH("fail,",E30)))</formula>
    </cfRule>
  </conditionalFormatting>
  <conditionalFormatting sqref="O30">
    <cfRule type="expression" dxfId="1914" priority="90">
      <formula>NOT(ISERROR(SEARCH("fail,",O30)))</formula>
    </cfRule>
  </conditionalFormatting>
  <conditionalFormatting sqref="P30">
    <cfRule type="expression" dxfId="1913" priority="89">
      <formula>NOT(ISERROR(SEARCH("fail,",P30)))</formula>
    </cfRule>
  </conditionalFormatting>
  <conditionalFormatting sqref="Q30">
    <cfRule type="expression" dxfId="1912" priority="88">
      <formula>NOT(ISERROR(SEARCH("fail,",Q30)))</formula>
    </cfRule>
  </conditionalFormatting>
  <conditionalFormatting sqref="S30">
    <cfRule type="expression" dxfId="1911" priority="87">
      <formula>NOT(ISERROR(SEARCH("fail,",S30)))</formula>
    </cfRule>
  </conditionalFormatting>
  <conditionalFormatting sqref="T30">
    <cfRule type="expression" dxfId="1910" priority="86">
      <formula>NOT(ISERROR(SEARCH("fail,",T30)))</formula>
    </cfRule>
  </conditionalFormatting>
  <conditionalFormatting sqref="U30">
    <cfRule type="expression" dxfId="1909" priority="85">
      <formula>NOT(ISERROR(SEARCH("fail,",U30)))</formula>
    </cfRule>
  </conditionalFormatting>
  <conditionalFormatting sqref="V30">
    <cfRule type="expression" dxfId="1908" priority="84">
      <formula>NOT(ISERROR(SEARCH("fail,",V30)))</formula>
    </cfRule>
  </conditionalFormatting>
  <conditionalFormatting sqref="W30">
    <cfRule type="expression" dxfId="1907" priority="83">
      <formula>NOT(ISERROR(SEARCH("fail,",W30)))</formula>
    </cfRule>
  </conditionalFormatting>
  <conditionalFormatting sqref="X30">
    <cfRule type="expression" dxfId="1906" priority="82">
      <formula>NOT(ISERROR(SEARCH("fail,",X30)))</formula>
    </cfRule>
  </conditionalFormatting>
  <conditionalFormatting sqref="Z30">
    <cfRule type="expression" dxfId="1905" priority="81">
      <formula>NOT(ISERROR(SEARCH("fail,",Z30)))</formula>
    </cfRule>
  </conditionalFormatting>
  <conditionalFormatting sqref="Z31">
    <cfRule type="expression" dxfId="1904" priority="80">
      <formula>NOT(ISERROR(SEARCH("fail,",Z31)))</formula>
    </cfRule>
  </conditionalFormatting>
  <conditionalFormatting sqref="X31">
    <cfRule type="expression" dxfId="1903" priority="79">
      <formula>NOT(ISERROR(SEARCH("fail,",X31)))</formula>
    </cfRule>
  </conditionalFormatting>
  <conditionalFormatting sqref="W31">
    <cfRule type="expression" dxfId="1902" priority="78">
      <formula>NOT(ISERROR(SEARCH("fail,",W31)))</formula>
    </cfRule>
  </conditionalFormatting>
  <conditionalFormatting sqref="V31">
    <cfRule type="expression" dxfId="1901" priority="77">
      <formula>NOT(ISERROR(SEARCH("fail,",V31)))</formula>
    </cfRule>
  </conditionalFormatting>
  <conditionalFormatting sqref="U31">
    <cfRule type="expression" dxfId="1900" priority="76">
      <formula>NOT(ISERROR(SEARCH("fail,",U31)))</formula>
    </cfRule>
  </conditionalFormatting>
  <conditionalFormatting sqref="T31">
    <cfRule type="expression" dxfId="1899" priority="75">
      <formula>NOT(ISERROR(SEARCH("fail,",T31)))</formula>
    </cfRule>
  </conditionalFormatting>
  <conditionalFormatting sqref="S31">
    <cfRule type="expression" dxfId="1898" priority="74">
      <formula>NOT(ISERROR(SEARCH("fail,",S31)))</formula>
    </cfRule>
  </conditionalFormatting>
  <conditionalFormatting sqref="Q31">
    <cfRule type="expression" dxfId="1897" priority="73">
      <formula>NOT(ISERROR(SEARCH("fail,",Q31)))</formula>
    </cfRule>
  </conditionalFormatting>
  <conditionalFormatting sqref="P31">
    <cfRule type="expression" dxfId="1896" priority="72">
      <formula>NOT(ISERROR(SEARCH("fail,",P31)))</formula>
    </cfRule>
  </conditionalFormatting>
  <conditionalFormatting sqref="O31">
    <cfRule type="expression" dxfId="1895" priority="71">
      <formula>NOT(ISERROR(SEARCH("fail,",O31)))</formula>
    </cfRule>
  </conditionalFormatting>
  <conditionalFormatting sqref="S32">
    <cfRule type="expression" dxfId="1894" priority="70">
      <formula>NOT(ISERROR(SEARCH("fail,",S32)))</formula>
    </cfRule>
  </conditionalFormatting>
  <conditionalFormatting sqref="T32">
    <cfRule type="expression" dxfId="1893" priority="69">
      <formula>NOT(ISERROR(SEARCH("fail,",T32)))</formula>
    </cfRule>
  </conditionalFormatting>
  <conditionalFormatting sqref="V32">
    <cfRule type="expression" dxfId="1892" priority="68">
      <formula>NOT(ISERROR(SEARCH("fail,",V32)))</formula>
    </cfRule>
  </conditionalFormatting>
  <conditionalFormatting sqref="W32">
    <cfRule type="expression" dxfId="1891" priority="67">
      <formula>NOT(ISERROR(SEARCH("fail,",W32)))</formula>
    </cfRule>
  </conditionalFormatting>
  <conditionalFormatting sqref="X32">
    <cfRule type="expression" dxfId="1890" priority="66">
      <formula>NOT(ISERROR(SEARCH("fail,",X32)))</formula>
    </cfRule>
  </conditionalFormatting>
  <conditionalFormatting sqref="Z32">
    <cfRule type="expression" dxfId="1889" priority="65">
      <formula>NOT(ISERROR(SEARCH("fail,",Z32)))</formula>
    </cfRule>
  </conditionalFormatting>
  <conditionalFormatting sqref="AC30:AC32">
    <cfRule type="expression" dxfId="1888" priority="62">
      <formula>NOT(ISERROR(SEARCH("fail,",AC30)))</formula>
    </cfRule>
  </conditionalFormatting>
  <conditionalFormatting sqref="AB32">
    <cfRule type="expression" dxfId="1887" priority="61">
      <formula>NOT(ISERROR(SEARCH("fail,",AB32)))</formula>
    </cfRule>
  </conditionalFormatting>
  <conditionalFormatting sqref="AB31">
    <cfRule type="expression" dxfId="1886" priority="60">
      <formula>NOT(ISERROR(SEARCH("fail,",AB31)))</formula>
    </cfRule>
  </conditionalFormatting>
  <conditionalFormatting sqref="AB30">
    <cfRule type="expression" dxfId="1885" priority="59">
      <formula>NOT(ISERROR(SEARCH("fail,",AB30)))</formula>
    </cfRule>
  </conditionalFormatting>
  <conditionalFormatting sqref="AA30">
    <cfRule type="expression" dxfId="1884" priority="58">
      <formula>NOT(ISERROR(SEARCH("fail,",AA30)))</formula>
    </cfRule>
  </conditionalFormatting>
  <conditionalFormatting sqref="AA31">
    <cfRule type="expression" dxfId="1883" priority="57">
      <formula>NOT(ISERROR(SEARCH("fail,",AA31)))</formula>
    </cfRule>
  </conditionalFormatting>
  <conditionalFormatting sqref="AA32">
    <cfRule type="expression" dxfId="1882" priority="56">
      <formula>NOT(ISERROR(SEARCH("fail,",AA32)))</formula>
    </cfRule>
  </conditionalFormatting>
  <conditionalFormatting sqref="AD30">
    <cfRule type="expression" dxfId="1881" priority="55">
      <formula>NOT(ISERROR(SEARCH("fail,",AD30)))</formula>
    </cfRule>
  </conditionalFormatting>
  <conditionalFormatting sqref="AD31">
    <cfRule type="expression" dxfId="1880" priority="54">
      <formula>NOT(ISERROR(SEARCH("fail,",AD31)))</formula>
    </cfRule>
  </conditionalFormatting>
  <conditionalFormatting sqref="AD32">
    <cfRule type="expression" dxfId="1879" priority="53">
      <formula>NOT(ISERROR(SEARCH("fail,",AD32)))</formula>
    </cfRule>
  </conditionalFormatting>
  <conditionalFormatting sqref="G8:G19">
    <cfRule type="expression" dxfId="1878" priority="46">
      <formula>NOT(ISERROR(SEARCH("fail,",G8)))</formula>
    </cfRule>
  </conditionalFormatting>
  <conditionalFormatting sqref="G8:G19">
    <cfRule type="expression" dxfId="1877" priority="45">
      <formula>NOT(ISERROR(SEARCH("fail,",G8)))</formula>
    </cfRule>
  </conditionalFormatting>
  <conditionalFormatting sqref="G23">
    <cfRule type="expression" dxfId="1876" priority="44">
      <formula>NOT(ISERROR(SEARCH("fail,",G23)))</formula>
    </cfRule>
  </conditionalFormatting>
  <conditionalFormatting sqref="G23">
    <cfRule type="expression" dxfId="1875" priority="43">
      <formula>NOT(ISERROR(SEARCH("fail,",G23)))</formula>
    </cfRule>
  </conditionalFormatting>
  <conditionalFormatting sqref="G28:G30">
    <cfRule type="expression" dxfId="1874" priority="42">
      <formula>NOT(ISERROR(SEARCH("fail,",G28)))</formula>
    </cfRule>
  </conditionalFormatting>
  <conditionalFormatting sqref="G28:G30">
    <cfRule type="expression" dxfId="1873" priority="41">
      <formula>NOT(ISERROR(SEARCH("fail,",G28)))</formula>
    </cfRule>
  </conditionalFormatting>
  <conditionalFormatting sqref="G32">
    <cfRule type="expression" dxfId="1872" priority="40">
      <formula>NOT(ISERROR(SEARCH("fail,",G32)))</formula>
    </cfRule>
  </conditionalFormatting>
  <conditionalFormatting sqref="G32">
    <cfRule type="expression" dxfId="1871" priority="39">
      <formula>NOT(ISERROR(SEARCH("fail,",G32)))</formula>
    </cfRule>
  </conditionalFormatting>
  <conditionalFormatting sqref="G35">
    <cfRule type="expression" dxfId="1870" priority="38">
      <formula>NOT(ISERROR(SEARCH("fail,",G35)))</formula>
    </cfRule>
  </conditionalFormatting>
  <conditionalFormatting sqref="G35">
    <cfRule type="expression" dxfId="1869" priority="37">
      <formula>NOT(ISERROR(SEARCH("fail,",G35)))</formula>
    </cfRule>
  </conditionalFormatting>
  <conditionalFormatting sqref="G37">
    <cfRule type="expression" dxfId="1868" priority="36">
      <formula>NOT(ISERROR(SEARCH("fail,",G37)))</formula>
    </cfRule>
  </conditionalFormatting>
  <conditionalFormatting sqref="G37">
    <cfRule type="expression" dxfId="1867" priority="35">
      <formula>NOT(ISERROR(SEARCH("fail,",G37)))</formula>
    </cfRule>
  </conditionalFormatting>
  <conditionalFormatting sqref="G38">
    <cfRule type="expression" dxfId="1866" priority="34">
      <formula>NOT(ISERROR(SEARCH("fail,",G38)))</formula>
    </cfRule>
  </conditionalFormatting>
  <conditionalFormatting sqref="G38">
    <cfRule type="expression" dxfId="1865" priority="33">
      <formula>NOT(ISERROR(SEARCH("fail,",G38)))</formula>
    </cfRule>
  </conditionalFormatting>
  <conditionalFormatting sqref="G40">
    <cfRule type="expression" dxfId="1864" priority="32">
      <formula>NOT(ISERROR(SEARCH("fail,",G40)))</formula>
    </cfRule>
  </conditionalFormatting>
  <conditionalFormatting sqref="G40">
    <cfRule type="expression" dxfId="1863" priority="31">
      <formula>NOT(ISERROR(SEARCH("fail,",G40)))</formula>
    </cfRule>
  </conditionalFormatting>
  <conditionalFormatting sqref="Y8:Y16 Y18:Y19">
    <cfRule type="expression" dxfId="1862" priority="30">
      <formula>NOT(ISERROR(SEARCH("fail,",Y8)))</formula>
    </cfRule>
  </conditionalFormatting>
  <conditionalFormatting sqref="Y23">
    <cfRule type="expression" dxfId="1861" priority="29">
      <formula>NOT(ISERROR(SEARCH("fail,",Y23)))</formula>
    </cfRule>
  </conditionalFormatting>
  <conditionalFormatting sqref="Y28:Y29">
    <cfRule type="expression" dxfId="1860" priority="28">
      <formula>NOT(ISERROR(SEARCH("fail,",Y28)))</formula>
    </cfRule>
  </conditionalFormatting>
  <conditionalFormatting sqref="Y33:Y35">
    <cfRule type="expression" dxfId="1859" priority="27">
      <formula>NOT(ISERROR(SEARCH("fail,",Y33)))</formula>
    </cfRule>
  </conditionalFormatting>
  <conditionalFormatting sqref="Y37:Y38">
    <cfRule type="expression" dxfId="1858" priority="26">
      <formula>NOT(ISERROR(SEARCH("fail,",Y37)))</formula>
    </cfRule>
  </conditionalFormatting>
  <conditionalFormatting sqref="Y40">
    <cfRule type="expression" dxfId="1857" priority="25">
      <formula>NOT(ISERROR(SEARCH("fail,",Y40)))</formula>
    </cfRule>
  </conditionalFormatting>
  <conditionalFormatting sqref="AG33:AK34">
    <cfRule type="expression" dxfId="1856" priority="22">
      <formula>NOT(ISERROR(SEARCH("fail,",#REF!)))</formula>
    </cfRule>
  </conditionalFormatting>
  <conditionalFormatting sqref="AH33:AK34">
    <cfRule type="expression" dxfId="1855" priority="24">
      <formula>NOT(ISERROR(SEARCH("fail,",AH33)))</formula>
    </cfRule>
  </conditionalFormatting>
  <conditionalFormatting sqref="E19">
    <cfRule type="expression" dxfId="1854" priority="21">
      <formula>NOT(ISERROR(SEARCH("fail,",E19)))</formula>
    </cfRule>
  </conditionalFormatting>
  <conditionalFormatting sqref="H19">
    <cfRule type="expression" dxfId="1853" priority="20">
      <formula>NOT(ISERROR(SEARCH("fail,",H19)))</formula>
    </cfRule>
  </conditionalFormatting>
  <conditionalFormatting sqref="H19">
    <cfRule type="expression" dxfId="1852" priority="19">
      <formula>NOT(ISERROR(SEARCH("fail,",H19)))</formula>
    </cfRule>
  </conditionalFormatting>
  <conditionalFormatting sqref="K19">
    <cfRule type="expression" dxfId="1851" priority="18">
      <formula>NOT(ISERROR(SEARCH("fail,",K19)))</formula>
    </cfRule>
  </conditionalFormatting>
  <conditionalFormatting sqref="L19">
    <cfRule type="expression" dxfId="1850" priority="17">
      <formula>NOT(ISERROR(SEARCH("fail,",L19)))</formula>
    </cfRule>
  </conditionalFormatting>
  <conditionalFormatting sqref="M19">
    <cfRule type="expression" dxfId="1849" priority="16">
      <formula>NOT(ISERROR(SEARCH("fail,",M19)))</formula>
    </cfRule>
  </conditionalFormatting>
  <conditionalFormatting sqref="O19">
    <cfRule type="expression" dxfId="1848" priority="15">
      <formula>NOT(ISERROR(SEARCH("fail,",O19)))</formula>
    </cfRule>
  </conditionalFormatting>
  <conditionalFormatting sqref="P19">
    <cfRule type="expression" dxfId="1847" priority="14">
      <formula>NOT(ISERROR(SEARCH("fail,",P19)))</formula>
    </cfRule>
  </conditionalFormatting>
  <conditionalFormatting sqref="Q19">
    <cfRule type="expression" dxfId="1846" priority="13">
      <formula>NOT(ISERROR(SEARCH("fail,",Q19)))</formula>
    </cfRule>
  </conditionalFormatting>
  <conditionalFormatting sqref="S19">
    <cfRule type="expression" dxfId="1845" priority="12">
      <formula>NOT(ISERROR(SEARCH("fail,",S19)))</formula>
    </cfRule>
  </conditionalFormatting>
  <conditionalFormatting sqref="T19">
    <cfRule type="expression" dxfId="1844" priority="11">
      <formula>NOT(ISERROR(SEARCH("fail,",T19)))</formula>
    </cfRule>
  </conditionalFormatting>
  <conditionalFormatting sqref="U19">
    <cfRule type="expression" dxfId="1843" priority="10">
      <formula>NOT(ISERROR(SEARCH("fail,",U19)))</formula>
    </cfRule>
  </conditionalFormatting>
  <conditionalFormatting sqref="V19">
    <cfRule type="expression" dxfId="1842" priority="9">
      <formula>NOT(ISERROR(SEARCH("fail,",V19)))</formula>
    </cfRule>
  </conditionalFormatting>
  <conditionalFormatting sqref="W19:X19">
    <cfRule type="expression" dxfId="1841" priority="8">
      <formula>NOT(ISERROR(SEARCH("fail,",W19)))</formula>
    </cfRule>
  </conditionalFormatting>
  <conditionalFormatting sqref="Z19">
    <cfRule type="expression" dxfId="1840" priority="7">
      <formula>NOT(ISERROR(SEARCH("fail,",Z19)))</formula>
    </cfRule>
  </conditionalFormatting>
  <conditionalFormatting sqref="AA19">
    <cfRule type="expression" dxfId="1839" priority="6">
      <formula>NOT(ISERROR(SEARCH("fail,",AA19)))</formula>
    </cfRule>
  </conditionalFormatting>
  <conditionalFormatting sqref="AB19">
    <cfRule type="expression" dxfId="1838" priority="5">
      <formula>NOT(ISERROR(SEARCH("fail,",AB19)))</formula>
    </cfRule>
  </conditionalFormatting>
  <conditionalFormatting sqref="AC19">
    <cfRule type="expression" dxfId="1837" priority="4">
      <formula>NOT(ISERROR(SEARCH("fail,",AC19)))</formula>
    </cfRule>
  </conditionalFormatting>
  <conditionalFormatting sqref="AD19">
    <cfRule type="expression" dxfId="1836" priority="3">
      <formula>NOT(ISERROR(SEARCH("fail,",AD19)))</formula>
    </cfRule>
  </conditionalFormatting>
  <conditionalFormatting sqref="D1:D2 D8:D1048576">
    <cfRule type="containsText" dxfId="1835" priority="2" operator="containsText" text="tp">
      <formula>NOT(ISERROR(SEARCH("tp",D1)))</formula>
    </cfRule>
  </conditionalFormatting>
  <hyperlinks>
    <hyperlink ref="E8" r:id="rId1" xr:uid="{00000000-0004-0000-0300-000001000000}"/>
    <hyperlink ref="AM8" r:id="rId2" location="/testPlayer/TQUALTCM-C232" xr:uid="{00000000-0004-0000-0300-000016000000}"/>
    <hyperlink ref="E9" r:id="rId3" xr:uid="{00000000-0004-0000-0300-000018000000}"/>
    <hyperlink ref="AM9" r:id="rId4" location="/testPlayer/TQUALTCM-C8" xr:uid="{00000000-0004-0000-0300-00002D000000}"/>
    <hyperlink ref="E10" r:id="rId5" xr:uid="{00000000-0004-0000-0300-00002F000000}"/>
    <hyperlink ref="AM10" r:id="rId6" location="/reports/testresults/detailed/view?tql=testResult.projectKey%20IN%20('TQUALTCM')%20AND%20testRun.key%20IN%20('TQUALTCM-C409')%20AND%20testRun.onlyLastTestResult%20IS%20false&amp;jql=&amp;title=REPORTS.TEST_RESULTS_DETAILED.TITLE&amp;period=MONTH&amp;traceabilityReportOpt" xr:uid="{00000000-0004-0000-0300-000044000000}"/>
    <hyperlink ref="E11" r:id="rId7" xr:uid="{00000000-0004-0000-0300-000046000000}"/>
    <hyperlink ref="AM11" r:id="rId8" location="/reports/testresults/detailed/view?tql=testResult.projectKey%20IN%20('TQUALTCM')%20AND%20testRun.key%20IN%20('TQUALTCM-C409')%20AND%20testRun.onlyLastTestResult%20IS%20false&amp;jql=&amp;title=REPORTS.TEST_RESULTS_DETAILED.TITLE&amp;period=MONTH&amp;traceabilityReportOpt" xr:uid="{00000000-0004-0000-0300-00005B000000}"/>
    <hyperlink ref="E12" r:id="rId9" xr:uid="{00000000-0004-0000-0300-00005D000000}"/>
    <hyperlink ref="AM12" r:id="rId10" location="/reports/testresults/detailed/view?tql=testResult.projectKey%20IN%20('TQUALTCM')%20AND%20testRun.key%20IN%20('TQUALTCM-C410')%20AND%20testRun.onlyLastTestResult%20IS%20false&amp;jql=&amp;title=REPORTS.TEST_RESULTS_DETAILED.TITLE&amp;period=MONTH&amp;traceabilityReportOpt" xr:uid="{00000000-0004-0000-0300-000074000000}"/>
    <hyperlink ref="E13" r:id="rId11" xr:uid="{00000000-0004-0000-0300-000076000000}"/>
    <hyperlink ref="AM13" r:id="rId12" location="/reports/testresults/detailed/view?tql=testResult.projectKey%20IN%20('TQUALTCM')%20AND%20testRun.key%20IN%20('TQUALTCM-C410')%20AND%20testRun.onlyLastTestResult%20IS%20false&amp;jql=&amp;title=REPORTS.TEST_RESULTS_DETAILED.TITLE&amp;period=MONTH&amp;traceabilityReportOpt" xr:uid="{00000000-0004-0000-0300-00008D000000}"/>
    <hyperlink ref="D42" r:id="rId13" display="https://intranet.atlnz.lc/systest/Jira_Reports/testExecReport/jiraExecReport.php?testPlanKey=46&amp;projectKey=TQUALTCM&amp;Report=Report" xr:uid="{00000000-0004-0000-0300-000090000000}"/>
    <hyperlink ref="E42" r:id="rId14" xr:uid="{00000000-0004-0000-0300-000091000000}"/>
    <hyperlink ref="L42" r:id="rId15" location="/testCycle/TQUALTCM-C2734" xr:uid="{00000000-0004-0000-0300-000092000000}"/>
    <hyperlink ref="O42" r:id="rId16" display="Pass, May 17" xr:uid="{00000000-0004-0000-0300-000093000000}"/>
    <hyperlink ref="P42" r:id="rId17" location="/reports/testresults/list/view?tql=testResult.projectKey%20IN%20('TQUALTCM')%20AND%20testRun.key%20IN%20('TQUALTCM-C1291')%20AND%20testRun.onlyLastTestResult%20IS%20false&amp;jql=&amp;title=REPORTS.TEST_RESULTS_ADVANCED.TITLE" xr:uid="{00000000-0004-0000-0300-000094000000}"/>
    <hyperlink ref="Q42" r:id="rId18" xr:uid="{00000000-0004-0000-0300-000095000000}"/>
    <hyperlink ref="S42" r:id="rId19" display="Pass, Jan 15" xr:uid="{00000000-0004-0000-0300-000096000000}"/>
    <hyperlink ref="V42" r:id="rId20" location="/reports/testresults/list/view?tql=testResult.projectKey%20IN%20('TQUALTCM')%20AND%20testRun.key%20IN%20('TQUALTCM-C1091')%20AND%20testRun.onlyLastTestResult%20IS%20false&amp;jql=&amp;title=REPORTS.TEST_RESULTS_ADVANCED.TITL" xr:uid="{00000000-0004-0000-0300-000097000000}"/>
    <hyperlink ref="W42" r:id="rId21" xr:uid="{00000000-0004-0000-0300-000098000000}"/>
    <hyperlink ref="X42" r:id="rId22" location="/reports/testresults/list/view?tql=testResult.projectKey%20IN%20('TQUALTCM')%20AND%20testRun.key%20IN%20('TQUALTCM-C446')%20AND%20testRun.onlyLastTestResult%20IS%20false&amp;jql=&amp;title=REPORTS.TEST_RESULTS_ADVANCED.TITLE" display="Pass, Jul 19" xr:uid="{00000000-0004-0000-0300-000099000000}"/>
    <hyperlink ref="Z42" r:id="rId23" display="Pass, Dec 15" xr:uid="{00000000-0004-0000-0300-00009A000000}"/>
    <hyperlink ref="AA42" r:id="rId24" display="Pass, Dec 15" xr:uid="{00000000-0004-0000-0300-00009B000000}"/>
    <hyperlink ref="AB42" r:id="rId25" xr:uid="{00000000-0004-0000-0300-00009C000000}"/>
    <hyperlink ref="AC42" r:id="rId26" display="Pass, Feb 14" xr:uid="{00000000-0004-0000-0300-00009D000000}"/>
    <hyperlink ref="AD42" r:id="rId27" location="/cycle?projectId=15704" xr:uid="{00000000-0004-0000-0300-00009E000000}"/>
    <hyperlink ref="AF42" r:id="rId28" display="Pass, Dec 15" xr:uid="{00000000-0004-0000-0300-00009F000000}"/>
    <hyperlink ref="AG42" r:id="rId29" xr:uid="{00000000-0004-0000-0300-0000A0000000}"/>
    <hyperlink ref="AH42" r:id="rId30" display="Pass, Feb-13" xr:uid="{00000000-0004-0000-0300-0000A1000000}"/>
    <hyperlink ref="AJ42" r:id="rId31" display="Pass, Dec 15" xr:uid="{00000000-0004-0000-0300-0000A2000000}"/>
    <hyperlink ref="AK42" r:id="rId32" display="Pass, Dec 15" xr:uid="{00000000-0004-0000-0300-0000A3000000}"/>
    <hyperlink ref="AL42" r:id="rId33" display="Pass, Dec 15" xr:uid="{00000000-0004-0000-0300-0000A4000000}"/>
    <hyperlink ref="AM42" r:id="rId34" display="Pass, Dec 15" xr:uid="{00000000-0004-0000-0300-0000A5000000}"/>
    <hyperlink ref="E18" r:id="rId35" location="/reports/testresults/list/view?tql=testResult.projectKey%20IN%20('TQUALTCM')%20AND%20testRun.key%20IN%20('TQUALTCM-C979')%20AND%20testRun.onlyLastTestResult%20IS%20false&amp;jql=&amp;title=REPORTS.TEST_RESULTS_ADVANCED.TITLE" xr:uid="{00000000-0004-0000-0300-0000BB000000}"/>
    <hyperlink ref="AM18" r:id="rId36" location="/reports/testresults/list/view?tql=testResult.projectKey%20IN%20('TQUALTCM')%20AND%20testRun.key%20IN%20('TQUALTCM-C1154')%20AND%20testRun.onlyLastTestResult%20IS%20false&amp;jql=&amp;title=REPORTS.TEST_RESULTS_ADVANCED.TITLE" xr:uid="{00000000-0004-0000-0300-0000D2000000}"/>
    <hyperlink ref="E20" r:id="rId37" xr:uid="{00000000-0004-0000-0300-0000D4000000}"/>
    <hyperlink ref="AM20" r:id="rId38" xr:uid="{00000000-0004-0000-0300-0000E9000000}"/>
    <hyperlink ref="E21" r:id="rId39" xr:uid="{00000000-0004-0000-0300-0000EB000000}"/>
    <hyperlink ref="AM21" r:id="rId40" xr:uid="{00000000-0004-0000-0300-000000010000}"/>
    <hyperlink ref="E23" r:id="rId41" location="/reports/testresults/list/view?tql=testResult.projectKey%20IN%20('TQUALTCM')%20AND%20testRun.key%20IN%20('TQUALTCM-C1128')%20AND%20testRun.onlyLastTestResult%20IS%20false&amp;jql=&amp;title=REPORTS.TEST_RESULTS_ADVANCED.TITLE" xr:uid="{00000000-0004-0000-0300-000006010000}"/>
    <hyperlink ref="AM23" r:id="rId42" location="/reports/testresults/list/view?tql=testResult.projectKey%20IN%20('TQUALTCM')%20AND%20testRun.key%20IN%20('TQUALTCM-C1150')%20AND%20testRun.onlyLastTestResult%20IS%20false&amp;jql=&amp;title=REPORTS.TEST_RESULTS_ADVANCED.TITLE" xr:uid="{00000000-0004-0000-0300-00001E010000}"/>
    <hyperlink ref="D27" r:id="rId43" display="https://intranet.atlnz.lc/systest/Jira_Reports/testExecReport/jiraExecReport.php?testPlanKey=52&amp;projectKey=TQUALTCM&amp;Report=Report" xr:uid="{00000000-0004-0000-0300-00001F010000}"/>
    <hyperlink ref="E27" r:id="rId44" xr:uid="{00000000-0004-0000-0300-000020010000}"/>
    <hyperlink ref="AM27" r:id="rId45" xr:uid="{00000000-0004-0000-0300-000032010000}"/>
    <hyperlink ref="D28" r:id="rId46" display="https://intranet.atlnz.lc/systest/Jira_Reports/testExecReport/jiraExecReport.php?testPlanKey=51&amp;projectKey=TQUALTCM&amp;Report=Report" xr:uid="{00000000-0004-0000-0300-000033010000}"/>
    <hyperlink ref="D29" r:id="rId47" display="https://intranet.atlnz.lc/systest/Jira_Reports/testExecReport/jiraExecReport.php?testPlanKey=35&amp;projectKey=TQUALTCM&amp;Report=Report" xr:uid="{00000000-0004-0000-0300-000037010000}"/>
    <hyperlink ref="D30" r:id="rId48" display="https://intranet.atlnz.lc/systest/Jira_Reports/testExecReport/jiraExecReport.php?testPlanKey=275&amp;projectKey=TQUALTCM&amp;Report=Report" xr:uid="{00000000-0004-0000-0300-000048010000}"/>
    <hyperlink ref="D31" r:id="rId49" display="https://intranet.atlnz.lc/systest/Jira_Reports/testExecReport/jiraExecReport.php?testPlanKey=257&amp;projectKey=TQUALTCM&amp;Report=Report" xr:uid="{00000000-0004-0000-0300-00005C010000}"/>
    <hyperlink ref="D32" r:id="rId50" display="https://intranet.atlnz.lc/systest/Jira_Reports/testExecReport/jiraExecReport.php?testPlanKey=259&amp;projectKey=TQUALTCM&amp;Report=Report" xr:uid="{00000000-0004-0000-0300-000071010000}"/>
    <hyperlink ref="D36" r:id="rId51" display="https://intranet.atlnz.lc/systest/Jira_Reports/testExecReport/jiraExecReport.php?testPlanKey=57&amp;projectKey=TQUALTCM&amp;Report=Report" xr:uid="{00000000-0004-0000-0300-000099010000}"/>
    <hyperlink ref="E36" r:id="rId52" xr:uid="{00000000-0004-0000-0300-00009A010000}"/>
    <hyperlink ref="AM36" r:id="rId53" xr:uid="{00000000-0004-0000-0300-0000A8010000}"/>
    <hyperlink ref="D37" r:id="rId54" display="https://intranet.atlnz.lc/systest/Jira_Reports/testExecReport/jiraExecReport.php?testPlanKey=373&amp;projectKey=TQUALTCM&amp;Report=Report" xr:uid="{00000000-0004-0000-0300-0000A9010000}"/>
    <hyperlink ref="D38" r:id="rId55" display="https://intranet.atlnz.lc/systest/Jira_Reports/testExecReport/jiraExecReport.php?testPlanKey=58&amp;projectKey=TQUALTCM&amp;Report=Report" xr:uid="{00000000-0004-0000-0300-0000AC010000}"/>
    <hyperlink ref="AM38" r:id="rId56" xr:uid="{00000000-0004-0000-0300-0000BB010000}"/>
    <hyperlink ref="D44" r:id="rId57" display="https://intranet.atlnz.lc/systest/Jira_Reports/testExecReport/jiraExecReport.php?testPlanKey=53&amp;projectKey=TQUALTCM&amp;Report=Report" xr:uid="{00000000-0004-0000-0300-0000BC010000}"/>
    <hyperlink ref="E44" r:id="rId58" xr:uid="{00000000-0004-0000-0300-0000BD010000}"/>
    <hyperlink ref="L44" r:id="rId59" location="/testPlayer/TQUALTCM-C2751" xr:uid="{00000000-0004-0000-0300-0000BE010000}"/>
    <hyperlink ref="O44" r:id="rId60" xr:uid="{00000000-0004-0000-0300-0000BF010000}"/>
    <hyperlink ref="P44" r:id="rId61" location="/reports/testresults/list/view?tql=testResult.projectKey%20IN%20('TQUALTCM')%20AND%20testRun.key%20IN%20('TQUALTCM-C1284')%20AND%20testRun.onlyLastTestResult%20IS%20false&amp;jql=&amp;title=REPORTS.TEST_RESULTS_ADVANCED.TITLE" xr:uid="{00000000-0004-0000-0300-0000C0010000}"/>
    <hyperlink ref="Q44" r:id="rId62" xr:uid="{00000000-0004-0000-0300-0000C1010000}"/>
    <hyperlink ref="S44" r:id="rId63" xr:uid="{00000000-0004-0000-0300-0000C2010000}"/>
    <hyperlink ref="V44" r:id="rId64" location="/reports/testresults/list/view?tql=testResult.projectKey%20IN%20('TQUALTCM')%20AND%20testRun.key%20IN%20('TQUALTCM-C452')%20AND%20testRun.onlyLastTestResult%20IS%20false&amp;jql=&amp;title=REPORTS.TEST_RESULTS_ADVANCED.TITLE" xr:uid="{00000000-0004-0000-0300-0000C3010000}"/>
    <hyperlink ref="W44" r:id="rId65" xr:uid="{00000000-0004-0000-0300-0000C4010000}"/>
    <hyperlink ref="X44" r:id="rId66" location="/reports/testresults/list/view?tql=testResult.projectKey%20IN%20('TQUALTCM')%20AND%20testRun.key%20IN%20('TQUALTCM-C1122')%20AND%20testRun.onlyLastTestResult%20IS%20false&amp;jql=&amp;title=REPORTS.TEST_RESULTS_ADVANCED.TITL" xr:uid="{00000000-0004-0000-0300-0000C5010000}"/>
    <hyperlink ref="Z44" r:id="rId67" xr:uid="{00000000-0004-0000-0300-0000C6010000}"/>
    <hyperlink ref="AA44" r:id="rId68" xr:uid="{00000000-0004-0000-0300-0000C7010000}"/>
    <hyperlink ref="AB44" r:id="rId69" xr:uid="{00000000-0004-0000-0300-0000C8010000}"/>
    <hyperlink ref="AC44" r:id="rId70" xr:uid="{00000000-0004-0000-0300-0000C9010000}"/>
    <hyperlink ref="AF44" r:id="rId71" xr:uid="{00000000-0004-0000-0300-0000CA010000}"/>
    <hyperlink ref="AG44" r:id="rId72" xr:uid="{00000000-0004-0000-0300-0000CB010000}"/>
    <hyperlink ref="AH44" r:id="rId73" xr:uid="{00000000-0004-0000-0300-0000CC010000}"/>
    <hyperlink ref="AJ44" r:id="rId74" xr:uid="{00000000-0004-0000-0300-0000CD010000}"/>
    <hyperlink ref="AK44" r:id="rId75" xr:uid="{00000000-0004-0000-0300-0000CE010000}"/>
    <hyperlink ref="AL44" r:id="rId76" xr:uid="{00000000-0004-0000-0300-0000CF010000}"/>
    <hyperlink ref="AM44" r:id="rId77" xr:uid="{00000000-0004-0000-0300-0000D0010000}"/>
    <hyperlink ref="S43" r:id="rId78" xr:uid="{00000000-0004-0000-0300-0000D1010000}"/>
    <hyperlink ref="AC43" r:id="rId79" xr:uid="{00000000-0004-0000-0300-0000D2010000}"/>
    <hyperlink ref="AG43" r:id="rId80" xr:uid="{00000000-0004-0000-0300-0000D3010000}"/>
    <hyperlink ref="AH43" r:id="rId81" xr:uid="{00000000-0004-0000-0300-0000D4010000}"/>
    <hyperlink ref="E46" r:id="rId82" xr:uid="{00000000-0004-0000-0300-0000D5010000}"/>
    <hyperlink ref="L46" r:id="rId83" location="/testPlayer/TQUALTCM-C2737" xr:uid="{00000000-0004-0000-0300-0000D6010000}"/>
    <hyperlink ref="O46" r:id="rId84" xr:uid="{00000000-0004-0000-0300-0000D7010000}"/>
    <hyperlink ref="P46" r:id="rId85" location="/reports/testresults/list/view?tql=testResult.projectKey%20IN%20('TQUALTCM')%20AND%20testRun.key%20IN%20('TQUALTCM-C1294')%20AND%20testRun.onlyLastTestResult%20IS%20false&amp;jql=&amp;title=REPORTS.TEST_RESULTS_ADVANCED.TITLE" xr:uid="{00000000-0004-0000-0300-0000D8010000}"/>
    <hyperlink ref="Q46" r:id="rId86" xr:uid="{00000000-0004-0000-0300-0000D9010000}"/>
    <hyperlink ref="S46" r:id="rId87" xr:uid="{00000000-0004-0000-0300-0000DA010000}"/>
    <hyperlink ref="V46" r:id="rId88" location="/reports/testresults/list/view?tql=testResult.projectKey%20IN%20('TQUALTCM')%20AND%20testRun.key%20IN%20('TQUALTCM-C1093')%20AND%20testRun.onlyLastTestResult%20IS%20false&amp;jql=&amp;title=REPORTS.TEST_RESULTS_ADVANCED.TITL" xr:uid="{00000000-0004-0000-0300-0000DB010000}"/>
    <hyperlink ref="W46" r:id="rId89" xr:uid="{00000000-0004-0000-0300-0000DC010000}"/>
    <hyperlink ref="X46" r:id="rId90" location="/reports/testresults/list/view?tql=testResult.projectKey%20IN%20('TQUALTCM')%20AND%20testRun.key%20IN%20('TQUALTCM-C448')%20AND%20testRun.onlyLastTestResult%20IS%20false&amp;jql=&amp;title=REPORTS.TEST_RESULTS_ADVANCED.TITLE" xr:uid="{00000000-0004-0000-0300-0000DD010000}"/>
    <hyperlink ref="Z46" r:id="rId91" xr:uid="{00000000-0004-0000-0300-0000DE010000}"/>
    <hyperlink ref="AA46" r:id="rId92" xr:uid="{00000000-0004-0000-0300-0000DF010000}"/>
    <hyperlink ref="AC46" r:id="rId93" xr:uid="{00000000-0004-0000-0300-0000E0010000}"/>
    <hyperlink ref="AD46" r:id="rId94" location="/cycle?projectId=15704" xr:uid="{00000000-0004-0000-0300-0000E1010000}"/>
    <hyperlink ref="AF46" r:id="rId95" xr:uid="{00000000-0004-0000-0300-0000E2010000}"/>
    <hyperlink ref="AG46" r:id="rId96" xr:uid="{00000000-0004-0000-0300-0000E3010000}"/>
    <hyperlink ref="AH46" r:id="rId97" xr:uid="{00000000-0004-0000-0300-0000E4010000}"/>
    <hyperlink ref="AJ46" r:id="rId98" xr:uid="{00000000-0004-0000-0300-0000E5010000}"/>
    <hyperlink ref="AK46" r:id="rId99" xr:uid="{00000000-0004-0000-0300-0000E6010000}"/>
    <hyperlink ref="AL46" r:id="rId100" xr:uid="{00000000-0004-0000-0300-0000E7010000}"/>
    <hyperlink ref="AM46" r:id="rId101" xr:uid="{00000000-0004-0000-0300-0000E8010000}"/>
    <hyperlink ref="E47" r:id="rId102" xr:uid="{00000000-0004-0000-0300-0000E9010000}"/>
    <hyperlink ref="O47" r:id="rId103" xr:uid="{00000000-0004-0000-0300-0000EA010000}"/>
    <hyperlink ref="P47" r:id="rId104" location="/reports/testresults/list/view?tql=testResult.projectKey%20IN%20('TQUALTCM')%20AND%20testRun.key%20IN%20('TQUALTCM-C1318')%20AND%20testRun.onlyLastTestResult%20IS%20false&amp;jql=&amp;title=REPORTS.TEST_RESULTS_ADVANCED.TITLE" xr:uid="{00000000-0004-0000-0300-0000EB010000}"/>
    <hyperlink ref="Q47" r:id="rId105" xr:uid="{00000000-0004-0000-0300-0000EC010000}"/>
    <hyperlink ref="S47" r:id="rId106" xr:uid="{00000000-0004-0000-0300-0000ED010000}"/>
    <hyperlink ref="V47" r:id="rId107" location="/reports/testresults/list/view?tql=testResult.projectKey%20IN%20('TQUALTCM')%20AND%20testRun.key%20IN%20('TQUALTCM-C1092')%20AND%20testRun.onlyLastTestResult%20IS%20false&amp;jql=&amp;title=REPORTS.TEST_RESULTS_ADVANCED.TITL" xr:uid="{00000000-0004-0000-0300-0000EE010000}"/>
    <hyperlink ref="W47" r:id="rId108" xr:uid="{00000000-0004-0000-0300-0000EF010000}"/>
    <hyperlink ref="X47" r:id="rId109" location="/reports/testresults/list/view?tql=testResult.projectKey%20IN%20('TQUALTCM')%20AND%20testRun.key%20IN%20('TQUALTCM-C447')%20AND%20testRun.onlyLastTestResult%20IS%20false&amp;jql=&amp;title=REPORTS.TEST_RESULTS_ADVANCED.TITLE" xr:uid="{00000000-0004-0000-0300-0000F0010000}"/>
    <hyperlink ref="Z47" r:id="rId110" xr:uid="{00000000-0004-0000-0300-0000F1010000}"/>
    <hyperlink ref="AA47" r:id="rId111" xr:uid="{00000000-0004-0000-0300-0000F2010000}"/>
    <hyperlink ref="AC47" r:id="rId112" xr:uid="{00000000-0004-0000-0300-0000F3010000}"/>
    <hyperlink ref="AD47" r:id="rId113" location="/cycle?projectId=15704" xr:uid="{00000000-0004-0000-0300-0000F4010000}"/>
    <hyperlink ref="AF47" r:id="rId114" xr:uid="{00000000-0004-0000-0300-0000F5010000}"/>
    <hyperlink ref="AG47" r:id="rId115" xr:uid="{00000000-0004-0000-0300-0000F6010000}"/>
    <hyperlink ref="AH47" r:id="rId116" xr:uid="{00000000-0004-0000-0300-0000F7010000}"/>
    <hyperlink ref="AJ47" r:id="rId117" xr:uid="{00000000-0004-0000-0300-0000F8010000}"/>
    <hyperlink ref="AK47" r:id="rId118" xr:uid="{00000000-0004-0000-0300-0000F9010000}"/>
    <hyperlink ref="AL47" r:id="rId119" xr:uid="{00000000-0004-0000-0300-0000FA010000}"/>
    <hyperlink ref="AM47" r:id="rId120" xr:uid="{00000000-0004-0000-0300-0000FB010000}"/>
    <hyperlink ref="E49" r:id="rId121" xr:uid="{00000000-0004-0000-0300-0000FC010000}"/>
    <hyperlink ref="O49" r:id="rId122" xr:uid="{00000000-0004-0000-0300-0000FD010000}"/>
    <hyperlink ref="P49" r:id="rId123" xr:uid="{00000000-0004-0000-0300-0000FE010000}"/>
    <hyperlink ref="Q49" r:id="rId124" xr:uid="{00000000-0004-0000-0300-0000FF010000}"/>
    <hyperlink ref="S49" r:id="rId125" xr:uid="{00000000-0004-0000-0300-000000020000}"/>
    <hyperlink ref="W49" r:id="rId126" xr:uid="{00000000-0004-0000-0300-000001020000}"/>
    <hyperlink ref="Z49" r:id="rId127" xr:uid="{00000000-0004-0000-0300-000002020000}"/>
    <hyperlink ref="AA49" r:id="rId128" xr:uid="{00000000-0004-0000-0300-000003020000}"/>
    <hyperlink ref="AC49" r:id="rId129" xr:uid="{00000000-0004-0000-0300-000004020000}"/>
    <hyperlink ref="AF49" r:id="rId130" xr:uid="{00000000-0004-0000-0300-000005020000}"/>
    <hyperlink ref="AG49" r:id="rId131" xr:uid="{00000000-0004-0000-0300-000006020000}"/>
    <hyperlink ref="AH49" r:id="rId132" xr:uid="{00000000-0004-0000-0300-000007020000}"/>
    <hyperlink ref="AJ49" r:id="rId133" xr:uid="{00000000-0004-0000-0300-000008020000}"/>
    <hyperlink ref="AL49" r:id="rId134" xr:uid="{00000000-0004-0000-0300-000009020000}"/>
    <hyperlink ref="AM49" r:id="rId135" xr:uid="{00000000-0004-0000-0300-00000A020000}"/>
    <hyperlink ref="AJ50" r:id="rId136" xr:uid="{00000000-0004-0000-0300-00000B020000}"/>
    <hyperlink ref="AL50" r:id="rId137" xr:uid="{00000000-0004-0000-0300-00000C020000}"/>
    <hyperlink ref="AM50" r:id="rId138" xr:uid="{00000000-0004-0000-0300-00000D020000}"/>
    <hyperlink ref="AL51" r:id="rId139" xr:uid="{00000000-0004-0000-0300-00000E020000}"/>
    <hyperlink ref="AM51" r:id="rId140" xr:uid="{00000000-0004-0000-0300-00000F020000}"/>
    <hyperlink ref="E52" r:id="rId141" xr:uid="{00000000-0004-0000-0300-000010020000}"/>
    <hyperlink ref="O52" r:id="rId142" xr:uid="{00000000-0004-0000-0300-000011020000}"/>
    <hyperlink ref="P52" r:id="rId143" xr:uid="{00000000-0004-0000-0300-000012020000}"/>
    <hyperlink ref="Q52" r:id="rId144" xr:uid="{00000000-0004-0000-0300-000013020000}"/>
    <hyperlink ref="S52" r:id="rId145" xr:uid="{00000000-0004-0000-0300-000014020000}"/>
    <hyperlink ref="W52" r:id="rId146" xr:uid="{00000000-0004-0000-0300-000015020000}"/>
    <hyperlink ref="AF52" r:id="rId147" xr:uid="{00000000-0004-0000-0300-000016020000}"/>
    <hyperlink ref="AG52" r:id="rId148" xr:uid="{00000000-0004-0000-0300-000017020000}"/>
    <hyperlink ref="AH52" r:id="rId149" xr:uid="{00000000-0004-0000-0300-000018020000}"/>
    <hyperlink ref="AI52" r:id="rId150" xr:uid="{00000000-0004-0000-0300-000019020000}"/>
    <hyperlink ref="S53" r:id="rId151" xr:uid="{00000000-0004-0000-0300-00001A020000}"/>
    <hyperlink ref="AH53" r:id="rId152" xr:uid="{00000000-0004-0000-0300-00001B020000}"/>
    <hyperlink ref="S54" r:id="rId153" xr:uid="{00000000-0004-0000-0300-00001C020000}"/>
    <hyperlink ref="AH54" r:id="rId154" xr:uid="{00000000-0004-0000-0300-00001D020000}"/>
    <hyperlink ref="AJ55" r:id="rId155" xr:uid="{00000000-0004-0000-0300-00001E020000}"/>
    <hyperlink ref="AL55" r:id="rId156" xr:uid="{00000000-0004-0000-0300-00001F020000}"/>
    <hyperlink ref="AM55" r:id="rId157" xr:uid="{00000000-0004-0000-0300-000020020000}"/>
    <hyperlink ref="S56" r:id="rId158" xr:uid="{00000000-0004-0000-0300-000021020000}"/>
    <hyperlink ref="Z56" r:id="rId159" xr:uid="{00000000-0004-0000-0300-000022020000}"/>
    <hyperlink ref="AA56" r:id="rId160" xr:uid="{00000000-0004-0000-0300-000023020000}"/>
    <hyperlink ref="AC56" r:id="rId161" xr:uid="{00000000-0004-0000-0300-000024020000}"/>
    <hyperlink ref="AF56" r:id="rId162" xr:uid="{00000000-0004-0000-0300-000025020000}"/>
    <hyperlink ref="AH56" r:id="rId163" xr:uid="{00000000-0004-0000-0300-000026020000}"/>
    <hyperlink ref="AJ56" r:id="rId164" xr:uid="{00000000-0004-0000-0300-000027020000}"/>
    <hyperlink ref="AK56" r:id="rId165" xr:uid="{00000000-0004-0000-0300-000028020000}"/>
    <hyperlink ref="AL56" r:id="rId166" xr:uid="{00000000-0004-0000-0300-000029020000}"/>
    <hyperlink ref="AM56" r:id="rId167" xr:uid="{00000000-0004-0000-0300-00002A020000}"/>
    <hyperlink ref="Z57" r:id="rId168" xr:uid="{00000000-0004-0000-0300-00002B020000}"/>
    <hyperlink ref="AA57" r:id="rId169" xr:uid="{00000000-0004-0000-0300-00002C020000}"/>
    <hyperlink ref="AC57" r:id="rId170" xr:uid="{00000000-0004-0000-0300-00002D020000}"/>
    <hyperlink ref="AF57" r:id="rId171" xr:uid="{00000000-0004-0000-0300-00002E020000}"/>
    <hyperlink ref="AH57" r:id="rId172" xr:uid="{00000000-0004-0000-0300-00002F020000}"/>
    <hyperlink ref="AJ57" r:id="rId173" xr:uid="{00000000-0004-0000-0300-000030020000}"/>
    <hyperlink ref="AK57" r:id="rId174" xr:uid="{00000000-0004-0000-0300-000031020000}"/>
    <hyperlink ref="AL57" r:id="rId175" xr:uid="{00000000-0004-0000-0300-000032020000}"/>
    <hyperlink ref="AM57" r:id="rId176" xr:uid="{00000000-0004-0000-0300-000033020000}"/>
    <hyperlink ref="E59" r:id="rId177" xr:uid="{00000000-0004-0000-0300-000034020000}"/>
    <hyperlink ref="S59" r:id="rId178" xr:uid="{00000000-0004-0000-0300-000035020000}"/>
    <hyperlink ref="W59" r:id="rId179" xr:uid="{00000000-0004-0000-0300-000036020000}"/>
    <hyperlink ref="Z59" r:id="rId180" xr:uid="{00000000-0004-0000-0300-000037020000}"/>
    <hyperlink ref="AA59" r:id="rId181" xr:uid="{00000000-0004-0000-0300-000038020000}"/>
    <hyperlink ref="AB59" r:id="rId182" xr:uid="{00000000-0004-0000-0300-000039020000}"/>
    <hyperlink ref="AC59" r:id="rId183" xr:uid="{00000000-0004-0000-0300-00003A020000}"/>
    <hyperlink ref="AF59" r:id="rId184" xr:uid="{00000000-0004-0000-0300-00003B020000}"/>
    <hyperlink ref="AG59" r:id="rId185" xr:uid="{00000000-0004-0000-0300-00003C020000}"/>
    <hyperlink ref="AH59" r:id="rId186" xr:uid="{00000000-0004-0000-0300-00003D020000}"/>
    <hyperlink ref="AJ59" r:id="rId187" xr:uid="{00000000-0004-0000-0300-00003E020000}"/>
    <hyperlink ref="AK59" r:id="rId188" xr:uid="{00000000-0004-0000-0300-00003F020000}"/>
    <hyperlink ref="AL59" r:id="rId189" xr:uid="{00000000-0004-0000-0300-000040020000}"/>
    <hyperlink ref="AM59" r:id="rId190" xr:uid="{00000000-0004-0000-0300-000041020000}"/>
    <hyperlink ref="AH60" r:id="rId191" xr:uid="{00000000-0004-0000-0300-000042020000}"/>
    <hyperlink ref="AJ60" r:id="rId192" xr:uid="{00000000-0004-0000-0300-000043020000}"/>
    <hyperlink ref="AL60" r:id="rId193" xr:uid="{00000000-0004-0000-0300-000044020000}"/>
    <hyperlink ref="AM60" r:id="rId194" xr:uid="{00000000-0004-0000-0300-000045020000}"/>
    <hyperlink ref="D62" r:id="rId195" display="https://intranet.atlnz.lc/systest/Jira_Reports/testExecReport/jiraExecReport.php?testPlanKey=418&amp;projectKey=TQUALTCM&amp;Report=Report" xr:uid="{00000000-0004-0000-0300-000046020000}"/>
    <hyperlink ref="T62" r:id="rId196" location="/reports/testresults/list/view?tql=testResult.projectKey%20IN%20('TQUALTCM')%20AND%20testRun.key%20IN%20('TQUALTCM-C3342')%20AND%20testRun.onlyLastTestResult%20IS%20false&amp;jql=&amp;title=REPORTS.TEST_RESULTS_ADVANCED.TITLE" xr:uid="{00000000-0004-0000-0300-000047020000}"/>
    <hyperlink ref="U62" r:id="rId197" location="/reports/testresults/list/view?tql=testResult.projectKey%20IN%20('TQUALTCM')%20AND%20testRun.key%20IN%20('TQUALTCM-C3343')%20AND%20testRun.onlyLastTestResult%20IS%20false&amp;jql=&amp;title=REPORTS.TEST_RESULTS_ADVANCED.TITLE" xr:uid="{00000000-0004-0000-0300-000048020000}"/>
    <hyperlink ref="V62" r:id="rId198" location="/reports/testresults/list/view?tql=testResult.projectKey%20IN%20('TQUALTCM')%20AND%20testRun.key%20IN%20('TQUALTCM-C3344')%20AND%20testRun.onlyLastTestResult%20IS%20false&amp;jql=&amp;title=REPORTS.TEST_RESULTS_ADVANCED.TITLE" xr:uid="{00000000-0004-0000-0300-000049020000}"/>
    <hyperlink ref="W62" r:id="rId199" location="/reports/testresults/list/view?tql=testResult.projectKey%20IN%20('TQUALTCM')%20AND%20testRun.key%20IN%20('TQUALTCM-C3345')%20AND%20testRun.onlyLastTestResult%20IS%20false&amp;jql=&amp;title=REPORTS.TEST_RESULTS_ADVANCED.TITLE" xr:uid="{00000000-0004-0000-0300-00004A020000}"/>
    <hyperlink ref="X62" r:id="rId200" location="/reports/testresults/list/view?tql=testResult.projectKey%20IN%20('TQUALTCM')%20AND%20testRun.key%20IN%20('TQUALTCM-C3346')%20AND%20testRun.onlyLastTestResult%20IS%20false&amp;jql=&amp;title=REPORTS.TEST_RESULTS_ADVANCED.TITLE" xr:uid="{00000000-0004-0000-0300-00004B020000}"/>
    <hyperlink ref="S63" r:id="rId201" xr:uid="{00000000-0004-0000-0300-00004C020000}"/>
    <hyperlink ref="AH63" r:id="rId202" xr:uid="{00000000-0004-0000-0300-00004D020000}"/>
    <hyperlink ref="AM35" r:id="rId203" xr:uid="{00000000-0004-0000-0300-000054020000}"/>
    <hyperlink ref="D35" r:id="rId204" display="https://intranet.atlnz.lc/systest/Jira_Reports/testExecReport/jiraExecReport.php?testPlanKey=474&amp;projectKey=TQUALTCM&amp;Report=Report" xr:uid="{00000000-0004-0000-0300-000055020000}"/>
    <hyperlink ref="D40" r:id="rId205" display="https://intranet.atlnz.lc/systest/Jira_Reports/testExecReport/jiraExecReport.php?testPlanKey=418&amp;projectKey=TQUALTCM&amp;Report=Report" xr:uid="{00000000-0004-0000-0300-000056020000}"/>
    <hyperlink ref="E40" r:id="rId206" display="https://wallace4.atlnz.lc/systest/Jira_Reports/testExecReport/jiraExecReport_wallace4.php?testPlanKey=418&amp;projectKey=TQUALTCM&amp;Report=Report" xr:uid="{00000000-0004-0000-0300-000061020000}"/>
    <hyperlink ref="AH40" r:id="rId207" display="https://wallace4.atlnz.lc/systest/Jira_Reports/testExecReport/jiraExecReport_wallace4.php?testPlanKey=418&amp;projectKey=TQUALTCM&amp;Report=Report" xr:uid="{00000000-0004-0000-0300-000069020000}"/>
    <hyperlink ref="AL35" r:id="rId208" xr:uid="{00000000-0004-0000-0300-000053020000}"/>
    <hyperlink ref="AK35" r:id="rId209" xr:uid="{00000000-0004-0000-0300-000052020000}"/>
    <hyperlink ref="AJ35" r:id="rId210" xr:uid="{00000000-0004-0000-0300-000051020000}"/>
    <hyperlink ref="AI35" r:id="rId211" location="/reports/testresults/list/view?tql=testResult.projectId%20IN%20(15704)%20AND%20testRun.key%20IN%20('TQUALTCM-C744')%20AND%20testRun.onlyLastTestResult%20IS%20true&amp;jql=&amp;title=REPORTS.TEST_RESULTS_ADVANCED.TITLE&amp;period=MONTH&amp;traceabilityReportOption=COVERAG" xr:uid="{00000000-0004-0000-0300-000050020000}"/>
    <hyperlink ref="AH35" r:id="rId212" xr:uid="{00000000-0004-0000-0300-00004F020000}"/>
    <hyperlink ref="AF35" r:id="rId213" xr:uid="{00000000-0004-0000-0300-00004E020000}"/>
    <hyperlink ref="AL38" r:id="rId214" xr:uid="{00000000-0004-0000-0300-0000BA010000}"/>
    <hyperlink ref="AK38" r:id="rId215" xr:uid="{00000000-0004-0000-0300-0000B9010000}"/>
    <hyperlink ref="AJ38" r:id="rId216" xr:uid="{00000000-0004-0000-0300-0000B8010000}"/>
    <hyperlink ref="AH38" r:id="rId217" xr:uid="{00000000-0004-0000-0300-0000B7010000}"/>
    <hyperlink ref="AC38" r:id="rId218" xr:uid="{00000000-0004-0000-0300-0000B6010000}"/>
    <hyperlink ref="AB38" r:id="rId219" xr:uid="{00000000-0004-0000-0300-0000B5010000}"/>
    <hyperlink ref="AA38" r:id="rId220" xr:uid="{00000000-0004-0000-0300-0000B4010000}"/>
    <hyperlink ref="Z38" r:id="rId221" xr:uid="{00000000-0004-0000-0300-0000B3010000}"/>
    <hyperlink ref="X38" r:id="rId222" location="/reports/testresults/list/view?tql=testResult.projectKey%20IN%20('TQUALTCM')%20AND%20testRun.key%20IN%20('TQUALTCM-C455')%20AND%20testRun.onlyLastTestResult%20IS%20false&amp;jql=&amp;title=REPORTS.TEST_RESULTS_ADVANCED.TITLE" xr:uid="{00000000-0004-0000-0300-0000B2010000}"/>
    <hyperlink ref="W38" r:id="rId223" xr:uid="{00000000-0004-0000-0300-0000B1010000}"/>
    <hyperlink ref="V38" r:id="rId224" location="/reports/testresults/list/view?tql=testResult.projectKey%20IN%20('TQUALTCM')%20AND%20testRun.key%20IN%20('TQUALTCM-C1099')%20AND%20testRun.onlyLastTestResult%20IS%20false&amp;jql=&amp;title=REPORTS.TEST_RESULTS_ADVANCED.TITL" xr:uid="{00000000-0004-0000-0300-0000B0010000}"/>
    <hyperlink ref="S38" r:id="rId225" xr:uid="{00000000-0004-0000-0300-0000AF010000}"/>
    <hyperlink ref="L38" r:id="rId226" location="/testCycle/TQUALTCM-C2750" xr:uid="{00000000-0004-0000-0300-0000AE010000}"/>
    <hyperlink ref="L37" r:id="rId227" location="/testPlayer/TQUALTCM-C2749" xr:uid="{00000000-0004-0000-0300-0000AB010000}"/>
    <hyperlink ref="AL36" r:id="rId228" xr:uid="{00000000-0004-0000-0300-0000A7010000}"/>
    <hyperlink ref="AK36" r:id="rId229" xr:uid="{00000000-0004-0000-0300-0000A6010000}"/>
    <hyperlink ref="AJ36" r:id="rId230" xr:uid="{00000000-0004-0000-0300-0000A5010000}"/>
    <hyperlink ref="AH36" r:id="rId231" xr:uid="{00000000-0004-0000-0300-0000A4010000}"/>
    <hyperlink ref="AC36" r:id="rId232" xr:uid="{00000000-0004-0000-0300-0000A3010000}"/>
    <hyperlink ref="AB36" r:id="rId233" xr:uid="{00000000-0004-0000-0300-0000A2010000}"/>
    <hyperlink ref="AA36" r:id="rId234" xr:uid="{00000000-0004-0000-0300-0000A1010000}"/>
    <hyperlink ref="Z36" r:id="rId235" xr:uid="{00000000-0004-0000-0300-0000A0010000}"/>
    <hyperlink ref="W36" r:id="rId236" xr:uid="{00000000-0004-0000-0300-00009F010000}"/>
    <hyperlink ref="S36" r:id="rId237" xr:uid="{00000000-0004-0000-0300-00009E010000}"/>
    <hyperlink ref="Q36" r:id="rId238" xr:uid="{00000000-0004-0000-0300-00009D010000}"/>
    <hyperlink ref="AH32" r:id="rId239" location="/reports/testresults/list/view?tql=testResult.projectKey%20IN%20('TQUALTCM')%20AND%20testRun.key%20IN%20('TQUALTCM-C2408')%20AND%20testRun.onlyLastTestResult%20IS%20false&amp;jql=&amp;title=REPORTS.TEST_RESULTS_ADVANCED.TITLE" xr:uid="{00000000-0004-0000-0300-000085010000}"/>
    <hyperlink ref="AG32" r:id="rId240" location="/reports/testresults/list/view?tql=testResult.projectKey%20IN%20('TQUALTCM')%20AND%20testRun.key%20IN%20('TQUALTCM-C2408')%20AND%20testRun.onlyLastTestResult%20IS%20false&amp;jql=&amp;title=REPORTS.TEST_RESULTS_ADVANCED.TITLE" xr:uid="{00000000-0004-0000-0300-000084010000}"/>
    <hyperlink ref="U32" r:id="rId241" location="/reports/testresults/list/view?tql=testResult.projectKey%20IN%20('TQUALTCM')%20AND%20testRun.key%20IN%20('TQUALTCM-C2391')%20AND%20testRun.onlyLastTestResult%20IS%20false&amp;jql=&amp;title=REPORTS.TEST_RESULTS_ADVANCED.TITLE" xr:uid="{00000000-0004-0000-0300-00007B010000}"/>
    <hyperlink ref="O32" r:id="rId242" location="/reports/testresults/list/view?tql=testResult.projectKey%20IN%20('TQUALTCM')%20AND%20testRun.key%20IN%20('TQUALTCM-C2405')%20AND%20testRun.onlyLastTestResult%20IS%20false&amp;jql=&amp;title=REPORTS.TEST_RESULTS_ADVANCED.TITLE" display="Fail_x000a_5.5.0-2.1" xr:uid="{00000000-0004-0000-0300-000076010000}"/>
    <hyperlink ref="AH31" r:id="rId243" location="/reports/testresults/list/view?tql=testResult.projectKey%20IN%20('TQUALTCM')%20AND%20testRun.key%20IN%20('TQUALTCM-C2780')%20AND%20testRun.onlyLastTestResult%20IS%20false&amp;jql=&amp;title=REPORTS.TEST_RESULTS_ADVANCED.TITLE" xr:uid="{00000000-0004-0000-0300-000070010000}"/>
    <hyperlink ref="AG31" r:id="rId244" location="/reports/testresults/list/view?tql=testResult.projectKey%20IN%20('TQUALTCM')%20AND%20testRun.key%20IN%20('TQUALTCM-C2780')%20AND%20testRun.onlyLastTestResult%20IS%20false&amp;jql=&amp;title=REPORTS.TEST_RESULTS_ADVANCED.TITLE" xr:uid="{00000000-0004-0000-0300-00006F010000}"/>
    <hyperlink ref="AH30" r:id="rId245" location="/reports/testresults/list/view?tql=testResult.projectKey%20IN%20('TQUALTCM')%20AND%20testRun.key%20IN%20('TQUALTCM-C2763')%20AND%20testRun.onlyLastTestResult%20IS%20false&amp;jql=&amp;title=REPORTS.TEST_RESULTS_ADVANCED.TITLE" xr:uid="{00000000-0004-0000-0300-00005B010000}"/>
    <hyperlink ref="AG30" r:id="rId246" location="/reports/testresults/list/view?tql=testResult.projectKey%20IN%20('TQUALTCM')%20AND%20testRun.key%20IN%20('TQUALTCM-C2763')%20AND%20testRun.onlyLastTestResult%20IS%20false&amp;jql=&amp;title=REPORTS.TEST_RESULTS_ADVANCED.TITLE" xr:uid="{00000000-0004-0000-0300-00005A010000}"/>
    <hyperlink ref="AK29" r:id="rId247" xr:uid="{00000000-0004-0000-0300-000047010000}"/>
    <hyperlink ref="AJ29" r:id="rId248" xr:uid="{00000000-0004-0000-0300-000046010000}"/>
    <hyperlink ref="AH29" r:id="rId249" xr:uid="{00000000-0004-0000-0300-000045010000}"/>
    <hyperlink ref="AD29" r:id="rId250" location="/testPlayer/TQUALTCM-C321" xr:uid="{00000000-0004-0000-0300-000044010000}"/>
    <hyperlink ref="AB29" r:id="rId251" xr:uid="{00000000-0004-0000-0300-000043010000}"/>
    <hyperlink ref="AA29" r:id="rId252" xr:uid="{00000000-0004-0000-0300-000042010000}"/>
    <hyperlink ref="Z29" r:id="rId253" xr:uid="{00000000-0004-0000-0300-000041010000}"/>
    <hyperlink ref="X29" r:id="rId254" location="/reports/testresults/list/view?tql=testResult.projectKey%20IN%20('TQUALTCM')%20AND%20testRun.key%20IN%20('TQUALTCM-C1112')%20AND%20testRun.onlyLastTestResult%20IS%20false&amp;jql=&amp;title=REPORTS.TEST_RESULTS_ADVANCED.TITL" xr:uid="{00000000-0004-0000-0300-000040010000}"/>
    <hyperlink ref="W29" r:id="rId255" xr:uid="{00000000-0004-0000-0300-00003F010000}"/>
    <hyperlink ref="V29" r:id="rId256" location="/reports/testresults/list/view?tql=testResult.projectKey%20IN%20('TQUALTCM')%20AND%20testRun.key%20IN%20('TQUALTCM-C435')%20AND%20testRun.onlyLastTestResult%20IS%20false&amp;jql=&amp;title=REPORTS.TEST_RESULTS_ADVANCED.TITLE" xr:uid="{00000000-0004-0000-0300-00003E010000}"/>
    <hyperlink ref="S29" r:id="rId257" xr:uid="{00000000-0004-0000-0300-00003D010000}"/>
    <hyperlink ref="Q29" r:id="rId258" xr:uid="{00000000-0004-0000-0300-00003C010000}"/>
    <hyperlink ref="P29" r:id="rId259" location="/reports/testresults/list/view?tql=testResult.projectKey%20IN%20('TQUALTCM')%20AND%20testRun.key%20IN%20('TQUALTCM-C1274')%20AND%20testRun.onlyLastTestResult%20IS%20false&amp;jql=&amp;title=REPORTS.TEST_RESULTS_ADVANCED.TITLE" xr:uid="{00000000-0004-0000-0300-00003B010000}"/>
    <hyperlink ref="O29" r:id="rId260" xr:uid="{00000000-0004-0000-0300-00003A010000}"/>
    <hyperlink ref="L29" r:id="rId261" location="/testCycle/TQUALTCM-C2744" xr:uid="{00000000-0004-0000-0300-000039010000}"/>
    <hyperlink ref="AG28" r:id="rId262" xr:uid="{00000000-0004-0000-0300-000036010000}"/>
    <hyperlink ref="L28" r:id="rId263" location="/testPlayer/TQUALTCM-C2743" xr:uid="{00000000-0004-0000-0300-000035010000}"/>
    <hyperlink ref="AL27" r:id="rId264" xr:uid="{00000000-0004-0000-0300-000031010000}"/>
    <hyperlink ref="AJ27" r:id="rId265" xr:uid="{00000000-0004-0000-0300-000030010000}"/>
    <hyperlink ref="AH27" r:id="rId266" xr:uid="{00000000-0004-0000-0300-00002F010000}"/>
    <hyperlink ref="AG27" r:id="rId267" xr:uid="{00000000-0004-0000-0300-00002E010000}"/>
    <hyperlink ref="AF27" r:id="rId268" xr:uid="{00000000-0004-0000-0300-00002D010000}"/>
    <hyperlink ref="AC27" r:id="rId269" xr:uid="{00000000-0004-0000-0300-00002C010000}"/>
    <hyperlink ref="AA27" r:id="rId270" xr:uid="{00000000-0004-0000-0300-00002B010000}"/>
    <hyperlink ref="Z27" r:id="rId271" xr:uid="{00000000-0004-0000-0300-00002A010000}"/>
    <hyperlink ref="X27" r:id="rId272" location="/reports/testresults/list/view?tql=testResult.projectKey%20IN%20('TQUALTCM')%20AND%20testRun.key%20IN%20('TQUALTCM-C451')%20AND%20testRun.onlyLastTestResult%20IS%20false&amp;jql=&amp;title=REPORTS.TEST_RESULTS_ADVANCED.TITLE" xr:uid="{00000000-0004-0000-0300-000029010000}"/>
    <hyperlink ref="W27" r:id="rId273" xr:uid="{00000000-0004-0000-0300-000028010000}"/>
    <hyperlink ref="V27" r:id="rId274" location="/reports/testresults/list/view?tql=testResult.projectKey%20IN%20('TQUALTCM')%20AND%20testRun.key%20IN%20('TQUALTCM-C1096')%20AND%20testRun.onlyLastTestResult%20IS%20false&amp;jql=&amp;title=REPORTS.TEST_RESULTS_ADVANCED.TITL" xr:uid="{00000000-0004-0000-0300-000027010000}"/>
    <hyperlink ref="S27" r:id="rId275" xr:uid="{00000000-0004-0000-0300-000026010000}"/>
    <hyperlink ref="Q27" r:id="rId276" xr:uid="{00000000-0004-0000-0300-000025010000}"/>
    <hyperlink ref="P27" r:id="rId277" location="/reports/testresults/list/view?tql=testResult.projectKey%20IN%20('TQUALTCM')%20AND%20testRun.key%20IN%20('TQUALTCM-C1293')%20AND%20testRun.onlyLastTestResult%20IS%20false&amp;jql=&amp;title=REPORTS.TEST_RESULTS_ADVANCED.TITLE" xr:uid="{00000000-0004-0000-0300-000024010000}"/>
    <hyperlink ref="O27" r:id="rId278" xr:uid="{00000000-0004-0000-0300-000023010000}"/>
    <hyperlink ref="L27" r:id="rId279" location="/testPlayer/TQUALTCM-C2742" xr:uid="{00000000-0004-0000-0300-000022010000}"/>
    <hyperlink ref="AL23" r:id="rId280" location="/reports/testresults/list/view?tql=testResult.projectKey%20IN%20('TQUALTCM')%20AND%20testRun.key%20IN%20('TQUALTCM-C1149')%20AND%20testRun.onlyLastTestResult%20IS%20false&amp;jql=&amp;title=REPORTS.TEST_RESULTS_ADVANCED.TITLE" xr:uid="{00000000-0004-0000-0300-00001D010000}"/>
    <hyperlink ref="AK23" r:id="rId281" location="/reports/testresults/list/view?tql=testResult.projectKey%20IN%20('TQUALTCM')%20AND%20testRun.key%20IN%20('TQUALTCM-C1147')%20AND%20testRun.onlyLastTestResult%20IS%20false&amp;jql=&amp;title=REPORTS.TEST_RESULTS_ADVANCED.TITLE" xr:uid="{00000000-0004-0000-0300-00001C010000}"/>
    <hyperlink ref="AJ23" r:id="rId282" location="/reports/testresults/list/view?tql=testResult.projectKey%20IN%20('TQUALTCM')%20AND%20testRun.key%20IN%20('TQUALTCM-C1148')%20AND%20testRun.onlyLastTestResult%20IS%20false&amp;jql=&amp;title=REPORTS.TEST_RESULTS_ADVANCED.TITL" xr:uid="{00000000-0004-0000-0300-00001B010000}"/>
    <hyperlink ref="AH23" r:id="rId283" location="/reports/testresults/list/view?tql=testResult.projectKey%20IN%20('TQUALTCM')%20AND%20testRun.key%20IN%20('TQUALTCM-C1131')%20AND%20testRun.onlyLastTestResult%20IS%20false&amp;jql=&amp;title=REPORTS.TEST_RESULTS_ADVANCED.TITLE" xr:uid="{00000000-0004-0000-0300-00001A010000}"/>
    <hyperlink ref="AG23" r:id="rId284" location="/reports/testresults/list/view?tql=testResult.projectKey%20IN%20('TQUALTCM')%20AND%20testRun.key%20IN%20('TQUALTCM-C1129')%20AND%20testRun.onlyLastTestResult%20IS%20false&amp;jql=&amp;title=REPORTS.TEST_RESULTS_ADVANCED.TITLE" xr:uid="{00000000-0004-0000-0300-000019010000}"/>
    <hyperlink ref="AF23" r:id="rId285" location="/reports/testresults/list/view?tql=testResult.projectKey%20IN%20('TQUALTCM')%20AND%20testRun.key%20IN%20('TQUALTCM-C1127')%20AND%20testRun.onlyLastTestResult%20IS%20false&amp;jql=&amp;title=REPORTS.TEST_RESULTS_ADVANCED.TITLE" xr:uid="{00000000-0004-0000-0300-000018010000}"/>
    <hyperlink ref="AD23" r:id="rId286" location="/reports/testresults/list/view?tql=testResult.projectKey%20IN%20('TQUALTCM')%20AND%20testRun.key%20IN%20('TQUALTCM-C273')%20AND%20testRun.onlyLastTestResult%20IS%20false&amp;jql=&amp;title=REPORTS.TEST_RESULTS_ADVANCED.TITLE" xr:uid="{00000000-0004-0000-0300-000017010000}"/>
    <hyperlink ref="AC23" r:id="rId287" location="/reports/testresults/list/view?tql=testResult.projectKey%20IN%20('TQUALTCM')%20AND%20testRun.key%20IN%20('TQUALTCM-C1162')%20AND%20testRun.onlyLastTestResult%20IS%20false&amp;jql=&amp;title=REPORTS.TEST_RESULTS_ADVANCED.TITLE" xr:uid="{00000000-0004-0000-0300-000016010000}"/>
    <hyperlink ref="AB23" r:id="rId288" location="/reports/testresults/list/view?tql=testResult.projectKey%20IN%20('TQUALTCM')%20AND%20testRun.key%20IN%20('TQUALTCM-C1145')%20AND%20testRun.onlyLastTestResult%20IS%20false&amp;jql=&amp;title=REPORTS.TEST_RESULTS_ADVANCED.TITLE" xr:uid="{00000000-0004-0000-0300-000015010000}"/>
    <hyperlink ref="AA23" r:id="rId289" location="/reports/testresults/list/view?tql=testResult.projectKey%20IN%20('TQUALTCM')%20AND%20testRun.key%20IN%20('TQUALTCM-C1144')%20AND%20testRun.onlyLastTestResult%20IS%20false&amp;jql=&amp;title=REPORTS.TEST_RESULTS_ADVANCED.TITLE" xr:uid="{00000000-0004-0000-0300-000014010000}"/>
    <hyperlink ref="Z23" r:id="rId290" location="/reports/testresults/list/view?tql=testResult.projectKey%20IN%20('TQUALTCM')%20AND%20testRun.key%20IN%20('TQUALTCM-C1143')%20AND%20testRun.onlyLastTestResult%20IS%20false&amp;jql=&amp;title=REPORTS.TEST_RESULTS_ADVANCED.TITLE" xr:uid="{00000000-0004-0000-0300-000013010000}"/>
    <hyperlink ref="X23" r:id="rId291" location="/reports/testresults/list/view?tql=testResult.projectKey%20IN%20('TQUALTCM')%20AND%20testRun.key%20IN%20('TQUALTCM-C1142')%20AND%20testRun.onlyLastTestResult%20IS%20false&amp;jql=&amp;title=REPORTS.TEST_RESULTS_ADVANCED.TITLE" xr:uid="{00000000-0004-0000-0300-000012010000}"/>
    <hyperlink ref="W23" r:id="rId292" location="/reports/testresults/list/view?tql=testResult.projectKey%20IN%20('TQUALTCM')%20AND%20testRun.key%20IN%20('TQUALTCM-C1149')%20AND%20testRun.onlyLastTestResult%20IS%20false&amp;jql=&amp;title=REPORTS.TEST_RESULTS_ADVANCED.TITLE" xr:uid="{00000000-0004-0000-0300-000011010000}"/>
    <hyperlink ref="V23" r:id="rId293" location="/reports/testresults/list/view?tql=testResult.projectKey%20IN%20('TQUALTCM')%20AND%20testRun.key%20IN%20('TQUALTCM-C442')%20AND%20testRun.onlyLastTestResult%20IS%20false&amp;jql=&amp;title=REPORTS.TEST_RESULTS_ADVANCED.TITLE" xr:uid="{00000000-0004-0000-0300-000010010000}"/>
    <hyperlink ref="U23" r:id="rId294" location="/reports/testresults/list/view?tql=testResult.projectKey%20IN%20('TQUALTCM')%20AND%20testRun.key%20IN%20('TQUALTCM-C1139')%20AND%20testRun.onlyLastTestResult%20IS%20false&amp;jql=&amp;title=REPORTS.TEST_RESULTS_ADVANCED.TITLE" xr:uid="{00000000-0004-0000-0300-00000F010000}"/>
    <hyperlink ref="T23" r:id="rId295" location="/reports/testresults/list/view?tql=testResult.projectKey%20IN%20('TQUALTCM')%20AND%20testRun.key%20IN%20('TQUALTCM-C1138')%20AND%20testRun.onlyLastTestResult%20IS%20false&amp;jql=&amp;title=REPORTS.TEST_RESULTS_ADVANCED.TITLE" xr:uid="{00000000-0004-0000-0300-00000E010000}"/>
    <hyperlink ref="S23" r:id="rId296" location="/reports/testresults/list/view?tql=testResult.projectKey%20IN%20('TQUALTCM')%20AND%20testRun.key%20IN%20('TQUALTCM-C1137')%20AND%20testRun.onlyLastTestResult%20IS%20false&amp;jql=&amp;title=REPORTS.TEST_RESULTS_ADVANCED.TITLE" xr:uid="{00000000-0004-0000-0300-00000D010000}"/>
    <hyperlink ref="Q23" r:id="rId297" location="/reports/testresults/list/view?tql=testResult.projectKey%20IN%20('TQUALTCM')%20AND%20testRun.key%20IN%20('TQUALTCM-C1136')%20AND%20testRun.onlyLastTestResult%20IS%20false&amp;jql=&amp;title=REPORTS.TEST_RESULTS_ADVANCED.TITLE" xr:uid="{00000000-0004-0000-0300-00000C010000}"/>
    <hyperlink ref="P23" r:id="rId298" location="/reports/testresults/list/view?tql=testResult.projectKey%20IN%20('TQUALTCM')%20AND%20testRun.key%20IN%20('TQUALTCM-C1276')%20AND%20testRun.onlyLastTestResult%20IS%20false&amp;jql=&amp;title=REPORTS.TEST_RESULTS_ADVANCED.TITLE" xr:uid="{00000000-0004-0000-0300-00000B010000}"/>
    <hyperlink ref="O23" r:id="rId299" location="/reports/testresults/list/view?tql=testResult.projectKey%20IN%20('TQUALTCM')%20AND%20testRun.key%20IN%20('TQUALTCM-C1134')%20AND%20testRun.onlyLastTestResult%20IS%20false&amp;jql=&amp;title=REPORTS.TEST_RESULTS_ADVANCED.TITLE" xr:uid="{00000000-0004-0000-0300-00000A010000}"/>
    <hyperlink ref="M23" r:id="rId300" location="/reports/testresults/list/view?tql=testResult.projectId%20IN%20(15704)%20AND%20testRun.key%20IN%20('TQUALTCM-C850')%20AND%20testRun.onlyLastTestResult%20IS%20true&amp;jql=&amp;title=REPORTS.TEST_RESULTS_ADVANCED.TITLE&amp;period=MONTH&amp;traceabilityReportOption=COVERAG" xr:uid="{00000000-0004-0000-0300-000009010000}"/>
    <hyperlink ref="L23" r:id="rId301" location="/testCycle/TQUALTCM-C2741" xr:uid="{00000000-0004-0000-0300-000008010000}"/>
    <hyperlink ref="AD22" r:id="rId302" location="/reports/testresults/list/view?tql=testResult.projectKey%20IN%20('TQUALTCM')%20AND%20testRun.key%20IN%20('TQUALTCM-C301')%20AND%20testRun.onlyLastTestResult%20IS%20false&amp;jql=&amp;title=REPORTS.TEST_RESULTS_ADVANCED.TITLE&amp;period=MONTH&amp;traceabilityReportOption=" xr:uid="{00000000-0004-0000-0300-000004010000}"/>
    <hyperlink ref="L22" r:id="rId303" location="/testPlayer/TQUALTCM-C2740" xr:uid="{00000000-0004-0000-0300-000003010000}"/>
    <hyperlink ref="AL21" r:id="rId304" xr:uid="{00000000-0004-0000-0300-0000FF000000}"/>
    <hyperlink ref="AK21" r:id="rId305" xr:uid="{00000000-0004-0000-0300-0000FE000000}"/>
    <hyperlink ref="AJ21" r:id="rId306" xr:uid="{00000000-0004-0000-0300-0000FD000000}"/>
    <hyperlink ref="AH21" r:id="rId307" xr:uid="{00000000-0004-0000-0300-0000FC000000}"/>
    <hyperlink ref="AG21" r:id="rId308" xr:uid="{00000000-0004-0000-0300-0000FB000000}"/>
    <hyperlink ref="AF21" r:id="rId309" xr:uid="{00000000-0004-0000-0300-0000FA000000}"/>
    <hyperlink ref="AD21" r:id="rId310" location="/cycle?projectId=15704" xr:uid="{00000000-0004-0000-0300-0000F9000000}"/>
    <hyperlink ref="AC21" r:id="rId311" xr:uid="{00000000-0004-0000-0300-0000F8000000}"/>
    <hyperlink ref="AB21" r:id="rId312" xr:uid="{00000000-0004-0000-0300-0000F7000000}"/>
    <hyperlink ref="AA21" r:id="rId313" xr:uid="{00000000-0004-0000-0300-0000F6000000}"/>
    <hyperlink ref="Z21" r:id="rId314" xr:uid="{00000000-0004-0000-0300-0000F5000000}"/>
    <hyperlink ref="X21" r:id="rId315" location="/reports/testresults/list/view?tql=testResult.projectKey%20IN%20('TQUALTCM')%20AND%20testRun.key%20IN%20('TQUALTCM-C1118')%20AND%20testRun.onlyLastTestResult%20IS%20false&amp;jql=&amp;title=REPORTS.TEST_RESULTS_ADVANCED.TITL" xr:uid="{00000000-0004-0000-0300-0000F4000000}"/>
    <hyperlink ref="W21" r:id="rId316" xr:uid="{00000000-0004-0000-0300-0000F3000000}"/>
    <hyperlink ref="V21" r:id="rId317" location="/reports/testresults/list/view?tql=testResult.projectKey%20IN%20('TQUALTCM')%20AND%20testRun.key%20IN%20('TQUALTCM-C441')%20AND%20testRun.onlyLastTestResult%20IS%20false&amp;jql=&amp;title=REPORTS.TEST_RESULTS_ADVANCED.TITLE" xr:uid="{00000000-0004-0000-0300-0000F2000000}"/>
    <hyperlink ref="S21" r:id="rId318" xr:uid="{00000000-0004-0000-0300-0000F1000000}"/>
    <hyperlink ref="Q21" r:id="rId319" xr:uid="{00000000-0004-0000-0300-0000F0000000}"/>
    <hyperlink ref="P21" r:id="rId320" location="/reports/testresults/list/view?tql=testResult.projectKey%20IN%20('TQUALTCM')%20AND%20testRun.key%20IN%20('TQUALTCM-C1320')%20AND%20testRun.onlyLastTestResult%20IS%20false&amp;jql=&amp;title=REPORTS.TEST_RESULTS_ADVANCED.TITLE" xr:uid="{00000000-0004-0000-0300-0000EF000000}"/>
    <hyperlink ref="O21" r:id="rId321" xr:uid="{00000000-0004-0000-0300-0000EE000000}"/>
    <hyperlink ref="L21" r:id="rId322" location="/testPlayer/TQUALTCM-C2739" xr:uid="{00000000-0004-0000-0300-0000ED000000}"/>
    <hyperlink ref="AL20" r:id="rId323" xr:uid="{00000000-0004-0000-0300-0000E8000000}"/>
    <hyperlink ref="AK20" r:id="rId324" xr:uid="{00000000-0004-0000-0300-0000E7000000}"/>
    <hyperlink ref="AJ20" r:id="rId325" xr:uid="{00000000-0004-0000-0300-0000E6000000}"/>
    <hyperlink ref="AH20" r:id="rId326" xr:uid="{00000000-0004-0000-0300-0000E5000000}"/>
    <hyperlink ref="AG20" r:id="rId327" xr:uid="{00000000-0004-0000-0300-0000E4000000}"/>
    <hyperlink ref="AF20" r:id="rId328" xr:uid="{00000000-0004-0000-0300-0000E3000000}"/>
    <hyperlink ref="AD20" r:id="rId329" location="/cycle?projectId=15704" xr:uid="{00000000-0004-0000-0300-0000E2000000}"/>
    <hyperlink ref="AC20" r:id="rId330" xr:uid="{00000000-0004-0000-0300-0000E1000000}"/>
    <hyperlink ref="AB20" r:id="rId331" xr:uid="{00000000-0004-0000-0300-0000E0000000}"/>
    <hyperlink ref="AA20" r:id="rId332" xr:uid="{00000000-0004-0000-0300-0000DF000000}"/>
    <hyperlink ref="Z20" r:id="rId333" xr:uid="{00000000-0004-0000-0300-0000DE000000}"/>
    <hyperlink ref="X20" r:id="rId334" location="/reports/testresults/list/view?tql=testResult.projectKey%20IN%20('TQUALTCM')%20AND%20testRun.key%20IN%20('TQUALTCM-C449')%20AND%20testRun.onlyLastTestResult%20IS%20false&amp;jql=&amp;title=REPORTS.TEST_RESULTS_ADVANCED.TITLE" xr:uid="{00000000-0004-0000-0300-0000DD000000}"/>
    <hyperlink ref="W20" r:id="rId335" xr:uid="{00000000-0004-0000-0300-0000DC000000}"/>
    <hyperlink ref="V20" r:id="rId336" location="/reports/testresults/list/view?tql=testResult.projectKey%20IN%20('TQUALTCM')%20AND%20testRun.key%20IN%20('TQUALTCM-C1094')%20AND%20testRun.onlyLastTestResult%20IS%20false&amp;jql=&amp;title=REPORTS.TEST_RESULTS_ADVANCED.TITL" xr:uid="{00000000-0004-0000-0300-0000DB000000}"/>
    <hyperlink ref="S20" r:id="rId337" xr:uid="{00000000-0004-0000-0300-0000DA000000}"/>
    <hyperlink ref="Q20" r:id="rId338" xr:uid="{00000000-0004-0000-0300-0000D9000000}"/>
    <hyperlink ref="P20" r:id="rId339" location="/reports/testresults/list/view?tql=testResult.projectKey%20IN%20('TQUALTCM')%20AND%20testRun.key%20IN%20('TQUALTCM-C1319')%20AND%20testRun.onlyLastTestResult%20IS%20false&amp;jql=&amp;title=REPORTS.TEST_RESULTS_ADVANCED.TITLE" xr:uid="{00000000-0004-0000-0300-0000D8000000}"/>
    <hyperlink ref="O20" r:id="rId340" xr:uid="{00000000-0004-0000-0300-0000D7000000}"/>
    <hyperlink ref="L20" r:id="rId341" location="/testPlayer/TQUALTCM-C2738" xr:uid="{00000000-0004-0000-0300-0000D6000000}"/>
    <hyperlink ref="AL18" r:id="rId342" location="/reports/testresults/list/view?tql=testResult.projectKey%20IN%20('TQUALTCM')%20AND%20testRun.key%20IN%20('TQUALTCM-C1153')%20AND%20testRun.onlyLastTestResult%20IS%20false&amp;jql=&amp;title=REPORTS.TEST_RESULTS_ADVANCED.TITLE" xr:uid="{00000000-0004-0000-0300-0000D1000000}"/>
    <hyperlink ref="AK18" r:id="rId343" location="/reports/testresults/list/view?tql=testResult.projectKey%20IN%20('TQUALTCM')%20AND%20testRun.key%20IN%20('TQUALTCM-C1000')%20AND%20testRun.onlyLastTestResult%20IS%20false&amp;jql=&amp;title=REPORTS.TEST_RESULTS_ADVANCED.TITLE" xr:uid="{00000000-0004-0000-0300-0000D0000000}"/>
    <hyperlink ref="AJ18" r:id="rId344" location="/reports/testresults/list/view?tql=testResult.projectKey%20IN%20('TQUALTCM')%20AND%20testRun.key%20IN%20('TQUALTCM-C1152')%20AND%20testRun.onlyLastTestResult%20IS%20false&amp;jql=&amp;title=REPORTS.TEST_RESULTS_ADVANCED.TITLE" xr:uid="{00000000-0004-0000-0300-0000CF000000}"/>
    <hyperlink ref="AH18" r:id="rId345" location="/reports/testresults/list/view?tql=testResult.projectKey%20IN%20('TQUALTCM')%20AND%20testRun.key%20IN%20('TQUALTCM-C982')%20AND%20testRun.onlyLastTestResult%20IS%20false&amp;jql=&amp;title=REPORTS.TEST_RESULTS_ADVANCED.TITLE" xr:uid="{00000000-0004-0000-0300-0000CE000000}"/>
    <hyperlink ref="AG18" r:id="rId346" location="/reports/testresults/list/view?tql=testResult.projectKey%20IN%20('TQUALTCM')%20AND%20testRun.key%20IN%20('TQUALTCM-C980')%20AND%20testRun.onlyLastTestResult%20IS%20false&amp;jql=&amp;title=REPORTS.TEST_RESULTS_ADVANCED.TITLE" xr:uid="{00000000-0004-0000-0300-0000CD000000}"/>
    <hyperlink ref="AF18" r:id="rId347" location="/reports/testresults/list/view?tql=testResult.projectKey%20IN%20('TQUALTCM')%20AND%20testRun.key%20IN%20('TQUALTCM-C978')%20AND%20testRun.onlyLastTestResult%20IS%20false&amp;jql=&amp;title=REPORTS.TEST_RESULTS_ADVANCED.TITLE" xr:uid="{00000000-0004-0000-0300-0000CC000000}"/>
    <hyperlink ref="AD18" r:id="rId348" location="/reports/testresults/list/view?tql=testResult.projectKey%20IN%20('TQUALTCM')%20AND%20testRun.key%20IN%20('TQUALTCM-C999')%20AND%20testRun.onlyLastTestResult%20IS%20false&amp;jql=&amp;title=REPORTS.TEST_RESULTS_ADVANCED.TITLE" xr:uid="{00000000-0004-0000-0300-0000CB000000}"/>
    <hyperlink ref="AC18" r:id="rId349" location="/reports/testresults/list/view?tql=testResult.projectKey%20IN%20('TQUALTCM')%20AND%20testRun.key%20IN%20('TQUALTCM-C998')%20AND%20testRun.onlyLastTestResult%20IS%20false&amp;jql=&amp;title=REPORTS.TEST_RESULTS_ADVANCED.TITLE" xr:uid="{00000000-0004-0000-0300-0000CA000000}"/>
    <hyperlink ref="AB18" r:id="rId350" location="/reports/testresults/list/view?tql=testResult.projectKey%20IN%20('TQUALTCM')%20AND%20testRun.key%20IN%20('TQUALTCM-C997')%20AND%20testRun.onlyLastTestResult%20IS%20true&amp;jql=&amp;title=REPORTS.TEST_RESULTS_ADVANCED.TITLE" xr:uid="{00000000-0004-0000-0300-0000C9000000}"/>
    <hyperlink ref="AA18" r:id="rId351" location="/reports/testresults/list/view?tql=testResult.projectKey%20IN%20('TQUALTCM')%20AND%20testRun.key%20IN%20('TQUALTCM-C996')%20AND%20testRun.onlyLastTestResult%20IS%20false&amp;jql=&amp;title=REPORTS.TEST_RESULTS_ADVANCED.TITLE" xr:uid="{00000000-0004-0000-0300-0000C8000000}"/>
    <hyperlink ref="Z18" r:id="rId352" location="/reports/testresults/list/view?tql=testResult.projectKey%20IN%20('TQUALTCM')%20AND%20testRun.key%20IN%20('TQUALTCM-C995')%20AND%20testRun.onlyLastTestResult%20IS%20false&amp;jql=&amp;title=REPORTS.TEST_RESULTS_ADVANCED.TITLE" xr:uid="{00000000-0004-0000-0300-0000C7000000}"/>
    <hyperlink ref="X18" r:id="rId353" location="/reports/testresults/list/view?tql=testResult.projectKey%20IN%20('TQUALTCM')%20AND%20testRun.key%20IN%20('TQUALTCM-C1267')%20AND%20testRun.onlyLastTestResult%20IS%20false&amp;jql=&amp;title=REPORTS.TEST_RESULTS_ADVANCED.TITLE" xr:uid="{00000000-0004-0000-0300-0000C6000000}"/>
    <hyperlink ref="W18" r:id="rId354" location="/reports/testresults/list/view?tql=testResult.projectKey%20IN%20('TQUALTCM')%20AND%20testRun.key%20IN%20('TQUALTCM-C1268')%20AND%20testRun.onlyLastTestResult%20IS%20false&amp;jql=&amp;title=REPORTS.TEST_RESULTS_ADVANCED.TITLE" xr:uid="{00000000-0004-0000-0300-0000C5000000}"/>
    <hyperlink ref="V18" r:id="rId355" location="/reports/testresults/list/view?tql=testResult.projectKey%20IN%20('TQUALTCM')%20AND%20testRun.key%20IN%20('TQUALTCM-C994')%20AND%20testRun.onlyLastTestResult%20IS%20false&amp;jql=&amp;title=REPORTS.TEST_RESULTS_ADVANCED.TITLE" xr:uid="{00000000-0004-0000-0300-0000C4000000}"/>
    <hyperlink ref="U18" r:id="rId356" location="/reports/testresults/list/view?tql=testResult.projectKey%20IN%20('TQUALTCM')%20AND%20testRun.key%20IN%20('TQUALTCM-C991')%20AND%20testRun.onlyLastTestResult%20IS%20false&amp;jql=&amp;title=REPORTS.TEST_RESULTS_ADVANCED.TITLE" xr:uid="{00000000-0004-0000-0300-0000C3000000}"/>
    <hyperlink ref="T18" r:id="rId357" location="/reports/testresults/list/view?tql=testResult.projectKey%20IN%20('TQUALTCM')%20AND%20testRun.key%20IN%20('TQUALTCM-C990')%20AND%20testRun.onlyLastTestResult%20IS%20false&amp;jql=&amp;title=REPORTS.TEST_RESULTS_ADVANCED.TITLE" xr:uid="{00000000-0004-0000-0300-0000C2000000}"/>
    <hyperlink ref="S18" r:id="rId358" location="/reports/testresults/list/view?tql=testResult.projectKey%20IN%20('TQUALTCM')%20AND%20testRun.key%20IN%20('TQUALTCM-C988')%20AND%20testRun.onlyLastTestResult%20IS%20false&amp;jql=&amp;title=REPORTS.TEST_RESULTS_ADVANCED.TITLE" xr:uid="{00000000-0004-0000-0300-0000C1000000}"/>
    <hyperlink ref="Q18" r:id="rId359" location="/reports/testresults/list/view?tql=testResult.projectKey%20IN%20('TQUALTCM')%20AND%20testRun.key%20IN%20('TQUALTCM-C987')%20AND%20testRun.onlyLastTestResult%20IS%20false&amp;jql=&amp;title=REPORTS.TEST_RESULTS_ADVANCED.TITLE" xr:uid="{00000000-0004-0000-0300-0000C0000000}"/>
    <hyperlink ref="P18" r:id="rId360" location="/reports/testresults/list/view?tql=testResult.projectKey%20IN%20('TQUALTCM')%20AND%20testRun.key%20IN%20('TQUALTCM-C1295')%20AND%20testRun.onlyLastTestResult%20IS%20false&amp;jql=&amp;title=REPORTS.TEST_RESULTS_ADVANCED.TITLE" xr:uid="{00000000-0004-0000-0300-0000BF000000}"/>
    <hyperlink ref="O18" r:id="rId361" location="/reports/testresults/list/view?tql=testResult.projectKey%20IN%20('TQUALTCM')%20AND%20testRun.key%20IN%20('TQUALTCM-C985')%20AND%20testRun.onlyLastTestResult%20IS%20false&amp;jql=&amp;title=REPORTS.TEST_RESULTS_ADVANCED.TITLE" xr:uid="{00000000-0004-0000-0300-0000BE000000}"/>
    <hyperlink ref="M18" r:id="rId362" location="/reports/testresults/list/view?tql=testResult.projectKey%20IN%20('TQUALTCM')%20AND%20testRun.key%20IN%20('TQUALTCM-C984')%20AND%20testRun.onlyLastTestResult%20IS%20false&amp;jql=&amp;title=REPORTS.TEST_RESULTS_ADVANCED.TITLE" xr:uid="{00000000-0004-0000-0300-0000BD000000}"/>
    <hyperlink ref="L18" r:id="rId363" location="/testPlayer/TQUALTCM-C2736" xr:uid="{00000000-0004-0000-0300-0000BC000000}"/>
    <hyperlink ref="AH16" r:id="rId364" location="/reports/testresults/list/view?tql=testResult.projectKey%20IN%20('TQUALTCM')%20AND%20testRun.key%20IN%20('TQUALTCM-C1030')%20AND%20testRun.onlyLastTestResult%20IS%20false&amp;jql=&amp;title=REPORTS.TEST_RESULTS_ADVANCED.TITLE" xr:uid="{00000000-0004-0000-0300-0000B9000000}"/>
    <hyperlink ref="AF16" r:id="rId365" location="/reports/testresults/list/view?tql=testResult.projectKey%20IN%20('TQUALTCM')%20AND%20testRun.key%20IN%20('TQUALTCM-C1026')%20AND%20testRun.onlyLastTestResult%20IS%20false&amp;jql=&amp;title=REPORTS.TEST_RESULTS_ADVANCED.TITLE" xr:uid="{00000000-0004-0000-0300-0000B8000000}"/>
    <hyperlink ref="AL13" r:id="rId366" location="/reports/testresults/detailed/view?tql=testResult.projectKey%20IN%20('TQUALTCM')%20AND%20testRun.key%20IN%20('TQUALTCM-C406')%20AND%20testRun.onlyLastTestResult%20IS%20false&amp;jql=&amp;title=REPORTS.TEST_RESULTS_DETAILED.TITLE&amp;period=MONTH&amp;traceabilityReportOpt" xr:uid="{00000000-0004-0000-0300-00008C000000}"/>
    <hyperlink ref="AK13" r:id="rId367" xr:uid="{00000000-0004-0000-0300-00008B000000}"/>
    <hyperlink ref="AJ13" r:id="rId368" xr:uid="{00000000-0004-0000-0300-00008A000000}"/>
    <hyperlink ref="AH13" r:id="rId369" xr:uid="{00000000-0004-0000-0300-000089000000}"/>
    <hyperlink ref="AG13" r:id="rId370" xr:uid="{00000000-0004-0000-0300-000088000000}"/>
    <hyperlink ref="AF13" r:id="rId371" xr:uid="{00000000-0004-0000-0300-000087000000}"/>
    <hyperlink ref="AD13" r:id="rId372" location="/cycle?projectId=15704" xr:uid="{00000000-0004-0000-0300-000086000000}"/>
    <hyperlink ref="AC13" r:id="rId373" xr:uid="{00000000-0004-0000-0300-000085000000}"/>
    <hyperlink ref="AB13" r:id="rId374" xr:uid="{00000000-0004-0000-0300-000084000000}"/>
    <hyperlink ref="AA13" r:id="rId375" xr:uid="{00000000-0004-0000-0300-000083000000}"/>
    <hyperlink ref="Z13" r:id="rId376" xr:uid="{00000000-0004-0000-0300-000082000000}"/>
    <hyperlink ref="X13" r:id="rId377" location="/reports/testresults/list/view?tql=testResult.projectKey%20IN%20('TQUALTCM')%20AND%20testRun.key%20IN%20('TQUALTCM-C458')%20AND%20testRun.onlyLastTestResult%20IS%20false&amp;jql=&amp;title=REPORTS.TEST_RESULTS_ADVANCED.TITLE" xr:uid="{00000000-0004-0000-0300-000081000000}"/>
    <hyperlink ref="W13" r:id="rId378" xr:uid="{00000000-0004-0000-0300-000080000000}"/>
    <hyperlink ref="V13" r:id="rId379" location="/reports/testresults/list/view?tql=testResult.projectKey%20IN%20('TQUALTCM')%20AND%20testRun.key%20IN%20('TQUALTCM-C1102')%20AND%20testRun.onlyLastTestResult%20IS%20false&amp;jql=&amp;title=REPORTS.TEST_RESULTS_ADVANCED.TITL" xr:uid="{00000000-0004-0000-0300-00007F000000}"/>
    <hyperlink ref="U13" r:id="rId380" xr:uid="{00000000-0004-0000-0300-00007E000000}"/>
    <hyperlink ref="T13" r:id="rId381" xr:uid="{00000000-0004-0000-0300-00007D000000}"/>
    <hyperlink ref="S13" r:id="rId382" xr:uid="{00000000-0004-0000-0300-00007C000000}"/>
    <hyperlink ref="Q13" r:id="rId383" xr:uid="{00000000-0004-0000-0300-00007B000000}"/>
    <hyperlink ref="P13" r:id="rId384" location="/reports/testresults/list/view?tql=testResult.projectKey%20IN%20('TQUALTCM')%20AND%20testRun.key%20IN%20('TQUALTCM-C1317')%20AND%20testRun.onlyLastTestResult%20IS%20false&amp;jql=&amp;title=REPORTS.TEST_RESULTS_ADVANCED.TITLE" xr:uid="{00000000-0004-0000-0300-00007A000000}"/>
    <hyperlink ref="O13" r:id="rId385" xr:uid="{00000000-0004-0000-0300-000079000000}"/>
    <hyperlink ref="L13" r:id="rId386" location="/testPlayer/TQUALTCM-C2733" xr:uid="{00000000-0004-0000-0300-000078000000}"/>
    <hyperlink ref="AL12" r:id="rId387" location="/reports/testresults/detailed/view?tql=testResult.projectKey%20IN%20('TQUALTCM')%20AND%20testRun.key%20IN%20('TQUALTCM-C406')%20AND%20testRun.onlyLastTestResult%20IS%20false&amp;jql=&amp;title=REPORTS.TEST_RESULTS_DETAILED.TITLE&amp;period=MONTH&amp;traceabilityReportOpt" xr:uid="{00000000-0004-0000-0300-000073000000}"/>
    <hyperlink ref="AK12" r:id="rId388" xr:uid="{00000000-0004-0000-0300-000072000000}"/>
    <hyperlink ref="AJ12" r:id="rId389" xr:uid="{00000000-0004-0000-0300-000071000000}"/>
    <hyperlink ref="AH12" r:id="rId390" xr:uid="{00000000-0004-0000-0300-000070000000}"/>
    <hyperlink ref="AG12" r:id="rId391" xr:uid="{00000000-0004-0000-0300-00006F000000}"/>
    <hyperlink ref="AF12" r:id="rId392" xr:uid="{00000000-0004-0000-0300-00006E000000}"/>
    <hyperlink ref="AD12" r:id="rId393" location="/cycle?projectId=15704" xr:uid="{00000000-0004-0000-0300-00006D000000}"/>
    <hyperlink ref="AC12" r:id="rId394" xr:uid="{00000000-0004-0000-0300-00006C000000}"/>
    <hyperlink ref="AB12" r:id="rId395" xr:uid="{00000000-0004-0000-0300-00006B000000}"/>
    <hyperlink ref="AA12" r:id="rId396" xr:uid="{00000000-0004-0000-0300-00006A000000}"/>
    <hyperlink ref="Z12" r:id="rId397" xr:uid="{00000000-0004-0000-0300-000069000000}"/>
    <hyperlink ref="X12" r:id="rId398" location="/reports/testresults/list/view?tql=testResult.projectKey%20IN%20('TQUALTCM')%20AND%20testRun.key%20IN%20('TQUALTCM-C445')%20AND%20testRun.onlyLastTestResult%20IS%20false&amp;jql=&amp;title=REPORTS.TEST_RESULTS_ADVANCED.TITLE" xr:uid="{00000000-0004-0000-0300-000068000000}"/>
    <hyperlink ref="W12" r:id="rId399" xr:uid="{00000000-0004-0000-0300-000067000000}"/>
    <hyperlink ref="V12" r:id="rId400" location="/reports/testresults/list/view?tql=testResult.projectKey%20IN%20('TQUALTCM')%20AND%20testRun.key%20IN%20('TQUALTCM-C1090')%20AND%20testRun.onlyLastTestResult%20IS%20false&amp;jql=&amp;title=REPORTS.TEST_RESULTS_ADVANCED.TITL" xr:uid="{00000000-0004-0000-0300-000066000000}"/>
    <hyperlink ref="U12" r:id="rId401" xr:uid="{00000000-0004-0000-0300-000065000000}"/>
    <hyperlink ref="T12" r:id="rId402" xr:uid="{00000000-0004-0000-0300-000064000000}"/>
    <hyperlink ref="S12" r:id="rId403" xr:uid="{00000000-0004-0000-0300-000063000000}"/>
    <hyperlink ref="Q12" r:id="rId404" xr:uid="{00000000-0004-0000-0300-000062000000}"/>
    <hyperlink ref="P12" r:id="rId405" location="/reports/testresults/list/view?tql=testResult.projectKey%20IN%20('TQUALTCM')%20AND%20testRun.key%20IN%20('TQUALTCM-C1316')%20AND%20testRun.onlyLastTestResult%20IS%20false&amp;jql=&amp;title=REPORTS.TEST_RESULTS_ADVANCED.TITLE" xr:uid="{00000000-0004-0000-0300-000061000000}"/>
    <hyperlink ref="O12" r:id="rId406" xr:uid="{00000000-0004-0000-0300-000060000000}"/>
    <hyperlink ref="L12" r:id="rId407" location="/testPlayer/TQUALTCM-C2732" xr:uid="{00000000-0004-0000-0300-00005F000000}"/>
    <hyperlink ref="AL11" r:id="rId408" location="/reports/testresults/detailed/view?tql=testResult.projectKey%20IN%20('TQUALTCM')%20AND%20testRun.key%20IN%20('TQUALTCM-C408')%20AND%20testRun.onlyLastTestResult%20IS%20false&amp;jql=&amp;title=REPORTS.TEST_RESULTS_DETAILED.TITLE&amp;period=MONTH&amp;traceabilityReportOpt" xr:uid="{00000000-0004-0000-0300-00005A000000}"/>
    <hyperlink ref="AK11" r:id="rId409" xr:uid="{00000000-0004-0000-0300-000059000000}"/>
    <hyperlink ref="AJ11" r:id="rId410" xr:uid="{00000000-0004-0000-0300-000058000000}"/>
    <hyperlink ref="AH11" r:id="rId411" xr:uid="{00000000-0004-0000-0300-000057000000}"/>
    <hyperlink ref="AG11" r:id="rId412" xr:uid="{00000000-0004-0000-0300-000056000000}"/>
    <hyperlink ref="AF11" r:id="rId413" xr:uid="{00000000-0004-0000-0300-000055000000}"/>
    <hyperlink ref="AD11" r:id="rId414" location="/cycle?projectId=15704" xr:uid="{00000000-0004-0000-0300-000054000000}"/>
    <hyperlink ref="AC11" r:id="rId415" xr:uid="{00000000-0004-0000-0300-000053000000}"/>
    <hyperlink ref="AB11" r:id="rId416" xr:uid="{00000000-0004-0000-0300-000052000000}"/>
    <hyperlink ref="AA11" r:id="rId417" xr:uid="{00000000-0004-0000-0300-000051000000}"/>
    <hyperlink ref="Z11" r:id="rId418" xr:uid="{00000000-0004-0000-0300-000050000000}"/>
    <hyperlink ref="X11" r:id="rId419" location="/reports/testresults/list/view?tql=testResult.projectKey%20IN%20('TQUALTCM')%20AND%20testRun.key%20IN%20('TQUALTCM-C457')%20AND%20testRun.onlyLastTestResult%20IS%20false&amp;jql=&amp;title=REPORTS.TEST_RESULTS_ADVANCED.TITLE" xr:uid="{00000000-0004-0000-0300-00004F000000}"/>
    <hyperlink ref="W11" r:id="rId420" xr:uid="{00000000-0004-0000-0300-00004E000000}"/>
    <hyperlink ref="V11" r:id="rId421" location="/reports/testresults/list/view?tql=testResult.projectKey%20IN%20('TQUALTCM')%20AND%20testRun.key%20IN%20('TQUALTCM-C1101')%20AND%20testRun.onlyLastTestResult%20IS%20false&amp;jql=&amp;title=REPORTS.TEST_RESULTS_ADVANCED.TITL" xr:uid="{00000000-0004-0000-0300-00004D000000}"/>
    <hyperlink ref="S11" r:id="rId422" xr:uid="{00000000-0004-0000-0300-00004C000000}"/>
    <hyperlink ref="Q11" r:id="rId423" xr:uid="{00000000-0004-0000-0300-00004B000000}"/>
    <hyperlink ref="P11" r:id="rId424" location="/reports/testresults/list/view?tql=testResult.projectKey%20IN%20('TQUALTCM')%20AND%20testRun.key%20IN%20('TQUALTCM-C1301')%20AND%20testRun.onlyLastTestResult%20IS%20false&amp;jql=&amp;title=REPORTS.TEST_RESULTS_ADVANCED.TITLE" xr:uid="{00000000-0004-0000-0300-00004A000000}"/>
    <hyperlink ref="O11" r:id="rId425" xr:uid="{00000000-0004-0000-0300-000049000000}"/>
    <hyperlink ref="L11" r:id="rId426" location="/testPlayer/TQUALTCM-C2730" xr:uid="{00000000-0004-0000-0300-000048000000}"/>
    <hyperlink ref="AL10" r:id="rId427" location="/reports/testresults/detailed/view?tql=testResult.projectKey%20IN%20('TQUALTCM')%20AND%20testRun.key%20IN%20('TQUALTCM-C408')%20AND%20testRun.onlyLastTestResult%20IS%20false&amp;jql=&amp;title=REPORTS.TEST_RESULTS_DETAILED.TITLE&amp;period=MONTH&amp;traceabilityReportOpt" xr:uid="{00000000-0004-0000-0300-000043000000}"/>
    <hyperlink ref="AK10" r:id="rId428" xr:uid="{00000000-0004-0000-0300-000042000000}"/>
    <hyperlink ref="AJ10" r:id="rId429" xr:uid="{00000000-0004-0000-0300-000041000000}"/>
    <hyperlink ref="AH10" r:id="rId430" xr:uid="{00000000-0004-0000-0300-000040000000}"/>
    <hyperlink ref="AG10" r:id="rId431" xr:uid="{00000000-0004-0000-0300-00003F000000}"/>
    <hyperlink ref="AF10" r:id="rId432" xr:uid="{00000000-0004-0000-0300-00003E000000}"/>
    <hyperlink ref="AD10" r:id="rId433" location="/cycle?projectId=15704" xr:uid="{00000000-0004-0000-0300-00003D000000}"/>
    <hyperlink ref="AC10" r:id="rId434" xr:uid="{00000000-0004-0000-0300-00003C000000}"/>
    <hyperlink ref="AB10" r:id="rId435" xr:uid="{00000000-0004-0000-0300-00003B000000}"/>
    <hyperlink ref="AA10" r:id="rId436" xr:uid="{00000000-0004-0000-0300-00003A000000}"/>
    <hyperlink ref="Z10" r:id="rId437" xr:uid="{00000000-0004-0000-0300-000039000000}"/>
    <hyperlink ref="X10" r:id="rId438" location="/reports/testresults/list/view?tql=testResult.projectKey%20IN%20('TQUALTCM')%20AND%20testRun.key%20IN%20('TQUALTCM-C1120')%20AND%20testRun.onlyLastTestResult%20IS%20false&amp;jql=&amp;title=REPORTS.TEST_RESULTS_ADVANCED.TITL" xr:uid="{00000000-0004-0000-0300-000038000000}"/>
    <hyperlink ref="W10" r:id="rId439" xr:uid="{00000000-0004-0000-0300-000037000000}"/>
    <hyperlink ref="V10" r:id="rId440" location="/reports/testresults/list/view?tql=testResult.projectKey%20IN%20('TQUALTCM')%20AND%20testRun.key%20IN%20('TQUALTCM-C443')%20AND%20testRun.onlyLastTestResult%20IS%20false&amp;jql=&amp;title=REPORTS.TEST_RESULTS_ADVANCED.TITLE" xr:uid="{00000000-0004-0000-0300-000036000000}"/>
    <hyperlink ref="S10" r:id="rId441" xr:uid="{00000000-0004-0000-0300-000035000000}"/>
    <hyperlink ref="Q10" r:id="rId442" xr:uid="{00000000-0004-0000-0300-000034000000}"/>
    <hyperlink ref="P10" r:id="rId443" location="/reports/testresults/list/view?tql=testResult.projectKey%20IN%20('TQUALTCM')%20AND%20testRun.key%20IN%20('TQUALTCM-C1302')%20AND%20testRun.onlyLastTestResult%20IS%20false&amp;jql=&amp;title=REPORTS.TEST_RESULTS_ADVANCED.TITLE" xr:uid="{00000000-0004-0000-0300-000033000000}"/>
    <hyperlink ref="O10" r:id="rId444" xr:uid="{00000000-0004-0000-0300-000032000000}"/>
    <hyperlink ref="L10" r:id="rId445" location="/testPlayer/TQUALTCM-C2731" xr:uid="{00000000-0004-0000-0300-000031000000}"/>
    <hyperlink ref="AL9" r:id="rId446" location="/testPlayer/TQUALTCM-C8" xr:uid="{00000000-0004-0000-0300-00002C000000}"/>
    <hyperlink ref="AK9" r:id="rId447" xr:uid="{00000000-0004-0000-0300-00002B000000}"/>
    <hyperlink ref="AJ9" r:id="rId448" xr:uid="{00000000-0004-0000-0300-00002A000000}"/>
    <hyperlink ref="AH9" r:id="rId449" xr:uid="{00000000-0004-0000-0300-000029000000}"/>
    <hyperlink ref="AG9" r:id="rId450" xr:uid="{00000000-0004-0000-0300-000028000000}"/>
    <hyperlink ref="AF9" r:id="rId451" xr:uid="{00000000-0004-0000-0300-000027000000}"/>
    <hyperlink ref="AD9" r:id="rId452" location="/cycle?projectId=15704" xr:uid="{00000000-0004-0000-0300-000026000000}"/>
    <hyperlink ref="AC9" r:id="rId453" xr:uid="{00000000-0004-0000-0300-000025000000}"/>
    <hyperlink ref="AB9" r:id="rId454" xr:uid="{00000000-0004-0000-0300-000024000000}"/>
    <hyperlink ref="AA9" r:id="rId455" xr:uid="{00000000-0004-0000-0300-000023000000}"/>
    <hyperlink ref="Z9" r:id="rId456" xr:uid="{00000000-0004-0000-0300-000022000000}"/>
    <hyperlink ref="X9" r:id="rId457" location="/reports/testresults/list/view?tql=testResult.projectKey%20IN%20('TQUALTCM')%20AND%20testRun.key%20IN%20('TQUALTCM-C456')%20AND%20testRun.onlyLastTestResult%20IS%20false&amp;jql=&amp;title=REPORTS.TEST_RESULTS_ADVANCED.TITLE" xr:uid="{00000000-0004-0000-0300-000021000000}"/>
    <hyperlink ref="W9" r:id="rId458" xr:uid="{00000000-0004-0000-0300-000020000000}"/>
    <hyperlink ref="V9" r:id="rId459" location="/reports/testresults/list/view?tql=testResult.projectKey%20IN%20('TQUALTCM')%20AND%20testRun.key%20IN%20('TQUALTCM-C1100')%20AND%20testRun.onlyLastTestResult%20IS%20false&amp;jql=&amp;title=REPORTS.TEST_RESULTS_ADVANCED.TITL" xr:uid="{00000000-0004-0000-0300-00001F000000}"/>
    <hyperlink ref="S9" r:id="rId460" xr:uid="{00000000-0004-0000-0300-00001E000000}"/>
    <hyperlink ref="Q9" r:id="rId461" xr:uid="{00000000-0004-0000-0300-00001D000000}"/>
    <hyperlink ref="P9" r:id="rId462" location="/reports/testresults/list/view?tql=testResult.projectKey%20IN%20('TQUALTCM')%20AND%20testRun.key%20IN%20('TQUALTCM-C1315')%20AND%20testRun.onlyLastTestResult%20IS%20false&amp;jql=&amp;title=REPORTS.TEST_RESULTS_ADVANCED.TITLE" xr:uid="{00000000-0004-0000-0300-00001C000000}"/>
    <hyperlink ref="O9" r:id="rId463" xr:uid="{00000000-0004-0000-0300-00001B000000}"/>
    <hyperlink ref="L9" r:id="rId464" location="/testPlayer/TQUALTCM-C2729" xr:uid="{00000000-0004-0000-0300-00001A000000}"/>
    <hyperlink ref="AL8" r:id="rId465" location="/testPlayer/TQUALTCM-C231" xr:uid="{00000000-0004-0000-0300-000015000000}"/>
    <hyperlink ref="AK8" r:id="rId466" xr:uid="{00000000-0004-0000-0300-000014000000}"/>
    <hyperlink ref="AJ8" r:id="rId467" xr:uid="{00000000-0004-0000-0300-000013000000}"/>
    <hyperlink ref="AH8" r:id="rId468" xr:uid="{00000000-0004-0000-0300-000012000000}"/>
    <hyperlink ref="AG8" r:id="rId469" xr:uid="{00000000-0004-0000-0300-000011000000}"/>
    <hyperlink ref="AF8" r:id="rId470" xr:uid="{00000000-0004-0000-0300-000010000000}"/>
    <hyperlink ref="AD8" r:id="rId471" location="/cycle?projectId=15704" xr:uid="{00000000-0004-0000-0300-00000F000000}"/>
    <hyperlink ref="AC8" r:id="rId472" xr:uid="{00000000-0004-0000-0300-00000E000000}"/>
    <hyperlink ref="AB8" r:id="rId473" xr:uid="{00000000-0004-0000-0300-00000D000000}"/>
    <hyperlink ref="AA8" r:id="rId474" xr:uid="{00000000-0004-0000-0300-00000C000000}"/>
    <hyperlink ref="Z8" r:id="rId475" xr:uid="{00000000-0004-0000-0300-00000B000000}"/>
    <hyperlink ref="X8" r:id="rId476" location="/reports/testresults/list/view?tql=testResult.projectKey%20IN%20('TQUALTCM')%20AND%20testRun.key%20IN%20('TQUALTCM-C413')%20AND%20testRun.onlyLastTestResult%20IS%20false&amp;jql=&amp;title=REPORTS.TEST_RESULTS_ADVANCED.TITLE" xr:uid="{00000000-0004-0000-0300-00000A000000}"/>
    <hyperlink ref="W8" r:id="rId477" xr:uid="{00000000-0004-0000-0300-000009000000}"/>
    <hyperlink ref="V8" r:id="rId478" location="/reports/testresults/list/view?tql=testResult.projectKey%20IN%20('TQUALTCM')%20AND%20testRun.key%20IN%20('TQUALTCM-C1075')%20AND%20testRun.onlyLastTestResult%20IS%20false&amp;jql=&amp;title=REPORTS.TEST_RESULTS_ADVANCED.TITL" xr:uid="{00000000-0004-0000-0300-000008000000}"/>
    <hyperlink ref="S8" r:id="rId479" xr:uid="{00000000-0004-0000-0300-000007000000}"/>
    <hyperlink ref="Q8" r:id="rId480" xr:uid="{00000000-0004-0000-0300-000006000000}"/>
    <hyperlink ref="P8" r:id="rId481" location="/reports/testresults/list/view?tql=testResult.projectKey%20IN%20('TQUALTCM')%20AND%20testRun.key%20IN%20('TQUALTCM-C1314')%20AND%20testRun.onlyLastTestResult%20IS%20false&amp;jql=&amp;title=REPORTS.TEST_RESULTS_ADVANCED.TITLE" xr:uid="{00000000-0004-0000-0300-000005000000}"/>
    <hyperlink ref="O8" r:id="rId482" xr:uid="{00000000-0004-0000-0300-000004000000}"/>
    <hyperlink ref="L8" r:id="rId483" location="/testPlayer/TQUALTCM-C2728" xr:uid="{00000000-0004-0000-0300-000003000000}"/>
    <hyperlink ref="I4" r:id="rId484" xr:uid="{352B2C89-0E32-493E-8CB0-899A31564521}"/>
    <hyperlink ref="J4" r:id="rId485" xr:uid="{2A443432-221C-4CAC-8157-75D97618546D}"/>
    <hyperlink ref="O36" r:id="rId486" xr:uid="{00000000-0004-0000-0300-00009C010000}"/>
    <hyperlink ref="K4" r:id="rId487" xr:uid="{F2C04BBC-AA75-4B8D-8C0A-8F30AC625B67}"/>
    <hyperlink ref="L4" r:id="rId488" xr:uid="{B64DF853-3D20-438A-9BAD-BED6F80705A8}"/>
    <hyperlink ref="M4" r:id="rId489" display="TP174" xr:uid="{A6F96143-F58B-411F-821A-276EE1FAF975}"/>
    <hyperlink ref="N4" r:id="rId490" xr:uid="{38EA7C7F-62FC-4390-A6F1-BB25F6BC9035}"/>
    <hyperlink ref="O4" r:id="rId491" xr:uid="{42F01F71-A76A-442E-B514-52AD4A83A047}"/>
    <hyperlink ref="P4" r:id="rId492" xr:uid="{FC0BE70C-FB1D-4D4D-BA73-1E8FD210028D}"/>
    <hyperlink ref="Q4" r:id="rId493" xr:uid="{AD5C92AF-8222-4E71-A458-12D78CBA45E7}"/>
    <hyperlink ref="S4" r:id="rId494" xr:uid="{F63102EE-25C3-45F1-BE39-F98D87856EFF}"/>
    <hyperlink ref="T4" r:id="rId495" xr:uid="{41CA85E7-B2DA-49B1-A33C-2AE7DA43F12B}"/>
    <hyperlink ref="U4" r:id="rId496" xr:uid="{AA7394C6-AAD1-47C3-8A8D-7D3E2A5B82D3}"/>
    <hyperlink ref="V4" r:id="rId497" xr:uid="{11DD5F6F-BA0C-45C6-B78D-5DFC10C30AA6}"/>
    <hyperlink ref="W4" r:id="rId498" xr:uid="{F98255C1-12BE-45AC-98C1-8D2916631ACB}"/>
    <hyperlink ref="X4" r:id="rId499" xr:uid="{31472F5A-0097-49B8-AF14-53E18038300C}"/>
    <hyperlink ref="Z4" r:id="rId500" xr:uid="{958520A6-C2E0-4AFA-A87F-D2F2F31DC5BF}"/>
    <hyperlink ref="AA4" r:id="rId501" xr:uid="{60139982-3E4E-4DD1-9DB3-2E3B77E6A83F}"/>
    <hyperlink ref="AB4" r:id="rId502" xr:uid="{C01698A8-F65B-4DDD-9CE6-C1A2303ABF8B}"/>
    <hyperlink ref="AC4" r:id="rId503" xr:uid="{6B66FF49-5A64-48C3-A4E2-24B8956D0472}"/>
    <hyperlink ref="AD4" r:id="rId504" xr:uid="{E8BECE61-78F3-4FAD-BEC7-FC3EAB3109EC}"/>
    <hyperlink ref="D25" r:id="rId505" display="https://intranet.atlnz.lc/systest/Jira_Reports/testExecReport/jiraExecReport.php?testPlanKey=466&amp;projectKey=TQUALTCM&amp;Report=Report" xr:uid="{12C7B9E4-4406-49F9-85B5-03BAA80F2D4E}"/>
    <hyperlink ref="D26" r:id="rId506" display="https://intranet.atlnz.lc/systest/Jira_Reports/testExecReport/jiraExecReport.php?testPlanKey=467&amp;projectKey=TQUALTCM&amp;Report=Report" xr:uid="{D6106631-7131-4E7B-AD2A-9C9BA329514A}"/>
    <hyperlink ref="D39" r:id="rId507" display="https://intranet.atlnz.lc/systest/Jira_Reports/testExecReport/jiraExecReport.php?testPlanKey=547&amp;projectKey=TQUALTCM&amp;Report=Report" xr:uid="{30965190-FCDE-48FC-B232-F2EB41EAC4BB}"/>
    <hyperlink ref="AM39" r:id="rId508" xr:uid="{276F6608-CC51-4F79-9F8C-96CB02D86FBD}"/>
    <hyperlink ref="AL39" r:id="rId509" xr:uid="{CF44C1B6-2585-4492-ADCD-CB6A566E9D28}"/>
    <hyperlink ref="AK39" r:id="rId510" xr:uid="{A9BAAE3D-8F72-40FB-9FE0-99290ADEB9FE}"/>
    <hyperlink ref="AJ39" r:id="rId511" xr:uid="{97640A64-C9F1-4C79-8EAC-B7F0E17F7332}"/>
    <hyperlink ref="AH39" r:id="rId512" xr:uid="{B50C895E-4D7F-4C89-A35B-353B7CFB4C0B}"/>
    <hyperlink ref="L39" r:id="rId513" location="/testCycle/TQUALTCM-C2750" display="pass, 5/10/20" xr:uid="{1D185DF6-A8B7-42C1-9F1E-219B018898F3}"/>
    <hyperlink ref="Y42" r:id="rId514" xr:uid="{43C27AD7-6594-466C-9EAF-6E98B90817A1}"/>
    <hyperlink ref="Y44" r:id="rId515" xr:uid="{045E135D-BBCA-4A93-90E7-38FF0E10B883}"/>
    <hyperlink ref="Y46" r:id="rId516" xr:uid="{DB284976-00E8-4743-A6D8-EAD950EDB4BB}"/>
    <hyperlink ref="Y47" r:id="rId517" xr:uid="{8B845A38-8253-44AD-A3FE-B3508EE8BAEF}"/>
    <hyperlink ref="Y49" r:id="rId518" xr:uid="{E2EA7DA5-D5A6-4F9A-96FA-C2402D5195E5}"/>
    <hyperlink ref="Y52" r:id="rId519" xr:uid="{695148D1-90D0-4AB9-ADB6-0806F397420F}"/>
    <hyperlink ref="Y59" r:id="rId520" xr:uid="{96C7231A-FF75-42F9-8CEC-4D2326794C02}"/>
    <hyperlink ref="Y62" r:id="rId521" location="/reports/testresults/list/view?tql=testResult.projectKey%20IN%20('TQUALTCM')%20AND%20testRun.key%20IN%20('TQUALTCM-C3345')%20AND%20testRun.onlyLastTestResult%20IS%20false&amp;jql=&amp;title=REPORTS.TEST_RESULTS_ADVANCED.TITLE" xr:uid="{F3955648-F143-4489-ACF2-52E8D9CD8675}"/>
    <hyperlink ref="Y4" r:id="rId522" xr:uid="{EEF9F05A-51D5-4EB2-958E-F641A0B05DA1}"/>
    <hyperlink ref="D33" r:id="rId523" display="https://intranet.atlnz.lc/systest/Jira_Reports/testExecReport/jiraExecReport.php?testPlanKey=259&amp;projectKey=TQUALTCM&amp;Report=Report" xr:uid="{A59F22E7-4FA0-4DFF-B51A-95B9F99DED2B}"/>
    <hyperlink ref="AH33" r:id="rId524" location="/reports/testresults/list/view?tql=testResult.projectKey%20IN%20('TQUALTCM')%20AND%20testRun.key%20IN%20('TQUALTCM-C2408')%20AND%20testRun.onlyLastTestResult%20IS%20false&amp;jql=&amp;title=REPORTS.TEST_RESULTS_ADVANCED.TITLE" xr:uid="{39CC70F8-EB81-4DEC-A7BC-D9A0CAF0B0E9}"/>
    <hyperlink ref="AG33" r:id="rId525" location="/reports/testresults/list/view?tql=testResult.projectKey%20IN%20('TQUALTCM')%20AND%20testRun.key%20IN%20('TQUALTCM-C2408')%20AND%20testRun.onlyLastTestResult%20IS%20false&amp;jql=&amp;title=REPORTS.TEST_RESULTS_ADVANCED.TITLE" xr:uid="{A68AE7B0-26BA-4A6A-AEBB-696F15029F15}"/>
    <hyperlink ref="R4" r:id="rId526" xr:uid="{AACADA5E-19FD-4ABF-80C1-91ED1D1408F2}"/>
    <hyperlink ref="P32:Q32" r:id="rId527" location="/reports/testresults/list/view?tql=testResult.projectKey%20IN%20('TQUALTCM')%20AND%20testRun.key%20IN%20('TQUALTCM-C2405')%20AND%20testRun.onlyLastTestResult%20IS%20false&amp;jql=&amp;title=REPORTS.TEST_RESULTS_ADVANCED.TITLE" display="Fail_x000a_5.5.0-2.1" xr:uid="{1155A5FC-0DF8-47D1-ADC5-3B7066C4779A}"/>
    <hyperlink ref="D34" r:id="rId528" display="https://intranet.atlnz.lc/systest/Jira_Reports/testExecReport/jiraExecReport.php?testPlanKey=619&amp;projectKey=TQUALTCM&amp;Report=Report" xr:uid="{E820549B-5A74-440F-8B4A-55473CE51FC8}"/>
    <hyperlink ref="AM19" r:id="rId529" location="/reports/testresults/list/view?tql=testResult.projectKey%20IN%20('TQUALTCM')%20AND%20testRun.key%20IN%20('TQUALTCM-C1154')%20AND%20testRun.onlyLastTestResult%20IS%20false&amp;jql=&amp;title=REPORTS.TEST_RESULTS_ADVANCED.TITLE" xr:uid="{98EFA5C4-F6FA-4CB6-B2B6-30720938991E}"/>
    <hyperlink ref="AL19" r:id="rId530" location="/reports/testresults/list/view?tql=testResult.projectKey%20IN%20('TQUALTCM')%20AND%20testRun.key%20IN%20('TQUALTCM-C1153')%20AND%20testRun.onlyLastTestResult%20IS%20false&amp;jql=&amp;title=REPORTS.TEST_RESULTS_ADVANCED.TITLE" xr:uid="{5DC4150C-C842-4083-BDC8-0C6690ED06B3}"/>
    <hyperlink ref="AK19" r:id="rId531" location="/reports/testresults/list/view?tql=testResult.projectKey%20IN%20('TQUALTCM')%20AND%20testRun.key%20IN%20('TQUALTCM-C1000')%20AND%20testRun.onlyLastTestResult%20IS%20false&amp;jql=&amp;title=REPORTS.TEST_RESULTS_ADVANCED.TITLE" xr:uid="{1DD68FAE-3FB6-4B89-88CE-38DA3B4B5951}"/>
    <hyperlink ref="AJ19" r:id="rId532" location="/reports/testresults/list/view?tql=testResult.projectKey%20IN%20('TQUALTCM')%20AND%20testRun.key%20IN%20('TQUALTCM-C1152')%20AND%20testRun.onlyLastTestResult%20IS%20false&amp;jql=&amp;title=REPORTS.TEST_RESULTS_ADVANCED.TITLE" xr:uid="{A3F13ABA-4BF0-4A4A-83BF-885A2F4B34A7}"/>
    <hyperlink ref="AH19" r:id="rId533" location="/reports/testresults/list/view?tql=testResult.projectKey%20IN%20('TQUALTCM')%20AND%20testRun.key%20IN%20('TQUALTCM-C982')%20AND%20testRun.onlyLastTestResult%20IS%20false&amp;jql=&amp;title=REPORTS.TEST_RESULTS_ADVANCED.TITLE" xr:uid="{544CA03A-D23C-45BC-807F-B844B3A342D3}"/>
    <hyperlink ref="AG19" r:id="rId534" location="/reports/testresults/list/view?tql=testResult.projectKey%20IN%20('TQUALTCM')%20AND%20testRun.key%20IN%20('TQUALTCM-C980')%20AND%20testRun.onlyLastTestResult%20IS%20false&amp;jql=&amp;title=REPORTS.TEST_RESULTS_ADVANCED.TITLE" xr:uid="{6A337246-01E1-452D-8805-B3708044E36D}"/>
    <hyperlink ref="AF19" r:id="rId535" location="/reports/testresults/list/view?tql=testResult.projectKey%20IN%20('TQUALTCM')%20AND%20testRun.key%20IN%20('TQUALTCM-C978')%20AND%20testRun.onlyLastTestResult%20IS%20false&amp;jql=&amp;title=REPORTS.TEST_RESULTS_ADVANCED.TITLE" xr:uid="{C9EF11A2-4661-4DF3-9936-6CE6339A5E2C}"/>
    <hyperlink ref="AH17" r:id="rId536" location="/reports/testresults/list/view?tql=testResult.projectKey%20IN%20('TQUALTCM')%20AND%20testRun.key%20IN%20('TQUALTCM-C1030')%20AND%20testRun.onlyLastTestResult%20IS%20false&amp;jql=&amp;title=REPORTS.TEST_RESULTS_ADVANCED.TITLE" xr:uid="{49895805-A095-4FF4-A039-C53B5EA09DBC}"/>
    <hyperlink ref="AF17" r:id="rId537" location="/reports/testresults/list/view?tql=testResult.projectKey%20IN%20('TQUALTCM')%20AND%20testRun.key%20IN%20('TQUALTCM-C1026')%20AND%20testRun.onlyLastTestResult%20IS%20false&amp;jql=&amp;title=REPORTS.TEST_RESULTS_ADVANCED.TITLE" xr:uid="{00756B67-CB41-41F2-9503-07B8AC5DA850}"/>
  </hyperlinks>
  <pageMargins left="0.70833333333333304" right="0.70833333333333304" top="0.74791666666666701" bottom="0.74791666666666701" header="0.51180555555555496" footer="0.51180555555555496"/>
  <pageSetup paperSize="8" scale="43" firstPageNumber="0" orientation="landscape" horizontalDpi="300" verticalDpi="300" r:id="rId538"/>
  <legacyDrawing r:id="rId53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tabColor rgb="FFFFC000"/>
    <outlinePr summaryBelow="0"/>
  </sheetPr>
  <dimension ref="A1:Q15"/>
  <sheetViews>
    <sheetView zoomScaleNormal="100" workbookViewId="0">
      <selection activeCell="C7" sqref="C7"/>
    </sheetView>
  </sheetViews>
  <sheetFormatPr defaultColWidth="9.140625" defaultRowHeight="15" outlineLevelRow="1" outlineLevelCol="1"/>
  <cols>
    <col min="1" max="1" width="22.85546875" style="15" customWidth="1"/>
    <col min="2" max="2" width="9.140625" style="15"/>
    <col min="3" max="3" width="4.28515625" style="15" customWidth="1"/>
    <col min="4" max="6" width="19.5703125" style="15" customWidth="1" outlineLevel="1"/>
    <col min="7" max="7" width="6.28515625" style="15" customWidth="1"/>
    <col min="8" max="11" width="9.140625" style="15"/>
    <col min="13" max="17" width="9.140625" style="15"/>
  </cols>
  <sheetData>
    <row r="1" spans="1:17" ht="26.25">
      <c r="A1" s="16" t="s">
        <v>2048</v>
      </c>
      <c r="C1"/>
      <c r="D1" s="401"/>
      <c r="E1" s="401"/>
      <c r="F1" s="862"/>
      <c r="G1"/>
      <c r="H1"/>
      <c r="O1"/>
      <c r="P1"/>
      <c r="Q1"/>
    </row>
    <row r="2" spans="1:17" ht="15.75" customHeight="1" thickBot="1">
      <c r="A2" s="18"/>
      <c r="B2" s="402"/>
      <c r="C2" s="970"/>
      <c r="D2" s="334"/>
      <c r="E2" s="334"/>
      <c r="F2" s="971"/>
      <c r="G2" s="21"/>
    </row>
    <row r="3" spans="1:17" s="30" customFormat="1" ht="21.75" customHeight="1" collapsed="1" thickBot="1">
      <c r="A3" s="1" t="s">
        <v>185</v>
      </c>
      <c r="B3" s="1"/>
      <c r="C3" s="967"/>
      <c r="D3" s="969" t="s">
        <v>2265</v>
      </c>
      <c r="E3" s="969" t="s">
        <v>2447</v>
      </c>
      <c r="F3" s="969" t="s">
        <v>2298</v>
      </c>
      <c r="G3" s="994" t="s">
        <v>184</v>
      </c>
    </row>
    <row r="4" spans="1:17" s="30" customFormat="1" ht="15.75" hidden="1" customHeight="1" outlineLevel="1" thickBot="1">
      <c r="A4" s="1"/>
      <c r="B4" s="1"/>
      <c r="C4" s="967"/>
      <c r="D4" s="42" t="s">
        <v>2392</v>
      </c>
      <c r="E4" s="42"/>
      <c r="F4" s="42" t="s">
        <v>2322</v>
      </c>
      <c r="G4" s="995"/>
    </row>
    <row r="5" spans="1:17" s="30" customFormat="1" ht="39" hidden="1" customHeight="1" outlineLevel="1" thickBot="1">
      <c r="A5" s="1"/>
      <c r="B5" s="1"/>
      <c r="C5" s="967"/>
      <c r="D5" s="36" t="s">
        <v>223</v>
      </c>
      <c r="E5" s="36" t="s">
        <v>598</v>
      </c>
      <c r="F5" s="36" t="s">
        <v>223</v>
      </c>
      <c r="G5" s="995"/>
    </row>
    <row r="6" spans="1:17" s="30" customFormat="1" ht="31.5" hidden="1" customHeight="1" outlineLevel="1" thickBot="1">
      <c r="A6" s="1"/>
      <c r="B6" s="1"/>
      <c r="C6" s="966"/>
      <c r="D6" s="844" t="s">
        <v>2265</v>
      </c>
      <c r="E6" s="844" t="s">
        <v>2447</v>
      </c>
      <c r="F6" s="844" t="s">
        <v>2044</v>
      </c>
      <c r="G6" s="995"/>
    </row>
    <row r="7" spans="1:17" s="30" customFormat="1" ht="81" customHeight="1" collapsed="1" thickBot="1">
      <c r="A7" s="1"/>
      <c r="B7" s="1"/>
      <c r="C7" s="972" t="s">
        <v>2541</v>
      </c>
      <c r="D7" s="404" t="s">
        <v>2396</v>
      </c>
      <c r="E7" s="404" t="s">
        <v>2396</v>
      </c>
      <c r="F7" s="404" t="s">
        <v>2046</v>
      </c>
      <c r="G7" s="996"/>
    </row>
    <row r="8" spans="1:17" ht="26.25" customHeight="1">
      <c r="A8" s="58" t="str">
        <f>HYPERLINK("https://wiki.atlnz.lc/awpwiki/index.php/Qualification_Transceiver_Inventory#AT-SP25SR-I_A","AT-SP25SR/I_A")</f>
        <v>AT-SP25SR/I_A</v>
      </c>
      <c r="B8" s="405" t="s">
        <v>163</v>
      </c>
      <c r="C8" s="935">
        <v>457</v>
      </c>
      <c r="D8" s="845" t="s">
        <v>2393</v>
      </c>
      <c r="E8" s="845" t="s">
        <v>2393</v>
      </c>
      <c r="F8" s="845" t="s">
        <v>2318</v>
      </c>
      <c r="G8" s="45"/>
    </row>
    <row r="9" spans="1:17" ht="26.25" customHeight="1">
      <c r="A9" s="58" t="str">
        <f>HYPERLINK("https://wiki.atlnz.lc/awpwiki/index.php/Qualification_Transceiver_Inventory#AT-SP25LR-I_A","AT-SP25LR/I_A")</f>
        <v>AT-SP25LR/I_A</v>
      </c>
      <c r="B9" s="405" t="s">
        <v>163</v>
      </c>
      <c r="C9" s="935">
        <v>458</v>
      </c>
      <c r="D9" s="845" t="s">
        <v>2393</v>
      </c>
      <c r="E9" s="845" t="s">
        <v>2393</v>
      </c>
      <c r="F9" s="845" t="s">
        <v>2318</v>
      </c>
      <c r="G9" s="45"/>
    </row>
    <row r="10" spans="1:17" ht="26.25" customHeight="1">
      <c r="A10" s="58" t="str">
        <f>HYPERLINK("https://wiki.atlnz.lc/awpwiki/index.php/Qualification_Transceiver_Inventory#AT-SP25TW1","AT-SP25TW1")</f>
        <v>AT-SP25TW1</v>
      </c>
      <c r="B10" s="405" t="s">
        <v>2061</v>
      </c>
      <c r="C10" s="935">
        <v>459</v>
      </c>
      <c r="D10" s="845" t="s">
        <v>2393</v>
      </c>
      <c r="E10" s="845" t="s">
        <v>2393</v>
      </c>
      <c r="F10" s="845" t="s">
        <v>2318</v>
      </c>
      <c r="G10" s="45"/>
    </row>
    <row r="11" spans="1:17" ht="26.25" customHeight="1">
      <c r="A11" s="58" t="str">
        <f>HYPERLINK("https://wiki.atlnz.lc/awpwiki/index.php/Qualification_Transceiver_Inventory#AT-SP25TW3","AT-SP25TW3")</f>
        <v>AT-SP25TW3</v>
      </c>
      <c r="B11" s="405" t="s">
        <v>2061</v>
      </c>
      <c r="C11" s="935">
        <v>460</v>
      </c>
      <c r="D11" s="845" t="s">
        <v>2393</v>
      </c>
      <c r="E11" s="845" t="s">
        <v>2393</v>
      </c>
      <c r="F11" s="845" t="s">
        <v>2318</v>
      </c>
      <c r="G11" s="45"/>
    </row>
    <row r="12" spans="1:17" ht="25.5" customHeight="1">
      <c r="A12" s="58" t="str">
        <f>HYPERLINK("https://wiki.atlnz.lc/awpwiki/index.php/Qualification_Transceiver_Inventory#AT-SP25AOC7","AT-SP25AOC7")</f>
        <v>AT-SP25AOC7</v>
      </c>
      <c r="B12" s="405" t="s">
        <v>549</v>
      </c>
      <c r="C12" s="935">
        <v>461</v>
      </c>
      <c r="D12" s="845" t="s">
        <v>2394</v>
      </c>
      <c r="E12" s="845" t="s">
        <v>2394</v>
      </c>
      <c r="F12" s="845" t="s">
        <v>2318</v>
      </c>
      <c r="G12" s="45"/>
    </row>
    <row r="13" spans="1:17" ht="18.75" customHeight="1" collapsed="1">
      <c r="A13" s="378" t="s">
        <v>524</v>
      </c>
      <c r="B13" s="379"/>
      <c r="C13" s="100"/>
      <c r="D13" s="379"/>
      <c r="E13" s="379"/>
      <c r="F13" s="379"/>
      <c r="G13" s="45"/>
    </row>
    <row r="14" spans="1:17" ht="26.25" hidden="1" customHeight="1" outlineLevel="1">
      <c r="A14" s="58" t="str">
        <f>HYPERLINK("https://wiki.atlnz.lc/awpwiki/index.php/Qualification_Transceiver_Inventory#AT-SP25SR-I","AT-SP25SR/I")</f>
        <v>AT-SP25SR/I</v>
      </c>
      <c r="B14" s="405" t="s">
        <v>483</v>
      </c>
      <c r="C14" s="935">
        <v>457</v>
      </c>
      <c r="D14" s="845"/>
      <c r="E14" s="845"/>
      <c r="F14" s="845" t="s">
        <v>2043</v>
      </c>
      <c r="G14" s="45"/>
    </row>
    <row r="15" spans="1:17" ht="26.25" hidden="1" customHeight="1" outlineLevel="1">
      <c r="A15" s="58" t="str">
        <f>HYPERLINK("https://wiki.atlnz.lc/awpwiki/index.php/Qualification_Transceiver_Inventory#AT-SP25LR-I","AT-SP25LR/I")</f>
        <v>AT-SP25LR/I</v>
      </c>
      <c r="B15" s="405" t="s">
        <v>483</v>
      </c>
      <c r="C15" s="935">
        <v>458</v>
      </c>
      <c r="D15" s="845"/>
      <c r="E15" s="845"/>
      <c r="F15" s="845" t="s">
        <v>2043</v>
      </c>
      <c r="G15" s="45"/>
    </row>
  </sheetData>
  <mergeCells count="2">
    <mergeCell ref="A3:B7"/>
    <mergeCell ref="G3:G7"/>
  </mergeCells>
  <phoneticPr fontId="64" type="noConversion"/>
  <conditionalFormatting sqref="G1:G3 G8:G65451">
    <cfRule type="expression" dxfId="1834" priority="4">
      <formula>NOT(ISERROR(SEARCH("fail,",G1)))</formula>
    </cfRule>
  </conditionalFormatting>
  <hyperlinks>
    <hyperlink ref="C9" r:id="rId1" display="https://intranet.atlnz.lc/systest/Jira_Reports/testExecReport/jiraExecReport.php?testPlanKey=458&amp;projectKey=TQUALTCM&amp;Report=Report" xr:uid="{00000000-0004-0000-0400-000000000000}"/>
    <hyperlink ref="C8" r:id="rId2" display="https://intranet.atlnz.lc/systest/Jira_Reports/testExecReport/jiraExecReport.php?testPlanKey=457&amp;projectKey=TQUALTCM&amp;Report=Report" xr:uid="{00000000-0004-0000-0400-000001000000}"/>
    <hyperlink ref="C10" r:id="rId3" display="459" xr:uid="{00000000-0004-0000-0400-000002000000}"/>
    <hyperlink ref="C11:C12" r:id="rId4" display="459" xr:uid="{00000000-0004-0000-0400-000004000000}"/>
    <hyperlink ref="C11" r:id="rId5" display="https://intranet.atlnz.lc/systest/Jira_Reports/testExecReport/jiraExecReport.php?testPlanKey=460&amp;projectKey=TQUALTCM&amp;Report=Report" xr:uid="{00000000-0004-0000-0400-000005000000}"/>
    <hyperlink ref="C12" r:id="rId6" display="https://intranet.atlnz.lc/systest/Jira_Reports/testExecReport/jiraExecReport.php?testPlanKey=461&amp;projectKey=TQUALTCM&amp;Report=Report" xr:uid="{00000000-0004-0000-0400-000006000000}"/>
    <hyperlink ref="C15" r:id="rId7" display="https://intranet.atlnz.lc/systest/Jira_Reports/testExecReport/jiraExecReport.php?testPlanKey=458&amp;projectKey=TQUALTCM&amp;Report=Report" xr:uid="{6B83609E-6C88-4D93-9479-D803EF81504E}"/>
    <hyperlink ref="C14" r:id="rId8" display="https://intranet.atlnz.lc/systest/Jira_Reports/testExecReport/jiraExecReport.php?testPlanKey=457&amp;projectKey=TQUALTCM&amp;Report=Report" xr:uid="{199865AF-F4DA-46AA-85BB-6E18E3BEFBC0}"/>
    <hyperlink ref="D4" r:id="rId9" xr:uid="{9EAE97A2-12EA-4201-BF59-CB4A4AEF7901}"/>
    <hyperlink ref="F4" r:id="rId10" xr:uid="{00000000-0004-0000-0400-000003000000}"/>
  </hyperlinks>
  <pageMargins left="0.7" right="0.7" top="0.75" bottom="0.75" header="0.51180555555555496" footer="0.51180555555555496"/>
  <pageSetup paperSize="9" firstPageNumber="0" orientation="portrait" horizontalDpi="300" verticalDpi="300"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5">
    <tabColor rgb="FFFFC000"/>
  </sheetPr>
  <dimension ref="A1:O10"/>
  <sheetViews>
    <sheetView zoomScaleNormal="100" workbookViewId="0">
      <selection activeCell="D22" sqref="D22"/>
    </sheetView>
  </sheetViews>
  <sheetFormatPr defaultColWidth="9.140625" defaultRowHeight="15" outlineLevelRow="1" outlineLevelCol="1"/>
  <cols>
    <col min="1" max="1" width="22.85546875" style="15" customWidth="1"/>
    <col min="2" max="2" width="9.140625" style="15"/>
    <col min="3" max="3" width="4.28515625" style="15" customWidth="1"/>
    <col min="4" max="4" width="19.5703125" style="15" customWidth="1" outlineLevel="1"/>
    <col min="5" max="5" width="6.28515625" style="15" customWidth="1"/>
    <col min="6" max="9" width="9.140625" style="15"/>
    <col min="11" max="15" width="9.140625" style="15"/>
  </cols>
  <sheetData>
    <row r="1" spans="1:15" ht="26.25">
      <c r="A1" s="16" t="s">
        <v>2049</v>
      </c>
      <c r="C1"/>
      <c r="D1" s="862" t="s">
        <v>2060</v>
      </c>
      <c r="E1"/>
      <c r="F1"/>
      <c r="M1"/>
      <c r="N1"/>
      <c r="O1"/>
    </row>
    <row r="2" spans="1:15" ht="15.75" customHeight="1" thickBot="1">
      <c r="A2" s="18"/>
      <c r="B2" s="402"/>
      <c r="C2" s="998"/>
      <c r="D2" s="999"/>
      <c r="E2" s="21"/>
    </row>
    <row r="3" spans="1:15" s="30" customFormat="1" ht="21.75" customHeight="1" thickBot="1">
      <c r="A3" s="1" t="s">
        <v>185</v>
      </c>
      <c r="B3" s="1"/>
      <c r="C3" s="997" t="s">
        <v>2540</v>
      </c>
      <c r="D3" s="403" t="s">
        <v>2038</v>
      </c>
      <c r="E3" s="994" t="s">
        <v>184</v>
      </c>
    </row>
    <row r="4" spans="1:15" s="30" customFormat="1" ht="15.75" hidden="1" customHeight="1" outlineLevel="1" thickBot="1">
      <c r="A4" s="1"/>
      <c r="B4" s="1"/>
      <c r="C4" s="997"/>
      <c r="D4" s="36" t="s">
        <v>2045</v>
      </c>
      <c r="E4" s="995"/>
    </row>
    <row r="5" spans="1:15" s="30" customFormat="1" ht="31.5" hidden="1" customHeight="1" outlineLevel="1" thickBot="1">
      <c r="A5" s="1"/>
      <c r="B5" s="1"/>
      <c r="C5" s="997"/>
      <c r="D5" s="36" t="s">
        <v>223</v>
      </c>
      <c r="E5" s="995"/>
    </row>
    <row r="6" spans="1:15" s="30" customFormat="1" ht="31.5" hidden="1" customHeight="1" outlineLevel="1" thickBot="1">
      <c r="A6" s="1"/>
      <c r="B6" s="1"/>
      <c r="C6" s="997"/>
      <c r="D6" s="844" t="s">
        <v>2044</v>
      </c>
      <c r="E6" s="995"/>
    </row>
    <row r="7" spans="1:15" s="30" customFormat="1" ht="67.5" customHeight="1" collapsed="1" thickBot="1">
      <c r="A7" s="1"/>
      <c r="B7" s="1"/>
      <c r="C7" s="997"/>
      <c r="D7" s="404" t="s">
        <v>2059</v>
      </c>
      <c r="E7" s="996"/>
    </row>
    <row r="8" spans="1:15" ht="25.5">
      <c r="A8" s="58" t="str">
        <f>HYPERLINK("https://wiki.atlnz.lc/awpwiki/index.php/Qualification_Transceiver_Inventory#AT-SFP50TW1","AT-SFP50TW1")</f>
        <v>AT-SFP50TW1</v>
      </c>
      <c r="B8" s="405" t="s">
        <v>2061</v>
      </c>
      <c r="C8" s="935">
        <v>464</v>
      </c>
      <c r="D8" s="845" t="s">
        <v>2043</v>
      </c>
      <c r="E8" s="45"/>
    </row>
    <row r="9" spans="1:15" ht="25.5">
      <c r="A9" s="58" t="str">
        <f>HYPERLINK("https://wiki.atlnz.lc/awpwiki/index.php/Qualification_Transceiver_Inventory#AT-SFP50TW3","AT-SFP50TW3")</f>
        <v>AT-SFP50TW3</v>
      </c>
      <c r="B9" s="405" t="s">
        <v>506</v>
      </c>
      <c r="C9" s="935">
        <v>465</v>
      </c>
      <c r="D9" s="845" t="s">
        <v>2043</v>
      </c>
      <c r="E9" s="45"/>
    </row>
    <row r="10" spans="1:15" ht="25.5">
      <c r="A10" s="58" t="str">
        <f>HYPERLINK("https://wiki.atlnz.lc/awpwiki/index.php/Qualification_Transceiver_Inventory#AT-SFP50SR","AT-SFP50SR")</f>
        <v>AT-SFP50SR</v>
      </c>
      <c r="B10" s="405" t="s">
        <v>549</v>
      </c>
      <c r="C10" s="935">
        <v>479</v>
      </c>
      <c r="D10" s="845" t="s">
        <v>2043</v>
      </c>
      <c r="E10" s="45"/>
    </row>
  </sheetData>
  <mergeCells count="4">
    <mergeCell ref="A3:B7"/>
    <mergeCell ref="C3:C7"/>
    <mergeCell ref="E3:E7"/>
    <mergeCell ref="C2:D2"/>
  </mergeCells>
  <conditionalFormatting sqref="E1:E3 E8:E65449">
    <cfRule type="expression" dxfId="1833" priority="1">
      <formula>NOT(ISERROR(SEARCH("fail,",E1)))</formula>
    </cfRule>
  </conditionalFormatting>
  <hyperlinks>
    <hyperlink ref="C8" r:id="rId1" display="464" xr:uid="{00000000-0004-0000-0500-000000000000}"/>
    <hyperlink ref="C10" r:id="rId2" display="479" xr:uid="{00000000-0004-0000-0500-000001000000}"/>
    <hyperlink ref="D4" r:id="rId3" xr:uid="{00000000-0004-0000-0500-000003000000}"/>
    <hyperlink ref="C9" r:id="rId4" display="https://intranet.atlnz.lc/systest/Jira_Reports/testExecReport/jiraExecReport.php?testPlanKey=465&amp;projectKey=TQUALTCM&amp;Report=Report" xr:uid="{00000000-0004-0000-0500-000004000000}"/>
  </hyperlinks>
  <pageMargins left="0.7" right="0.7" top="0.75" bottom="0.75" header="0.51180555555555496" footer="0.51180555555555496"/>
  <pageSetup paperSize="9" firstPageNumber="0" orientation="portrait" horizontalDpi="300" verticalDpi="300"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tabColor rgb="FF808000"/>
    <outlinePr summaryBelow="0"/>
    <pageSetUpPr fitToPage="1"/>
  </sheetPr>
  <dimension ref="A1:X103"/>
  <sheetViews>
    <sheetView zoomScaleNormal="100" workbookViewId="0">
      <pane xSplit="4" ySplit="7" topLeftCell="F14" activePane="bottomRight" state="frozen"/>
      <selection pane="topRight" activeCell="E1" sqref="E1"/>
      <selection pane="bottomLeft" activeCell="A14" sqref="A14"/>
      <selection pane="bottomRight" activeCell="C36" sqref="C36"/>
    </sheetView>
  </sheetViews>
  <sheetFormatPr defaultColWidth="9.140625" defaultRowHeight="15" outlineLevelRow="1" outlineLevelCol="1"/>
  <cols>
    <col min="1" max="1" width="22.28515625" style="15" customWidth="1"/>
    <col min="2" max="3" width="5.85546875" style="15" customWidth="1"/>
    <col min="4" max="4" width="5.140625" style="15" customWidth="1"/>
    <col min="5" max="6" width="15.85546875" style="15" customWidth="1" outlineLevel="1"/>
    <col min="7" max="7" width="12.85546875" style="15" customWidth="1" outlineLevel="1"/>
    <col min="8" max="8" width="15" style="15" customWidth="1" outlineLevel="1"/>
    <col min="9" max="9" width="12.85546875" style="15" customWidth="1" outlineLevel="1"/>
    <col min="10" max="11" width="16.85546875" style="15" customWidth="1" outlineLevel="1"/>
    <col min="12" max="12" width="12.85546875" style="15" customWidth="1" outlineLevel="1"/>
    <col min="13" max="13" width="6.28515625" style="15" customWidth="1"/>
    <col min="14" max="14" width="12.5703125" style="15" hidden="1" customWidth="1" outlineLevel="1"/>
    <col min="15" max="15" width="12.85546875" style="15" customWidth="1" collapsed="1"/>
    <col min="16" max="18" width="12.5703125" style="15" customWidth="1"/>
    <col min="19" max="19" width="12" customWidth="1"/>
    <col min="20" max="24" width="12" style="15" customWidth="1"/>
  </cols>
  <sheetData>
    <row r="1" spans="1:24" ht="18">
      <c r="A1" s="16" t="s">
        <v>550</v>
      </c>
      <c r="D1"/>
      <c r="E1"/>
      <c r="F1"/>
      <c r="G1"/>
      <c r="H1"/>
      <c r="I1"/>
      <c r="J1"/>
      <c r="K1"/>
      <c r="L1"/>
      <c r="M1"/>
      <c r="N1"/>
      <c r="O1"/>
      <c r="V1"/>
      <c r="W1"/>
      <c r="X1"/>
    </row>
    <row r="2" spans="1:24" ht="15.75" customHeight="1" thickBot="1">
      <c r="A2" s="18"/>
      <c r="B2" s="402"/>
      <c r="C2" s="402"/>
      <c r="D2" s="406"/>
      <c r="E2" s="406"/>
      <c r="F2" s="406"/>
      <c r="G2" s="406"/>
      <c r="H2" s="406"/>
      <c r="I2" s="406"/>
      <c r="J2" s="406"/>
      <c r="K2" s="406"/>
      <c r="L2" s="406"/>
      <c r="M2" s="21"/>
      <c r="N2" s="21"/>
    </row>
    <row r="3" spans="1:24" s="30" customFormat="1" ht="32.25" customHeight="1" collapsed="1" thickBot="1">
      <c r="A3" s="1000" t="s">
        <v>185</v>
      </c>
      <c r="B3" s="1001"/>
      <c r="C3" s="1002"/>
      <c r="D3" s="1009" t="s">
        <v>2541</v>
      </c>
      <c r="E3" s="407" t="s">
        <v>191</v>
      </c>
      <c r="F3" s="407" t="s">
        <v>2265</v>
      </c>
      <c r="G3" s="407" t="s">
        <v>51</v>
      </c>
      <c r="H3" s="1010" t="s">
        <v>192</v>
      </c>
      <c r="I3" s="1010"/>
      <c r="J3" s="407" t="s">
        <v>2323</v>
      </c>
      <c r="K3" s="407" t="s">
        <v>2324</v>
      </c>
      <c r="L3" s="407" t="s">
        <v>47</v>
      </c>
      <c r="M3" s="1011" t="s">
        <v>184</v>
      </c>
      <c r="N3" s="408" t="s">
        <v>195</v>
      </c>
    </row>
    <row r="4" spans="1:24" s="30" customFormat="1" ht="13.5" hidden="1" customHeight="1" outlineLevel="1" thickBot="1">
      <c r="A4" s="1003"/>
      <c r="B4" s="1004"/>
      <c r="C4" s="1005"/>
      <c r="D4" s="1009"/>
      <c r="E4" s="42" t="s">
        <v>551</v>
      </c>
      <c r="F4" s="42" t="s">
        <v>2399</v>
      </c>
      <c r="G4" s="42" t="s">
        <v>552</v>
      </c>
      <c r="H4" s="42" t="s">
        <v>2212</v>
      </c>
      <c r="I4" s="42" t="s">
        <v>553</v>
      </c>
      <c r="J4" s="42" t="s">
        <v>554</v>
      </c>
      <c r="K4" s="42" t="s">
        <v>2530</v>
      </c>
      <c r="L4" s="42" t="s">
        <v>555</v>
      </c>
      <c r="M4" s="1011"/>
      <c r="N4" s="409" t="s">
        <v>556</v>
      </c>
    </row>
    <row r="5" spans="1:24" s="30" customFormat="1" ht="40.5" hidden="1" customHeight="1" outlineLevel="1" thickBot="1">
      <c r="A5" s="1003"/>
      <c r="B5" s="1004"/>
      <c r="C5" s="1005"/>
      <c r="D5" s="1009"/>
      <c r="E5" s="36" t="s">
        <v>223</v>
      </c>
      <c r="F5" s="36" t="s">
        <v>223</v>
      </c>
      <c r="G5" s="36" t="s">
        <v>223</v>
      </c>
      <c r="H5" s="36" t="s">
        <v>223</v>
      </c>
      <c r="I5" s="36" t="s">
        <v>223</v>
      </c>
      <c r="J5" s="36" t="s">
        <v>223</v>
      </c>
      <c r="K5" s="36" t="s">
        <v>2320</v>
      </c>
      <c r="L5" s="36" t="s">
        <v>103</v>
      </c>
      <c r="M5" s="1011"/>
      <c r="N5" s="409" t="s">
        <v>103</v>
      </c>
    </row>
    <row r="6" spans="1:24" s="30" customFormat="1" ht="28.5" hidden="1" customHeight="1" outlineLevel="1" thickBot="1">
      <c r="A6" s="1003"/>
      <c r="B6" s="1004"/>
      <c r="C6" s="1005"/>
      <c r="D6" s="1009"/>
      <c r="E6" s="36" t="s">
        <v>191</v>
      </c>
      <c r="F6" s="36" t="s">
        <v>2265</v>
      </c>
      <c r="G6" s="36" t="s">
        <v>51</v>
      </c>
      <c r="H6" s="31" t="s">
        <v>231</v>
      </c>
      <c r="I6" s="31" t="s">
        <v>231</v>
      </c>
      <c r="J6" s="31" t="s">
        <v>231</v>
      </c>
      <c r="K6" s="31" t="s">
        <v>2324</v>
      </c>
      <c r="L6" s="31" t="s">
        <v>106</v>
      </c>
      <c r="M6" s="1011"/>
      <c r="N6" s="33" t="s">
        <v>233</v>
      </c>
    </row>
    <row r="7" spans="1:24" s="30" customFormat="1" ht="93.75" customHeight="1" thickBot="1">
      <c r="A7" s="1006"/>
      <c r="B7" s="1007"/>
      <c r="C7" s="1008"/>
      <c r="D7" s="1009"/>
      <c r="E7" s="36" t="s">
        <v>557</v>
      </c>
      <c r="F7" s="404" t="s">
        <v>2400</v>
      </c>
      <c r="G7" s="36" t="s">
        <v>558</v>
      </c>
      <c r="H7" s="36" t="s">
        <v>559</v>
      </c>
      <c r="I7" s="36" t="s">
        <v>560</v>
      </c>
      <c r="J7" s="36" t="s">
        <v>561</v>
      </c>
      <c r="K7" s="36" t="s">
        <v>2328</v>
      </c>
      <c r="L7" s="36" t="s">
        <v>562</v>
      </c>
      <c r="M7" s="1011"/>
      <c r="N7" s="409" t="s">
        <v>563</v>
      </c>
    </row>
    <row r="8" spans="1:24" ht="30">
      <c r="A8" s="39" t="str">
        <f>HYPERLINK("https://wiki.atlnz.lc/awpwiki/index.php/Qualification_Transceiver_Inventory#AT-QSFP1CU","AT-QSFP1CU")</f>
        <v>AT-QSFP1CU</v>
      </c>
      <c r="B8" s="859" t="s">
        <v>197</v>
      </c>
      <c r="C8" s="859"/>
      <c r="D8" s="42">
        <v>65</v>
      </c>
      <c r="E8" s="410" t="s">
        <v>564</v>
      </c>
      <c r="F8" s="956" t="s">
        <v>2393</v>
      </c>
      <c r="G8" s="410" t="s">
        <v>565</v>
      </c>
      <c r="H8" s="411" t="str">
        <f>HYPERLINK("https://intranet.atlnz.lc/systest/Reports/TestLink/SuiteExecC.php?plan=486616&amp;rep=F&amp;platform=1109","Pass, Oct'17")</f>
        <v>Pass, Oct'17</v>
      </c>
      <c r="I8" s="410" t="s">
        <v>566</v>
      </c>
      <c r="J8" s="410" t="s">
        <v>567</v>
      </c>
      <c r="K8" s="881" t="s">
        <v>2378</v>
      </c>
      <c r="L8" s="412" t="s">
        <v>568</v>
      </c>
      <c r="M8" s="413"/>
      <c r="N8" s="162" t="s">
        <v>165</v>
      </c>
    </row>
    <row r="9" spans="1:24" ht="30">
      <c r="A9" s="58" t="str">
        <f>HYPERLINK("https://wiki.atlnz.lc/awpwiki/index.php/Qualification_Transceiver_Inventory#AT-QSFP3CU","AT-QSFP3CU")</f>
        <v>AT-QSFP3CU</v>
      </c>
      <c r="B9" s="858" t="s">
        <v>197</v>
      </c>
      <c r="C9" s="858"/>
      <c r="D9" s="42">
        <v>66</v>
      </c>
      <c r="E9" s="415" t="s">
        <v>564</v>
      </c>
      <c r="F9" s="956" t="s">
        <v>2393</v>
      </c>
      <c r="G9" s="162" t="s">
        <v>165</v>
      </c>
      <c r="H9" s="416" t="str">
        <f>HYPERLINK("https://intranet.atlnz.lc/systest/Reports/TestLink/SuiteExecC.php?plan=486616&amp;rep=F&amp;platform=1110","Pass, Oct'17")</f>
        <v>Pass, Oct'17</v>
      </c>
      <c r="I9" s="415" t="s">
        <v>566</v>
      </c>
      <c r="J9" s="415" t="s">
        <v>567</v>
      </c>
      <c r="K9" s="881" t="s">
        <v>2378</v>
      </c>
      <c r="L9" s="417" t="s">
        <v>568</v>
      </c>
      <c r="M9" s="45"/>
      <c r="N9" s="162" t="s">
        <v>165</v>
      </c>
    </row>
    <row r="10" spans="1:24" ht="25.5">
      <c r="A10" s="58" t="str">
        <f>HYPERLINK("https://wiki.atlnz.lc/awpwiki/index.php/Qualification_Transceiver_Inventory#AT-QSFP-4SFP10G-3CU","AT-QSFP-4SFP10G-3CU")</f>
        <v>AT-QSFP-4SFP10G-3CU</v>
      </c>
      <c r="B10" s="858" t="s">
        <v>324</v>
      </c>
      <c r="C10" s="858"/>
      <c r="D10" s="42">
        <v>67</v>
      </c>
      <c r="E10" s="415" t="s">
        <v>569</v>
      </c>
      <c r="F10" s="956" t="s">
        <v>2393</v>
      </c>
      <c r="G10" s="415" t="s">
        <v>570</v>
      </c>
      <c r="H10" s="416" t="str">
        <f>HYPERLINK("https://intranet.atlnz.lc/systest/Reports/TestLink/SuiteExecC.php?plan=486616&amp;rep=F&amp;platform=700","Pass, Oct'17")</f>
        <v>Pass, Oct'17</v>
      </c>
      <c r="I10" s="419" t="s">
        <v>2053</v>
      </c>
      <c r="J10" s="162" t="s">
        <v>165</v>
      </c>
      <c r="K10" s="162" t="s">
        <v>165</v>
      </c>
      <c r="L10" s="162" t="s">
        <v>165</v>
      </c>
      <c r="M10" s="45"/>
      <c r="N10" s="162" t="s">
        <v>165</v>
      </c>
    </row>
    <row r="11" spans="1:24" ht="25.5">
      <c r="A11" s="58" t="str">
        <f>HYPERLINK("https://wiki.atlnz.lc/awpwiki/index.php/Qualification_Transceiver_Inventory#AT-QSFP-4SFP10G-5CU","AT-QSFP-4SFP10G-5CU")</f>
        <v>AT-QSFP-4SFP10G-5CU</v>
      </c>
      <c r="B11" s="858" t="s">
        <v>324</v>
      </c>
      <c r="C11" s="858"/>
      <c r="D11" s="42">
        <v>68</v>
      </c>
      <c r="E11" s="415" t="s">
        <v>569</v>
      </c>
      <c r="F11" s="956" t="s">
        <v>2393</v>
      </c>
      <c r="G11" s="415" t="s">
        <v>276</v>
      </c>
      <c r="H11" s="416" t="str">
        <f>HYPERLINK("https://intranet.atlnz.lc/systest/Reports/TestLink/SuiteExecC.php?plan=486616&amp;rep=F&amp;platform=1198","Pass, Oct'17")</f>
        <v>Pass, Oct'17</v>
      </c>
      <c r="I11" s="419" t="s">
        <v>2053</v>
      </c>
      <c r="J11" s="162" t="s">
        <v>165</v>
      </c>
      <c r="K11" s="162" t="s">
        <v>165</v>
      </c>
      <c r="L11" s="162" t="s">
        <v>165</v>
      </c>
      <c r="M11" s="45"/>
      <c r="N11" s="162" t="s">
        <v>165</v>
      </c>
    </row>
    <row r="12" spans="1:24" ht="30">
      <c r="A12" s="58" t="str">
        <f>HYPERLINK("https://wiki.atlnz.lc/awpwiki/index.php/Qualification_Transceiver_Inventory#AT-QSFPER4","AT-QSFPER4")</f>
        <v>AT-QSFPER4</v>
      </c>
      <c r="B12" s="858" t="s">
        <v>487</v>
      </c>
      <c r="C12" s="858" t="s">
        <v>161</v>
      </c>
      <c r="D12" s="42">
        <v>59</v>
      </c>
      <c r="E12" s="415" t="s">
        <v>572</v>
      </c>
      <c r="F12" s="956" t="s">
        <v>2393</v>
      </c>
      <c r="G12" s="415" t="s">
        <v>573</v>
      </c>
      <c r="H12" s="416" t="str">
        <f>HYPERLINK("https://intranet.atlnz.lc/systest/Reports/TestLink/SuiteExecC.php?plan=486616&amp;rep=F&amp;platform=1273","Pass, Oct'17")</f>
        <v>Pass, Oct'17</v>
      </c>
      <c r="I12" s="415" t="s">
        <v>566</v>
      </c>
      <c r="J12" s="415" t="s">
        <v>572</v>
      </c>
      <c r="K12" s="881" t="s">
        <v>2378</v>
      </c>
      <c r="L12" s="417" t="s">
        <v>572</v>
      </c>
      <c r="M12" s="45"/>
      <c r="N12" s="162" t="s">
        <v>165</v>
      </c>
    </row>
    <row r="13" spans="1:24" ht="30">
      <c r="A13" s="58" t="str">
        <f>HYPERLINK("https://wiki.atlnz.lc/awpwiki/index.php/Qualification_Transceiver_Inventory#AT-QSFPLR4_B","AT-QSFPLR4")</f>
        <v>AT-QSFPLR4</v>
      </c>
      <c r="B13" s="858" t="s">
        <v>161</v>
      </c>
      <c r="C13" s="858" t="s">
        <v>307</v>
      </c>
      <c r="D13" s="42">
        <v>60</v>
      </c>
      <c r="E13" s="857" t="s">
        <v>298</v>
      </c>
      <c r="F13" s="956" t="s">
        <v>2393</v>
      </c>
      <c r="G13" s="419" t="s">
        <v>2294</v>
      </c>
      <c r="H13" s="929" t="s">
        <v>2297</v>
      </c>
      <c r="I13" s="419" t="s">
        <v>2053</v>
      </c>
      <c r="J13" s="419" t="s">
        <v>2296</v>
      </c>
      <c r="K13" s="881" t="s">
        <v>2378</v>
      </c>
      <c r="L13" s="928" t="s">
        <v>2295</v>
      </c>
      <c r="M13" s="45"/>
      <c r="N13" s="418" t="s">
        <v>572</v>
      </c>
    </row>
    <row r="14" spans="1:24" ht="30" customHeight="1">
      <c r="A14" s="86" t="str">
        <f>HYPERLINK("https://wiki.atlnz.lc/awpwiki/index.php/Qualification_Transceiver_Inventory#AT-QSFPLR4_D","AT-QSFPLR4")</f>
        <v>AT-QSFPLR4</v>
      </c>
      <c r="B14" s="860" t="s">
        <v>2293</v>
      </c>
      <c r="C14" s="860" t="s">
        <v>324</v>
      </c>
      <c r="D14" s="42">
        <v>473</v>
      </c>
      <c r="E14" s="936" t="s">
        <v>2327</v>
      </c>
      <c r="F14" s="956" t="s">
        <v>2393</v>
      </c>
      <c r="G14" s="936" t="s">
        <v>2326</v>
      </c>
      <c r="H14" s="936" t="s">
        <v>2326</v>
      </c>
      <c r="I14" s="936" t="s">
        <v>2326</v>
      </c>
      <c r="J14" s="936" t="s">
        <v>2326</v>
      </c>
      <c r="K14" s="936" t="s">
        <v>2378</v>
      </c>
      <c r="L14" s="936" t="s">
        <v>596</v>
      </c>
      <c r="M14" s="90"/>
      <c r="N14" s="207" t="s">
        <v>319</v>
      </c>
    </row>
    <row r="15" spans="1:24" ht="30">
      <c r="A15" s="58" t="str">
        <f>HYPERLINK("https://wiki.atlnz.lc/awpwiki/index.php/Qualification_Transceiver_Inventory#AT-QSFPSR","AT-QSFPSR")</f>
        <v>AT-QSFPSR</v>
      </c>
      <c r="B15" s="858" t="s">
        <v>163</v>
      </c>
      <c r="C15" s="858"/>
      <c r="D15" s="42">
        <v>61</v>
      </c>
      <c r="E15" s="415" t="s">
        <v>564</v>
      </c>
      <c r="F15" s="956" t="s">
        <v>2393</v>
      </c>
      <c r="G15" s="415" t="s">
        <v>565</v>
      </c>
      <c r="H15" s="416" t="str">
        <f>HYPERLINK("https://intranet.atlnz.lc/systest/Reports/TestLink/SuiteExecC.php?plan=486616&amp;rep=F&amp;platform=696","Pass, Oct'17")</f>
        <v>Pass, Oct'17</v>
      </c>
      <c r="I15" s="415" t="s">
        <v>571</v>
      </c>
      <c r="J15" s="415" t="s">
        <v>567</v>
      </c>
      <c r="K15" s="881" t="s">
        <v>2378</v>
      </c>
      <c r="L15" s="417" t="s">
        <v>568</v>
      </c>
      <c r="M15" s="45"/>
      <c r="N15" s="162" t="s">
        <v>165</v>
      </c>
    </row>
    <row r="16" spans="1:24" ht="30">
      <c r="A16" s="58" t="str">
        <f>HYPERLINK("https://wiki.atlnz.lc/awpwiki/index.php/Qualification_Transceiver_Inventory#AT-QSFPSR4_B","AT-QSFPSR4")</f>
        <v>AT-QSFPSR4</v>
      </c>
      <c r="B16" s="858" t="s">
        <v>161</v>
      </c>
      <c r="C16" s="858"/>
      <c r="D16" s="42">
        <v>62</v>
      </c>
      <c r="E16" s="415" t="s">
        <v>564</v>
      </c>
      <c r="F16" s="956" t="s">
        <v>2393</v>
      </c>
      <c r="G16" s="415" t="s">
        <v>525</v>
      </c>
      <c r="H16" s="880" t="str">
        <f>HYPERLINK("https://intranet.atlnz.lc/systest/Reports/TestLink/SuiteExecC.php?plan=486616&amp;rep=F&amp;platform=697","Pass, Oct'17")</f>
        <v>Pass, Oct'17</v>
      </c>
      <c r="I16" s="415" t="s">
        <v>566</v>
      </c>
      <c r="J16" s="415" t="s">
        <v>567</v>
      </c>
      <c r="K16" s="881" t="s">
        <v>2378</v>
      </c>
      <c r="L16" s="417" t="s">
        <v>568</v>
      </c>
      <c r="M16" s="45"/>
      <c r="N16" s="418" t="s">
        <v>526</v>
      </c>
    </row>
    <row r="17" spans="1:24" ht="30">
      <c r="A17" s="58" t="str">
        <f>HYPERLINK("https://wiki.atlnz.lc/awpwiki/index.php/Qualification_Transceiver_Inventory#AT-QSFPSR4_C","AT-QSFPSR4")</f>
        <v>AT-QSFPSR4</v>
      </c>
      <c r="B17" s="858" t="s">
        <v>307</v>
      </c>
      <c r="C17" s="858"/>
      <c r="D17" s="42">
        <v>103</v>
      </c>
      <c r="E17" s="881" t="s">
        <v>576</v>
      </c>
      <c r="F17" s="956" t="s">
        <v>2393</v>
      </c>
      <c r="G17" s="881" t="s">
        <v>576</v>
      </c>
      <c r="H17" s="881" t="s">
        <v>576</v>
      </c>
      <c r="I17" s="881" t="s">
        <v>576</v>
      </c>
      <c r="J17" s="881" t="s">
        <v>576</v>
      </c>
      <c r="K17" s="881" t="s">
        <v>2378</v>
      </c>
      <c r="L17" s="881" t="s">
        <v>576</v>
      </c>
      <c r="M17" s="45"/>
      <c r="N17" s="162" t="s">
        <v>165</v>
      </c>
    </row>
    <row r="18" spans="1:24" ht="38.25">
      <c r="A18" s="58" t="str">
        <f>HYPERLINK("https://wiki.atlnz.lc/awpwiki/index.php/Qualification_Transceiver_Inventory#AT-QSFPSR4_Y4","AT-QSFPSR4")</f>
        <v>AT-QSFPSR4</v>
      </c>
      <c r="B18" s="858" t="s">
        <v>369</v>
      </c>
      <c r="C18" s="858" t="s">
        <v>324</v>
      </c>
      <c r="D18" s="42">
        <v>263</v>
      </c>
      <c r="E18" s="882" t="s">
        <v>577</v>
      </c>
      <c r="F18" s="956" t="s">
        <v>2393</v>
      </c>
      <c r="G18" s="883" t="s">
        <v>577</v>
      </c>
      <c r="H18" s="884" t="s">
        <v>578</v>
      </c>
      <c r="I18" s="885" t="s">
        <v>577</v>
      </c>
      <c r="J18" s="882" t="s">
        <v>577</v>
      </c>
      <c r="K18" s="881" t="s">
        <v>2378</v>
      </c>
      <c r="L18" s="882" t="s">
        <v>577</v>
      </c>
      <c r="M18" s="63"/>
      <c r="N18" s="162" t="s">
        <v>165</v>
      </c>
    </row>
    <row r="19" spans="1:24" ht="30">
      <c r="A19" s="58" t="str">
        <f>HYPERLINK("https://wiki.atlnz.lc/awpwiki/index.php/Qualification_Transceiver_Inventory#AT-QSFPSR4_F","AT-QSFPSR4")</f>
        <v>AT-QSFPSR4</v>
      </c>
      <c r="B19" s="860" t="s">
        <v>330</v>
      </c>
      <c r="C19" s="860" t="s">
        <v>330</v>
      </c>
      <c r="D19" s="187">
        <v>453</v>
      </c>
      <c r="E19" s="881" t="s">
        <v>301</v>
      </c>
      <c r="F19" s="956" t="s">
        <v>2393</v>
      </c>
      <c r="G19" s="881" t="s">
        <v>301</v>
      </c>
      <c r="H19" s="881" t="s">
        <v>301</v>
      </c>
      <c r="I19" s="881" t="s">
        <v>301</v>
      </c>
      <c r="J19" s="881" t="s">
        <v>301</v>
      </c>
      <c r="K19" s="881" t="s">
        <v>2378</v>
      </c>
      <c r="L19" s="881" t="s">
        <v>301</v>
      </c>
      <c r="M19" s="212"/>
      <c r="N19" s="162" t="s">
        <v>165</v>
      </c>
    </row>
    <row r="20" spans="1:24" ht="30">
      <c r="A20" s="363" t="str">
        <f>HYPERLINK("https://wiki.atlnz.lc/awpwiki/index.php/Qualification_Transceiver_Inventory#AT-QSFPSR4LC","AT-QSFPSR4LC")</f>
        <v>AT-QSFPSR4LC</v>
      </c>
      <c r="B20" s="397" t="s">
        <v>163</v>
      </c>
      <c r="C20" s="397"/>
      <c r="D20" s="871">
        <v>79</v>
      </c>
      <c r="E20" s="410" t="s">
        <v>579</v>
      </c>
      <c r="F20" s="956" t="s">
        <v>2393</v>
      </c>
      <c r="G20" s="410" t="s">
        <v>580</v>
      </c>
      <c r="H20" s="410" t="s">
        <v>579</v>
      </c>
      <c r="I20" s="410" t="s">
        <v>579</v>
      </c>
      <c r="J20" s="410" t="s">
        <v>579</v>
      </c>
      <c r="K20" s="881" t="s">
        <v>2378</v>
      </c>
      <c r="L20" s="886" t="s">
        <v>566</v>
      </c>
      <c r="M20" s="45"/>
      <c r="N20" s="162" t="s">
        <v>165</v>
      </c>
    </row>
    <row r="21" spans="1:24" collapsed="1">
      <c r="A21" s="421" t="s">
        <v>400</v>
      </c>
      <c r="B21" s="422"/>
      <c r="C21" s="422"/>
      <c r="D21" s="100"/>
      <c r="E21" s="422"/>
      <c r="F21" s="422"/>
      <c r="G21" s="422"/>
      <c r="H21" s="422"/>
      <c r="I21" s="422"/>
      <c r="J21" s="422"/>
      <c r="K21" s="422"/>
      <c r="L21" s="422"/>
      <c r="M21" s="90"/>
      <c r="N21" s="422"/>
      <c r="O21"/>
      <c r="P21"/>
      <c r="Q21"/>
      <c r="R21"/>
      <c r="T21"/>
      <c r="U21"/>
      <c r="V21"/>
      <c r="W21"/>
      <c r="X21"/>
    </row>
    <row r="22" spans="1:24" ht="39.75" hidden="1" customHeight="1" outlineLevel="1">
      <c r="A22" s="86" t="str">
        <f>HYPERLINK("https://wiki.atlnz.lc/awpwiki/index.php/Qualification_Transceiver_Inventory#AT-QSFPLR4_D","AT-QSFPLR4")</f>
        <v>AT-QSFPLR4</v>
      </c>
      <c r="B22" s="860" t="s">
        <v>352</v>
      </c>
      <c r="C22" s="860"/>
      <c r="D22" s="42"/>
      <c r="E22" s="891" t="s">
        <v>2221</v>
      </c>
      <c r="F22" s="891"/>
      <c r="G22" s="891" t="s">
        <v>2221</v>
      </c>
      <c r="H22" s="891" t="s">
        <v>2221</v>
      </c>
      <c r="I22" s="891" t="s">
        <v>2221</v>
      </c>
      <c r="J22" s="891" t="s">
        <v>2221</v>
      </c>
      <c r="K22" s="891" t="s">
        <v>2221</v>
      </c>
      <c r="L22" s="891" t="s">
        <v>2221</v>
      </c>
      <c r="M22" s="90"/>
      <c r="N22" s="207" t="s">
        <v>319</v>
      </c>
    </row>
    <row r="23" spans="1:24" ht="30" hidden="1" outlineLevel="1">
      <c r="A23" s="847" t="str">
        <f>HYPERLINK("https://wiki.atlnz.lc/awpwiki/index.php/Qualification_Transceiver_Inventory#AT-QSFPSR4_Y1","AT-QSFPSR4-Rev-Y1")</f>
        <v>AT-QSFPSR4-Rev-Y1</v>
      </c>
      <c r="B23" s="848" t="s">
        <v>582</v>
      </c>
      <c r="C23" s="848"/>
      <c r="D23" s="100">
        <v>224</v>
      </c>
      <c r="E23" s="881" t="s">
        <v>298</v>
      </c>
      <c r="F23" s="881"/>
      <c r="G23" s="881" t="s">
        <v>298</v>
      </c>
      <c r="H23" s="381" t="s">
        <v>583</v>
      </c>
      <c r="I23" s="881" t="s">
        <v>298</v>
      </c>
      <c r="J23" s="881" t="s">
        <v>298</v>
      </c>
      <c r="K23" s="881" t="s">
        <v>298</v>
      </c>
      <c r="L23" s="881" t="s">
        <v>298</v>
      </c>
      <c r="M23" s="879"/>
      <c r="N23" s="423" t="s">
        <v>165</v>
      </c>
    </row>
    <row r="24" spans="1:24" hidden="1" outlineLevel="1">
      <c r="A24" s="849" t="s">
        <v>584</v>
      </c>
      <c r="B24" s="848" t="s">
        <v>163</v>
      </c>
      <c r="C24" s="848"/>
      <c r="D24" s="100"/>
      <c r="E24" s="852" t="s">
        <v>319</v>
      </c>
      <c r="F24" s="852"/>
      <c r="G24" s="853" t="s">
        <v>565</v>
      </c>
      <c r="H24" s="852" t="s">
        <v>319</v>
      </c>
      <c r="I24" s="852" t="s">
        <v>319</v>
      </c>
      <c r="J24" s="852" t="s">
        <v>319</v>
      </c>
      <c r="K24" s="852" t="s">
        <v>319</v>
      </c>
      <c r="L24" s="852" t="s">
        <v>319</v>
      </c>
      <c r="M24" s="90"/>
      <c r="N24" s="423" t="s">
        <v>319</v>
      </c>
    </row>
    <row r="25" spans="1:24" hidden="1" outlineLevel="1">
      <c r="A25" s="850" t="str">
        <f>HYPERLINK("https://wiki.atlnz.lc/awpwiki/index.php/Qualification_Transceiver_Inventory#AT-QSFPLR4_1A","AT-QSFPLR4")</f>
        <v>AT-QSFPLR4</v>
      </c>
      <c r="B25" s="851" t="s">
        <v>574</v>
      </c>
      <c r="C25" s="851"/>
      <c r="D25" s="42">
        <v>64</v>
      </c>
      <c r="E25" s="854" t="s">
        <v>569</v>
      </c>
      <c r="F25" s="854"/>
      <c r="G25" s="854" t="s">
        <v>299</v>
      </c>
      <c r="H25" s="855" t="str">
        <f>HYPERLINK("https://intranet.atlnz.lc/systest/Reports/TestLink/SuiteExecC.php?plan=486616&amp;rep=F&amp;platform=1187","Pass, Oct'17")</f>
        <v>Pass, Oct'17</v>
      </c>
      <c r="I25" s="854" t="s">
        <v>566</v>
      </c>
      <c r="J25" s="854" t="s">
        <v>141</v>
      </c>
      <c r="K25" s="854" t="s">
        <v>141</v>
      </c>
      <c r="L25" s="856" t="s">
        <v>569</v>
      </c>
      <c r="M25" s="45"/>
      <c r="N25" s="418" t="s">
        <v>575</v>
      </c>
    </row>
    <row r="26" spans="1:24" hidden="1" outlineLevel="1">
      <c r="A26" s="849" t="s">
        <v>585</v>
      </c>
      <c r="B26" s="848" t="s">
        <v>163</v>
      </c>
      <c r="C26" s="848"/>
      <c r="D26" s="100"/>
      <c r="E26" s="852" t="s">
        <v>319</v>
      </c>
      <c r="F26" s="852"/>
      <c r="G26" s="853" t="s">
        <v>565</v>
      </c>
      <c r="H26" s="852" t="s">
        <v>319</v>
      </c>
      <c r="I26" s="852" t="s">
        <v>319</v>
      </c>
      <c r="J26" s="853" t="s">
        <v>567</v>
      </c>
      <c r="K26" s="853" t="s">
        <v>567</v>
      </c>
      <c r="L26" s="853" t="s">
        <v>568</v>
      </c>
      <c r="M26" s="90"/>
      <c r="N26" s="423" t="s">
        <v>319</v>
      </c>
    </row>
    <row r="27" spans="1:24" ht="26.25" hidden="1" outlineLevel="1">
      <c r="A27" s="58" t="str">
        <f>HYPERLINK("https://wiki.atlnz.lc/awpwiki/index.php/Qualification_Transceiver_Inventory#AT-QSFPLR4_B","AT-QSFPLR4")</f>
        <v>AT-QSFPLR4</v>
      </c>
      <c r="B27" s="414" t="s">
        <v>161</v>
      </c>
      <c r="C27" s="414"/>
      <c r="D27" s="42">
        <v>60</v>
      </c>
      <c r="E27" s="857" t="s">
        <v>2054</v>
      </c>
      <c r="F27" s="857"/>
      <c r="G27" s="415" t="s">
        <v>573</v>
      </c>
      <c r="H27" s="416" t="str">
        <f>HYPERLINK("https://intranet.atlnz.lc/systest/Reports/TestLink/SuiteExecC.php?plan=486616&amp;rep=F&amp;platform=698","Pass, Oct'17")</f>
        <v>Pass, Oct'17</v>
      </c>
      <c r="I27" s="419" t="s">
        <v>2053</v>
      </c>
      <c r="J27" s="415" t="s">
        <v>572</v>
      </c>
      <c r="K27" s="415" t="s">
        <v>572</v>
      </c>
      <c r="L27" s="417" t="s">
        <v>572</v>
      </c>
      <c r="M27" s="45"/>
      <c r="N27" s="418" t="s">
        <v>572</v>
      </c>
    </row>
    <row r="28" spans="1:24" hidden="1" outlineLevel="1">
      <c r="A28" s="58" t="str">
        <f>HYPERLINK("https://wiki.atlnz.lc/awpwiki/index.php/Qualification_Transceiver_Inventory#AT-QSFPER4","AT-QSFPER4")</f>
        <v>AT-QSFPER4</v>
      </c>
      <c r="B28" s="858" t="s">
        <v>487</v>
      </c>
      <c r="C28" s="858" t="s">
        <v>163</v>
      </c>
      <c r="D28" s="42">
        <v>59</v>
      </c>
      <c r="E28" s="415" t="s">
        <v>572</v>
      </c>
      <c r="F28" s="415"/>
      <c r="G28" s="415" t="s">
        <v>573</v>
      </c>
      <c r="H28" s="416" t="str">
        <f>HYPERLINK("https://intranet.atlnz.lc/systest/Reports/TestLink/SuiteExecC.php?plan=486616&amp;rep=F&amp;platform=1273","Pass, Oct'17")</f>
        <v>Pass, Oct'17</v>
      </c>
      <c r="I28" s="415" t="s">
        <v>566</v>
      </c>
      <c r="J28" s="415" t="s">
        <v>572</v>
      </c>
      <c r="K28" s="415" t="s">
        <v>572</v>
      </c>
      <c r="L28" s="417" t="s">
        <v>572</v>
      </c>
      <c r="M28" s="45"/>
      <c r="N28" s="162" t="s">
        <v>165</v>
      </c>
    </row>
    <row r="29" spans="1:24" collapsed="1">
      <c r="A29" s="421" t="s">
        <v>586</v>
      </c>
      <c r="B29" s="424"/>
      <c r="C29" s="424"/>
      <c r="D29" s="100"/>
      <c r="E29" s="846"/>
      <c r="F29" s="846"/>
      <c r="G29" s="424"/>
      <c r="H29" s="424"/>
      <c r="I29" s="424"/>
      <c r="J29" s="424"/>
      <c r="K29" s="424"/>
      <c r="L29" s="424"/>
      <c r="M29" s="90"/>
      <c r="N29" s="424"/>
      <c r="O29"/>
      <c r="P29"/>
      <c r="Q29"/>
      <c r="R29"/>
      <c r="T29"/>
      <c r="U29"/>
      <c r="V29"/>
      <c r="W29"/>
      <c r="X29"/>
    </row>
    <row r="30" spans="1:24" hidden="1" outlineLevel="1">
      <c r="A30" s="250" t="s">
        <v>587</v>
      </c>
      <c r="B30" s="425"/>
      <c r="C30" s="425"/>
      <c r="D30" s="100"/>
      <c r="E30" s="426" t="s">
        <v>575</v>
      </c>
      <c r="F30" s="426"/>
      <c r="G30" s="426" t="s">
        <v>575</v>
      </c>
      <c r="H30" s="427" t="s">
        <v>340</v>
      </c>
      <c r="I30" s="427" t="s">
        <v>340</v>
      </c>
      <c r="J30" s="426" t="s">
        <v>575</v>
      </c>
      <c r="K30" s="426" t="s">
        <v>575</v>
      </c>
      <c r="L30" s="426" t="s">
        <v>575</v>
      </c>
      <c r="M30" s="428"/>
      <c r="N30" s="426" t="s">
        <v>575</v>
      </c>
    </row>
    <row r="31" spans="1:24" hidden="1" outlineLevel="1">
      <c r="A31" s="381" t="str">
        <f>HYPERLINK("http://intranet.atlnz.lc/systest/products/Accessories/pluggable_transceiver/Images/QSFP/AT-QSFPER40.JPG","AT-QSFPER40")</f>
        <v>AT-QSFPER40</v>
      </c>
      <c r="B31" s="425" t="s">
        <v>163</v>
      </c>
      <c r="C31" s="425" t="s">
        <v>163</v>
      </c>
      <c r="D31" s="100"/>
      <c r="E31" s="427" t="s">
        <v>340</v>
      </c>
      <c r="F31" s="427"/>
      <c r="G31" s="427" t="s">
        <v>340</v>
      </c>
      <c r="H31" s="381" t="s">
        <v>588</v>
      </c>
      <c r="I31" s="427" t="s">
        <v>340</v>
      </c>
      <c r="J31" s="426" t="s">
        <v>567</v>
      </c>
      <c r="K31" s="426" t="s">
        <v>567</v>
      </c>
      <c r="L31" s="426" t="s">
        <v>589</v>
      </c>
      <c r="M31" s="380"/>
      <c r="N31" s="427" t="s">
        <v>340</v>
      </c>
    </row>
    <row r="32" spans="1:24" collapsed="1">
      <c r="A32" s="867" t="s">
        <v>2192</v>
      </c>
      <c r="B32" s="868"/>
      <c r="C32" s="868"/>
      <c r="D32" s="869"/>
      <c r="E32" s="868"/>
      <c r="F32" s="868"/>
      <c r="G32" s="868"/>
      <c r="H32" s="868"/>
      <c r="I32" s="868"/>
      <c r="J32" s="868"/>
      <c r="K32" s="868"/>
      <c r="L32" s="868"/>
      <c r="M32" s="90"/>
      <c r="N32" s="422"/>
      <c r="O32"/>
      <c r="P32"/>
      <c r="Q32"/>
      <c r="R32"/>
      <c r="T32"/>
      <c r="U32"/>
      <c r="V32"/>
      <c r="W32"/>
      <c r="X32"/>
    </row>
    <row r="33" spans="1:19" ht="25.5" hidden="1" outlineLevel="1">
      <c r="A33" s="381" t="str">
        <f>HYPERLINK("https://wiki.atlnz.lc/awpwiki/index.php/Qualification_Transceiver_Inventory#AT-QSFPSR4LCa","AT-QSFPSR4LCa")</f>
        <v>AT-QSFPSR4LCa</v>
      </c>
      <c r="B33" s="397" t="s">
        <v>581</v>
      </c>
      <c r="C33" s="397" t="s">
        <v>163</v>
      </c>
      <c r="D33" s="100">
        <v>436</v>
      </c>
      <c r="E33" s="870" t="s">
        <v>2191</v>
      </c>
      <c r="F33" s="870"/>
      <c r="G33" s="870" t="s">
        <v>2191</v>
      </c>
      <c r="H33" s="870" t="s">
        <v>2191</v>
      </c>
      <c r="I33" s="870" t="s">
        <v>2191</v>
      </c>
      <c r="J33" s="870" t="s">
        <v>2191</v>
      </c>
      <c r="K33" s="870" t="s">
        <v>2191</v>
      </c>
      <c r="L33" s="870" t="s">
        <v>2191</v>
      </c>
      <c r="M33" s="428"/>
      <c r="N33" s="207" t="s">
        <v>319</v>
      </c>
    </row>
    <row r="34" spans="1:19">
      <c r="R34"/>
      <c r="S34" s="15"/>
    </row>
    <row r="35" spans="1:19">
      <c r="R35"/>
      <c r="S35" s="15"/>
    </row>
    <row r="36" spans="1:19">
      <c r="R36"/>
      <c r="S36" s="15"/>
    </row>
    <row r="37" spans="1:19">
      <c r="R37"/>
      <c r="S37" s="15"/>
    </row>
    <row r="38" spans="1:19">
      <c r="R38"/>
      <c r="S38" s="15"/>
    </row>
    <row r="39" spans="1:19">
      <c r="R39"/>
      <c r="S39" s="15"/>
    </row>
    <row r="40" spans="1:19">
      <c r="R40"/>
      <c r="S40" s="15"/>
    </row>
    <row r="41" spans="1:19">
      <c r="R41"/>
      <c r="S41" s="15"/>
    </row>
    <row r="42" spans="1:19">
      <c r="R42"/>
      <c r="S42" s="15"/>
    </row>
    <row r="43" spans="1:19">
      <c r="R43"/>
      <c r="S43" s="15"/>
    </row>
    <row r="44" spans="1:19">
      <c r="R44"/>
      <c r="S44" s="15"/>
    </row>
    <row r="45" spans="1:19">
      <c r="R45"/>
      <c r="S45" s="15"/>
    </row>
    <row r="46" spans="1:19">
      <c r="R46"/>
      <c r="S46" s="15"/>
    </row>
    <row r="47" spans="1:19">
      <c r="R47"/>
      <c r="S47" s="15"/>
    </row>
    <row r="48" spans="1:19">
      <c r="R48"/>
      <c r="S48" s="15"/>
    </row>
    <row r="49" spans="18:19">
      <c r="R49"/>
      <c r="S49" s="15"/>
    </row>
    <row r="50" spans="18:19">
      <c r="R50"/>
      <c r="S50" s="15"/>
    </row>
    <row r="51" spans="18:19">
      <c r="R51"/>
      <c r="S51" s="15"/>
    </row>
    <row r="52" spans="18:19">
      <c r="R52"/>
      <c r="S52" s="15"/>
    </row>
    <row r="53" spans="18:19">
      <c r="R53"/>
      <c r="S53" s="15"/>
    </row>
    <row r="54" spans="18:19">
      <c r="R54"/>
      <c r="S54" s="15"/>
    </row>
    <row r="55" spans="18:19">
      <c r="R55"/>
      <c r="S55" s="15"/>
    </row>
    <row r="56" spans="18:19">
      <c r="R56"/>
      <c r="S56" s="15"/>
    </row>
    <row r="57" spans="18:19">
      <c r="R57"/>
      <c r="S57" s="15"/>
    </row>
    <row r="58" spans="18:19">
      <c r="R58"/>
      <c r="S58" s="15"/>
    </row>
    <row r="59" spans="18:19">
      <c r="R59"/>
      <c r="S59" s="15"/>
    </row>
    <row r="60" spans="18:19">
      <c r="R60"/>
      <c r="S60" s="15"/>
    </row>
    <row r="61" spans="18:19">
      <c r="R61"/>
      <c r="S61" s="15"/>
    </row>
    <row r="62" spans="18:19">
      <c r="R62"/>
      <c r="S62" s="15"/>
    </row>
    <row r="63" spans="18:19">
      <c r="R63"/>
      <c r="S63" s="15"/>
    </row>
    <row r="64" spans="18:19">
      <c r="R64"/>
      <c r="S64" s="15"/>
    </row>
    <row r="65" spans="18:19">
      <c r="R65"/>
      <c r="S65" s="15"/>
    </row>
    <row r="66" spans="18:19">
      <c r="R66"/>
      <c r="S66" s="15"/>
    </row>
    <row r="67" spans="18:19">
      <c r="R67"/>
      <c r="S67" s="15"/>
    </row>
    <row r="68" spans="18:19">
      <c r="R68"/>
      <c r="S68" s="15"/>
    </row>
    <row r="69" spans="18:19">
      <c r="R69"/>
      <c r="S69" s="15"/>
    </row>
    <row r="70" spans="18:19">
      <c r="R70"/>
      <c r="S70" s="15"/>
    </row>
    <row r="71" spans="18:19">
      <c r="R71"/>
      <c r="S71" s="15"/>
    </row>
    <row r="72" spans="18:19">
      <c r="R72"/>
      <c r="S72" s="15"/>
    </row>
    <row r="73" spans="18:19">
      <c r="R73"/>
      <c r="S73" s="15"/>
    </row>
    <row r="74" spans="18:19">
      <c r="R74"/>
      <c r="S74" s="15"/>
    </row>
    <row r="75" spans="18:19">
      <c r="R75"/>
      <c r="S75" s="15"/>
    </row>
    <row r="76" spans="18:19">
      <c r="R76"/>
      <c r="S76" s="15"/>
    </row>
    <row r="77" spans="18:19">
      <c r="R77"/>
      <c r="S77" s="15"/>
    </row>
    <row r="78" spans="18:19">
      <c r="R78"/>
      <c r="S78" s="15"/>
    </row>
    <row r="79" spans="18:19">
      <c r="R79"/>
      <c r="S79" s="15"/>
    </row>
    <row r="80" spans="18:19">
      <c r="R80"/>
      <c r="S80" s="15"/>
    </row>
    <row r="81" spans="18:19">
      <c r="R81"/>
      <c r="S81" s="15"/>
    </row>
    <row r="82" spans="18:19">
      <c r="R82"/>
      <c r="S82" s="15"/>
    </row>
    <row r="83" spans="18:19">
      <c r="R83"/>
      <c r="S83" s="15"/>
    </row>
    <row r="84" spans="18:19">
      <c r="R84"/>
      <c r="S84" s="15"/>
    </row>
    <row r="85" spans="18:19">
      <c r="R85"/>
      <c r="S85" s="15"/>
    </row>
    <row r="86" spans="18:19">
      <c r="R86"/>
      <c r="S86" s="15"/>
    </row>
    <row r="87" spans="18:19">
      <c r="R87"/>
      <c r="S87" s="15"/>
    </row>
    <row r="88" spans="18:19">
      <c r="R88"/>
      <c r="S88" s="15"/>
    </row>
    <row r="89" spans="18:19">
      <c r="R89"/>
      <c r="S89" s="15"/>
    </row>
    <row r="90" spans="18:19">
      <c r="R90"/>
      <c r="S90" s="15"/>
    </row>
    <row r="91" spans="18:19">
      <c r="R91"/>
      <c r="S91" s="15"/>
    </row>
    <row r="92" spans="18:19">
      <c r="R92"/>
      <c r="S92" s="15"/>
    </row>
    <row r="93" spans="18:19">
      <c r="R93"/>
      <c r="S93" s="15"/>
    </row>
    <row r="94" spans="18:19">
      <c r="R94"/>
      <c r="S94" s="15"/>
    </row>
    <row r="95" spans="18:19">
      <c r="R95"/>
      <c r="S95" s="15"/>
    </row>
    <row r="96" spans="18:19">
      <c r="R96"/>
      <c r="S96" s="15"/>
    </row>
    <row r="97" spans="18:19">
      <c r="R97"/>
      <c r="S97" s="15"/>
    </row>
    <row r="98" spans="18:19">
      <c r="R98"/>
      <c r="S98" s="15"/>
    </row>
    <row r="99" spans="18:19">
      <c r="R99"/>
      <c r="S99" s="15"/>
    </row>
    <row r="100" spans="18:19">
      <c r="R100"/>
      <c r="S100" s="15"/>
    </row>
    <row r="101" spans="18:19">
      <c r="R101"/>
      <c r="S101" s="15"/>
    </row>
    <row r="102" spans="18:19">
      <c r="R102"/>
      <c r="S102" s="15"/>
    </row>
    <row r="103" spans="18:19">
      <c r="R103"/>
      <c r="S103" s="15"/>
    </row>
  </sheetData>
  <mergeCells count="4">
    <mergeCell ref="A3:C7"/>
    <mergeCell ref="D3:D7"/>
    <mergeCell ref="H3:I3"/>
    <mergeCell ref="M3:M7"/>
  </mergeCells>
  <phoneticPr fontId="64" type="noConversion"/>
  <conditionalFormatting sqref="H23">
    <cfRule type="expression" dxfId="1832" priority="4">
      <formula>NOT(ISERROR(SEARCH("fail",H23)))</formula>
    </cfRule>
  </conditionalFormatting>
  <conditionalFormatting sqref="M1:N2 M8:N19 M21:N65542">
    <cfRule type="expression" dxfId="1831" priority="5">
      <formula>NOT(ISERROR(SEARCH("fail,",M1)))</formula>
    </cfRule>
  </conditionalFormatting>
  <conditionalFormatting sqref="H6:K6">
    <cfRule type="expression" dxfId="1830" priority="6">
      <formula>NOT(ISERROR(SEARCH("fail,",H6)))</formula>
    </cfRule>
  </conditionalFormatting>
  <conditionalFormatting sqref="L6">
    <cfRule type="expression" dxfId="1829" priority="7">
      <formula>NOT(ISERROR(SEARCH("fail,",L6)))</formula>
    </cfRule>
  </conditionalFormatting>
  <conditionalFormatting sqref="N6">
    <cfRule type="expression" dxfId="1828" priority="8">
      <formula>NOT(ISERROR(SEARCH("fail,",N6)))</formula>
    </cfRule>
  </conditionalFormatting>
  <conditionalFormatting sqref="M20:N20">
    <cfRule type="expression" dxfId="1827" priority="9">
      <formula>NOT(ISERROR(SEARCH("fail,",M20)))</formula>
    </cfRule>
  </conditionalFormatting>
  <conditionalFormatting sqref="M33:N33">
    <cfRule type="expression" dxfId="1826" priority="2">
      <formula>NOT(ISERROR(SEARCH("fail,",M33)))</formula>
    </cfRule>
  </conditionalFormatting>
  <hyperlinks>
    <hyperlink ref="D8" r:id="rId1" display="https://intranet.atlnz.lc/systest/Jira_Reports/testExecReport/jiraExecReport.php?testPlanKey=65&amp;projectKey=TQUALTCM&amp;Report=Report" xr:uid="{00000000-0004-0000-0600-000000000000}"/>
    <hyperlink ref="E8" r:id="rId2" xr:uid="{00000000-0004-0000-0600-000001000000}"/>
    <hyperlink ref="G8" r:id="rId3" xr:uid="{00000000-0004-0000-0600-000002000000}"/>
    <hyperlink ref="I8" r:id="rId4" location="/testPlayer/TQUALTCM-C305" xr:uid="{00000000-0004-0000-0600-000003000000}"/>
    <hyperlink ref="J8" r:id="rId5" xr:uid="{00000000-0004-0000-0600-000004000000}"/>
    <hyperlink ref="L8" r:id="rId6" xr:uid="{00000000-0004-0000-0600-000005000000}"/>
    <hyperlink ref="D9" r:id="rId7" display="https://intranet.atlnz.lc/systest/Jira_Reports/testExecReport/jiraExecReport.php?testPlanKey=66&amp;projectKey=TQUALTCM&amp;Report=Report" xr:uid="{00000000-0004-0000-0600-000006000000}"/>
    <hyperlink ref="E9" r:id="rId8" xr:uid="{00000000-0004-0000-0600-000007000000}"/>
    <hyperlink ref="I9" r:id="rId9" location="/testPlayer/TQUALTCM-C306" xr:uid="{00000000-0004-0000-0600-000008000000}"/>
    <hyperlink ref="J9" r:id="rId10" xr:uid="{00000000-0004-0000-0600-000009000000}"/>
    <hyperlink ref="L9" r:id="rId11" xr:uid="{00000000-0004-0000-0600-00000A000000}"/>
    <hyperlink ref="D10" r:id="rId12" display="https://intranet.atlnz.lc/systest/Jira_Reports/testExecReport/jiraExecReport.php?testPlanKey=67&amp;projectKey=TQUALTCM&amp;Report=Report" xr:uid="{00000000-0004-0000-0600-00000B000000}"/>
    <hyperlink ref="E10" r:id="rId13" xr:uid="{00000000-0004-0000-0600-00000C000000}"/>
    <hyperlink ref="G10" r:id="rId14" xr:uid="{00000000-0004-0000-0600-00000D000000}"/>
    <hyperlink ref="I10" r:id="rId15" location="/testPlayer/TQUALTCM-C303" display="Pass, Mar-19" xr:uid="{00000000-0004-0000-0600-00000E000000}"/>
    <hyperlink ref="D11" r:id="rId16" display="https://intranet.atlnz.lc/systest/Jira_Reports/testExecReport/jiraExecReport.php?testPlanKey=68&amp;projectKey=TQUALTCM&amp;Report=Report" xr:uid="{00000000-0004-0000-0600-00000F000000}"/>
    <hyperlink ref="E11" r:id="rId17" xr:uid="{00000000-0004-0000-0600-000010000000}"/>
    <hyperlink ref="G11" r:id="rId18" xr:uid="{00000000-0004-0000-0600-000011000000}"/>
    <hyperlink ref="D12" r:id="rId19" display="https://intranet.atlnz.lc/systest/Jira_Reports/testExecReport/jiraExecReport.php?testPlanKey=59&amp;projectKey=TQUALTCM&amp;Report=Report" xr:uid="{00000000-0004-0000-0600-000013000000}"/>
    <hyperlink ref="E12" r:id="rId20" xr:uid="{00000000-0004-0000-0600-000014000000}"/>
    <hyperlink ref="G12" r:id="rId21" xr:uid="{00000000-0004-0000-0600-000015000000}"/>
    <hyperlink ref="I12" r:id="rId22" location="/testPlayer/TQUALTCM-C309" xr:uid="{00000000-0004-0000-0600-000016000000}"/>
    <hyperlink ref="J12" r:id="rId23" xr:uid="{00000000-0004-0000-0600-000017000000}"/>
    <hyperlink ref="L12" r:id="rId24" xr:uid="{00000000-0004-0000-0600-000018000000}"/>
    <hyperlink ref="D25" r:id="rId25" display="https://intranet.atlnz.lc/systest/Jira_Reports/testExecReport/jiraExecReport.php?testPlanKey=64&amp;projectKey=TQUALTCM&amp;Report=Report" xr:uid="{00000000-0004-0000-0600-000019000000}"/>
    <hyperlink ref="E25" r:id="rId26" xr:uid="{00000000-0004-0000-0600-00001A000000}"/>
    <hyperlink ref="G25" r:id="rId27" xr:uid="{00000000-0004-0000-0600-00001B000000}"/>
    <hyperlink ref="I25" r:id="rId28" location="/testPlayer/TQUALTCM-C311" xr:uid="{00000000-0004-0000-0600-00001C000000}"/>
    <hyperlink ref="J25" r:id="rId29" xr:uid="{00000000-0004-0000-0600-00001D000000}"/>
    <hyperlink ref="L25" r:id="rId30" xr:uid="{00000000-0004-0000-0600-00001E000000}"/>
    <hyperlink ref="N25" r:id="rId31" xr:uid="{00000000-0004-0000-0600-00001F000000}"/>
    <hyperlink ref="D13" r:id="rId32" display="https://intranet.atlnz.lc/systest/Jira_Reports/testExecReport/jiraExecReport.php?testPlanKey=60&amp;projectKey=TQUALTCM&amp;Report=Report" xr:uid="{00000000-0004-0000-0600-000020000000}"/>
    <hyperlink ref="G13" r:id="rId33" display="Pass, Nov 17" xr:uid="{00000000-0004-0000-0600-000021000000}"/>
    <hyperlink ref="I13" r:id="rId34" location="/testPlayer/TQUALTCM-C310" display="Pass, Mar-19" xr:uid="{00000000-0004-0000-0600-000022000000}"/>
    <hyperlink ref="J13" r:id="rId35" display="Pass, Nov-17" xr:uid="{00000000-0004-0000-0600-000023000000}"/>
    <hyperlink ref="L13" r:id="rId36" display="Pass, Nov-17" xr:uid="{00000000-0004-0000-0600-000024000000}"/>
    <hyperlink ref="N13" r:id="rId37" xr:uid="{00000000-0004-0000-0600-000025000000}"/>
    <hyperlink ref="D15" r:id="rId38" display="https://intranet.atlnz.lc/systest/Jira_Reports/testExecReport/jiraExecReport.php?testPlanKey=61&amp;projectKey=TQUALTCM&amp;Report=Report" xr:uid="{00000000-0004-0000-0600-000026000000}"/>
    <hyperlink ref="E15" r:id="rId39" xr:uid="{00000000-0004-0000-0600-000027000000}"/>
    <hyperlink ref="G15" r:id="rId40" xr:uid="{00000000-0004-0000-0600-000028000000}"/>
    <hyperlink ref="I15" r:id="rId41" location="/testPlayer/TQUALTCM-C312" xr:uid="{00000000-0004-0000-0600-000029000000}"/>
    <hyperlink ref="J15" r:id="rId42" xr:uid="{00000000-0004-0000-0600-00002A000000}"/>
    <hyperlink ref="L15" r:id="rId43" xr:uid="{00000000-0004-0000-0600-00002B000000}"/>
    <hyperlink ref="D16" r:id="rId44" display="https://intranet.atlnz.lc/systest/Jira_Reports/testExecReport/jiraExecReport.php?testPlanKey=62&amp;projectKey=TQUALTCM&amp;Report=Report" xr:uid="{00000000-0004-0000-0600-00002C000000}"/>
    <hyperlink ref="E16" r:id="rId45" xr:uid="{00000000-0004-0000-0600-00002D000000}"/>
    <hyperlink ref="G16" r:id="rId46" xr:uid="{00000000-0004-0000-0600-00002E000000}"/>
    <hyperlink ref="I16" r:id="rId47" location="/testPlayer/TQUALTCM-C313" xr:uid="{00000000-0004-0000-0600-00002F000000}"/>
    <hyperlink ref="J16" r:id="rId48" xr:uid="{00000000-0004-0000-0600-000030000000}"/>
    <hyperlink ref="L16" r:id="rId49" xr:uid="{00000000-0004-0000-0600-000031000000}"/>
    <hyperlink ref="N16" r:id="rId50" xr:uid="{00000000-0004-0000-0600-000032000000}"/>
    <hyperlink ref="D17" r:id="rId51" display="https://intranet.atlnz.lc/systest/Jira_Reports/testExecReport/jiraExecReport.php?testPlanKey=103&amp;projectKey=TQUALTCM&amp;Report=Report" xr:uid="{00000000-0004-0000-0600-000033000000}"/>
    <hyperlink ref="D18" r:id="rId52" display="https://intranet.atlnz.lc/systest/Jira_Reports/testExecReport/jiraExecReport.php?testPlanKey=263&amp;projectKey=TQUALTCM&amp;Report=Report" xr:uid="{00000000-0004-0000-0600-00003A000000}"/>
    <hyperlink ref="D20" r:id="rId53" display="https://intranet.atlnz.lc/systest/Jira_Reports/testExecReport/jiraExecReport.php?testPlanKey=79&amp;projectKey=TQUALTCM&amp;Report=Report" xr:uid="{00000000-0004-0000-0600-00003C000000}"/>
    <hyperlink ref="E20" r:id="rId54" xr:uid="{00000000-0004-0000-0600-00003D000000}"/>
    <hyperlink ref="G20" r:id="rId55" xr:uid="{00000000-0004-0000-0600-00003E000000}"/>
    <hyperlink ref="H20" r:id="rId56" xr:uid="{00000000-0004-0000-0600-00003F000000}"/>
    <hyperlink ref="I20" r:id="rId57" xr:uid="{00000000-0004-0000-0600-000040000000}"/>
    <hyperlink ref="J20" r:id="rId58" xr:uid="{00000000-0004-0000-0600-000041000000}"/>
    <hyperlink ref="L20" r:id="rId59" xr:uid="{00000000-0004-0000-0600-000042000000}"/>
    <hyperlink ref="D23" r:id="rId60" display="https://intranet.atlnz.lc/systest/Jira_Reports/testExecReport/jiraExecReport.php?testPlanKey=224&amp;projectKey=TQUALTCM&amp;Report=Report" xr:uid="{00000000-0004-0000-0600-000043000000}"/>
    <hyperlink ref="H23" r:id="rId61" display="https://wallace4.atlnz.lc/systest/Jira_Reports/testExecReport/jiraExecReport_wallace4.php?testPlanKey=224&amp;projectKey=TQUALTCM&amp;Report=Report" xr:uid="{00000000-0004-0000-0600-000046000000}"/>
    <hyperlink ref="N23" r:id="rId62" location="/reports/testresults/list/view?tql=testResult.projectKey%20IN%20('TQUALTCM')%20AND%20testRun.key%20IN%20('TQUALTCM-C1787')%20AND%20testRun.onlyLastTestResult%20IS%20true&amp;jql=&amp;title=REPORTS.TEST_RESULTS_ADVANCED.TITLE" xr:uid="{00000000-0004-0000-0600-00004A000000}"/>
    <hyperlink ref="G24" r:id="rId63" xr:uid="{00000000-0004-0000-0600-00004B000000}"/>
    <hyperlink ref="G26" r:id="rId64" xr:uid="{00000000-0004-0000-0600-00004C000000}"/>
    <hyperlink ref="J26" r:id="rId65" xr:uid="{00000000-0004-0000-0600-00004D000000}"/>
    <hyperlink ref="L26" r:id="rId66" xr:uid="{00000000-0004-0000-0600-00004E000000}"/>
    <hyperlink ref="E30" r:id="rId67" xr:uid="{00000000-0004-0000-0600-00004F000000}"/>
    <hyperlink ref="G30" r:id="rId68" xr:uid="{00000000-0004-0000-0600-000050000000}"/>
    <hyperlink ref="J30" r:id="rId69" xr:uid="{00000000-0004-0000-0600-000051000000}"/>
    <hyperlink ref="L30" r:id="rId70" xr:uid="{00000000-0004-0000-0600-000052000000}"/>
    <hyperlink ref="N30" r:id="rId71" xr:uid="{00000000-0004-0000-0600-000053000000}"/>
    <hyperlink ref="H31" r:id="rId72" xr:uid="{00000000-0004-0000-0600-000054000000}"/>
    <hyperlink ref="J31" r:id="rId73" xr:uid="{00000000-0004-0000-0600-000055000000}"/>
    <hyperlink ref="L31" r:id="rId74" xr:uid="{00000000-0004-0000-0600-000056000000}"/>
    <hyperlink ref="D19" r:id="rId75" display="https://intranet.atlnz.lc/systest/Jira_Reports/testExecReport/jiraExecReport.php?testPlanKey=453&amp;projectKey=TQUALTCM&amp;Report=Report" xr:uid="{00000000-0004-0000-0600-000057000000}"/>
    <hyperlink ref="E13" r:id="rId76" location="/testPlayer/TQUALTCM-C1278" display="https://jira.atlnz.lc/secure/Tests.jspa - /testPlayer/TQUALTCM-C1278" xr:uid="{00000000-0004-0000-0600-000058000000}"/>
    <hyperlink ref="D14" r:id="rId77" display="https://intranet.atlnz.lc/systest/Jira_Reports/testExecReport/jiraExecReport.php?testPlanKey=473&amp;projectKey=TQUALTCM&amp;Report=Report" xr:uid="{00000000-0004-0000-0600-000059000000}"/>
    <hyperlink ref="D33" r:id="rId78" display="https://intranet.atlnz.lc/systest/Jira_Reports/testExecReport/jiraExecReport.php?testPlanKey=436&amp;projectKey=TQUALTCM&amp;Report=Report" xr:uid="{00000000-0004-0000-0600-00005A000000}"/>
    <hyperlink ref="D27" r:id="rId79" display="https://intranet.atlnz.lc/systest/Jira_Reports/testExecReport/jiraExecReport.php?testPlanKey=60&amp;projectKey=TQUALTCM&amp;Report=Report" xr:uid="{00000000-0004-0000-0600-00005B000000}"/>
    <hyperlink ref="G27" r:id="rId80" xr:uid="{00000000-0004-0000-0600-00005C000000}"/>
    <hyperlink ref="I27" r:id="rId81" location="/testPlayer/TQUALTCM-C310" display="Pass, Mar-19" xr:uid="{00000000-0004-0000-0600-00005D000000}"/>
    <hyperlink ref="J27" r:id="rId82" xr:uid="{00000000-0004-0000-0600-00005E000000}"/>
    <hyperlink ref="L27" r:id="rId83" xr:uid="{00000000-0004-0000-0600-00005F000000}"/>
    <hyperlink ref="N27" r:id="rId84" xr:uid="{00000000-0004-0000-0600-000060000000}"/>
    <hyperlink ref="E27" r:id="rId85" location="/testPlayer/TQUALTCM-C1278" display="https://jira.atlnz.lc/secure/Tests.jspa - /testPlayer/TQUALTCM-C1278" xr:uid="{00000000-0004-0000-0600-000061000000}"/>
    <hyperlink ref="D28" r:id="rId86" display="https://intranet.atlnz.lc/systest/Jira_Reports/testExecReport/jiraExecReport.php?testPlanKey=59&amp;projectKey=TQUALTCM&amp;Report=Report" xr:uid="{00000000-0004-0000-0600-000062000000}"/>
    <hyperlink ref="E28" r:id="rId87" xr:uid="{00000000-0004-0000-0600-000063000000}"/>
    <hyperlink ref="G28" r:id="rId88" xr:uid="{00000000-0004-0000-0600-000064000000}"/>
    <hyperlink ref="I28" r:id="rId89" location="/testPlayer/TQUALTCM-C309" xr:uid="{00000000-0004-0000-0600-000065000000}"/>
    <hyperlink ref="J28" r:id="rId90" xr:uid="{00000000-0004-0000-0600-000066000000}"/>
    <hyperlink ref="L28" r:id="rId91" xr:uid="{00000000-0004-0000-0600-000067000000}"/>
    <hyperlink ref="L4" r:id="rId92" xr:uid="{C9A4BEF1-300B-47D7-AED8-07B70340038B}"/>
    <hyperlink ref="E4" r:id="rId93" xr:uid="{8221257D-5E39-4D81-A458-10D74834312D}"/>
    <hyperlink ref="G4" r:id="rId94" xr:uid="{83DE9CF0-7AA9-4EEF-A568-B73C686B4BFE}"/>
    <hyperlink ref="I4" r:id="rId95" xr:uid="{1D78FB80-4D6B-44DA-8F7E-0A52C7B7C99D}"/>
    <hyperlink ref="J4" r:id="rId96" xr:uid="{EDCA33F9-F934-45A2-93F2-EAE54B802608}"/>
    <hyperlink ref="H4" r:id="rId97" xr:uid="{75F14B07-6BAE-4004-8691-4B5FF7AD3FEC}"/>
    <hyperlink ref="E22" r:id="rId98" display="https://wiki.atlnz.lc/awpwiki/index.php/Transceiver_Qualification_Status" xr:uid="{B6AFDBDD-2028-40B3-A7BC-DFF0C56E33D4}"/>
    <hyperlink ref="G22" r:id="rId99" display="https://wiki.atlnz.lc/awpwiki/index.php/Transceiver_Qualification_Status" xr:uid="{15E82572-7188-4B71-A018-59AE42A4216F}"/>
    <hyperlink ref="H22" r:id="rId100" display="https://wiki.atlnz.lc/awpwiki/index.php/Transceiver_Qualification_Status" xr:uid="{8F68ED64-C24A-471D-9D9F-690D24DCA1E3}"/>
    <hyperlink ref="I22" r:id="rId101" display="https://wiki.atlnz.lc/awpwiki/index.php/Transceiver_Qualification_Status" xr:uid="{8CB247BE-A0E6-4A08-9DD2-A0DC43CC4E98}"/>
    <hyperlink ref="J22" r:id="rId102" display="https://wiki.atlnz.lc/awpwiki/index.php/Transceiver_Qualification_Status" xr:uid="{5DD8B655-7969-43D8-943C-1761282D19FD}"/>
    <hyperlink ref="L22" r:id="rId103" display="https://wiki.atlnz.lc/awpwiki/index.php/Transceiver_Qualification_Status" xr:uid="{4CA2CF70-2567-4167-81B2-873F73D7B14F}"/>
    <hyperlink ref="I11" r:id="rId104" location="/testPlayer/TQUALTCM-C303" display="Pass, Mar-19" xr:uid="{181E5991-EB01-4C54-9538-D0180FF9E8C9}"/>
    <hyperlink ref="K25" r:id="rId105" xr:uid="{7086690D-8CB7-43FF-8C3C-5E89ED5B6B02}"/>
    <hyperlink ref="K26" r:id="rId106" xr:uid="{98ED7BDD-5ED8-4057-9CD9-66DA5F7B0432}"/>
    <hyperlink ref="K30" r:id="rId107" xr:uid="{1DB24C07-E661-4D35-9534-CF93369BA341}"/>
    <hyperlink ref="K31" r:id="rId108" xr:uid="{18E42B0A-1308-4793-9B7C-4543AE2B0334}"/>
    <hyperlink ref="K27" r:id="rId109" xr:uid="{218C377B-87C6-41AD-A036-28FF27D00460}"/>
    <hyperlink ref="K28" r:id="rId110" xr:uid="{F559C79F-BA32-4846-B977-C774B1B0C04A}"/>
    <hyperlink ref="K4" r:id="rId111" xr:uid="{3BF02735-A86E-414B-86E2-C1722D640681}"/>
    <hyperlink ref="K22" r:id="rId112" display="https://wiki.atlnz.lc/awpwiki/index.php/Transceiver_Qualification_Status" xr:uid="{AD244C02-A4F6-45D9-A968-FC9D443353A6}"/>
    <hyperlink ref="F4" r:id="rId113" xr:uid="{864720E7-8E60-4B0B-9AEC-A80FA042C272}"/>
  </hyperlinks>
  <pageMargins left="0.70833333333333304" right="0.70833333333333304" top="0.74791666666666701" bottom="0.74791666666666701" header="0.51180555555555496" footer="0.51180555555555496"/>
  <pageSetup paperSize="8" firstPageNumber="0" orientation="landscape" horizontalDpi="300" verticalDpi="300" r:id="rId114"/>
  <legacyDrawing r:id="rId11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4">
    <tabColor rgb="FF808000"/>
    <pageSetUpPr fitToPage="1"/>
  </sheetPr>
  <dimension ref="A1:V27"/>
  <sheetViews>
    <sheetView zoomScaleNormal="100" workbookViewId="0">
      <pane xSplit="4" ySplit="7" topLeftCell="E8" activePane="bottomRight" state="frozen"/>
      <selection pane="topRight" activeCell="E1" sqref="E1"/>
      <selection pane="bottomLeft" activeCell="A9" sqref="A9"/>
      <selection pane="bottomRight" activeCell="D3" sqref="D3:D7"/>
    </sheetView>
  </sheetViews>
  <sheetFormatPr defaultColWidth="9.140625" defaultRowHeight="15" outlineLevelRow="1" outlineLevelCol="1"/>
  <cols>
    <col min="1" max="1" width="24.42578125" style="15" customWidth="1"/>
    <col min="2" max="2" width="4.5703125" style="15" customWidth="1"/>
    <col min="3" max="3" width="5" style="15" customWidth="1"/>
    <col min="4" max="4" width="4.42578125" style="15" customWidth="1"/>
    <col min="5" max="6" width="19.5703125" style="15" customWidth="1" outlineLevel="1"/>
    <col min="7" max="7" width="15.42578125" style="15" customWidth="1" outlineLevel="1"/>
    <col min="8" max="9" width="16.7109375" style="15" customWidth="1" outlineLevel="1"/>
    <col min="10" max="11" width="19.5703125" style="15" customWidth="1" outlineLevel="1"/>
    <col min="12" max="12" width="6.28515625" style="15" customWidth="1"/>
    <col min="13" max="16" width="9.140625" style="15"/>
    <col min="18" max="22" width="9.140625" style="15"/>
  </cols>
  <sheetData>
    <row r="1" spans="1:22" ht="18">
      <c r="A1" s="16" t="s">
        <v>590</v>
      </c>
      <c r="B1" s="16"/>
      <c r="D1"/>
      <c r="E1"/>
      <c r="F1"/>
      <c r="G1"/>
      <c r="H1"/>
      <c r="I1"/>
      <c r="J1"/>
      <c r="K1"/>
      <c r="L1"/>
      <c r="M1"/>
      <c r="T1"/>
      <c r="U1"/>
      <c r="V1"/>
    </row>
    <row r="2" spans="1:22" ht="15.75" customHeight="1" thickBot="1">
      <c r="A2" s="18"/>
      <c r="B2" s="18"/>
      <c r="C2" s="402"/>
      <c r="D2" s="334"/>
      <c r="E2" s="334"/>
      <c r="F2" s="334"/>
      <c r="G2" s="334"/>
      <c r="H2" s="334"/>
      <c r="I2" s="334"/>
      <c r="J2" s="334"/>
      <c r="K2" s="334"/>
      <c r="L2" s="21"/>
    </row>
    <row r="3" spans="1:22" s="30" customFormat="1" ht="21.75" customHeight="1" thickBot="1">
      <c r="A3" s="1" t="s">
        <v>185</v>
      </c>
      <c r="B3" s="1"/>
      <c r="C3" s="1"/>
      <c r="D3" s="1012" t="s">
        <v>2541</v>
      </c>
      <c r="E3" s="403" t="s">
        <v>591</v>
      </c>
      <c r="F3" s="955" t="s">
        <v>2265</v>
      </c>
      <c r="G3" s="1013" t="s">
        <v>192</v>
      </c>
      <c r="H3" s="1014"/>
      <c r="I3" s="968" t="s">
        <v>2447</v>
      </c>
      <c r="J3" s="969" t="s">
        <v>2412</v>
      </c>
      <c r="K3" s="969" t="s">
        <v>2298</v>
      </c>
      <c r="L3" s="1015" t="s">
        <v>184</v>
      </c>
    </row>
    <row r="4" spans="1:22" s="30" customFormat="1" ht="15.75" hidden="1" customHeight="1" outlineLevel="1" thickBot="1">
      <c r="A4" s="1"/>
      <c r="B4" s="1"/>
      <c r="C4" s="1"/>
      <c r="D4" s="1012"/>
      <c r="E4" s="957" t="str">
        <f>HYPERLINK("https://intranet.atlnz.lc/systest/Jira_Reports/testExecReport/jiraExecReport.php?testPlanKey=199&amp;projectKey=TQUALTCM&amp;Report=Report","199")</f>
        <v>199</v>
      </c>
      <c r="F4" s="957" t="str">
        <f>HYPERLINK("https://intranet.atlnz.lc/systest/Jira_Reports/testExecReport/jiraExecReport.php?testPlanKey=572&amp;projectKey=TQUALTCM&amp;Report=Report","572")</f>
        <v>572</v>
      </c>
      <c r="G4" s="957" t="str">
        <f>HYPERLINK("https://intranet.atlnz.lc/systest/Jira_Reports/testExecReport/jiraExecReport.php?testPlanKey=200&amp;projectKey=TQUALTCM&amp;Report=Report","200")</f>
        <v>200</v>
      </c>
      <c r="H4" s="957" t="str">
        <f>HYPERLINK("https://intranet.atlnz.lc/systest/Jira_Reports/testExecReport/jiraExecReport.php?testPlanKey=201&amp;projectKey=TQUALTCM&amp;Report=Report","201")</f>
        <v>201</v>
      </c>
      <c r="I4" s="42"/>
      <c r="J4" s="957" t="str">
        <f>HYPERLINK("https://intranet.atlnz.lc/systest/Jira_Reports/testExecReport/jiraExecReport.php?testPlanKey=585&amp;projectKey=TQUALTCM&amp;Report=Report","585")</f>
        <v>585</v>
      </c>
      <c r="K4" s="42" t="str">
        <f>HYPERLINK("https://intranet.atlnz.lc/systest/Jira_Reports/testExecReport/jiraExecReport.php?testPlanKey=535&amp;projectKey=TQUALTCM&amp;Report=Report","535")</f>
        <v>535</v>
      </c>
      <c r="L4" s="1016"/>
    </row>
    <row r="5" spans="1:22" s="30" customFormat="1" ht="42" hidden="1" customHeight="1" outlineLevel="1" thickBot="1">
      <c r="A5" s="1"/>
      <c r="B5" s="1"/>
      <c r="C5" s="1"/>
      <c r="D5" s="1012"/>
      <c r="E5" s="143" t="s">
        <v>223</v>
      </c>
      <c r="F5" s="36" t="s">
        <v>223</v>
      </c>
      <c r="G5" s="143" t="s">
        <v>223</v>
      </c>
      <c r="H5" s="143" t="s">
        <v>223</v>
      </c>
      <c r="I5" s="36" t="s">
        <v>598</v>
      </c>
      <c r="J5" s="143" t="s">
        <v>2320</v>
      </c>
      <c r="K5" s="143" t="s">
        <v>2320</v>
      </c>
      <c r="L5" s="1016"/>
    </row>
    <row r="6" spans="1:22" s="30" customFormat="1" ht="31.5" hidden="1" customHeight="1" outlineLevel="1" thickBot="1">
      <c r="A6" s="1"/>
      <c r="B6" s="1"/>
      <c r="C6" s="1"/>
      <c r="D6" s="1012"/>
      <c r="E6" s="844" t="s">
        <v>591</v>
      </c>
      <c r="F6" s="844" t="s">
        <v>2265</v>
      </c>
      <c r="G6" s="844" t="s">
        <v>192</v>
      </c>
      <c r="H6" s="959" t="s">
        <v>192</v>
      </c>
      <c r="I6" s="959" t="s">
        <v>2447</v>
      </c>
      <c r="J6" s="844" t="s">
        <v>2409</v>
      </c>
      <c r="K6" s="844" t="s">
        <v>2319</v>
      </c>
      <c r="L6" s="1016"/>
    </row>
    <row r="7" spans="1:22" s="30" customFormat="1" ht="67.5" customHeight="1" collapsed="1" thickBot="1">
      <c r="A7" s="1"/>
      <c r="B7" s="1"/>
      <c r="C7" s="1"/>
      <c r="D7" s="1012"/>
      <c r="E7" s="404" t="s">
        <v>868</v>
      </c>
      <c r="F7" s="404" t="s">
        <v>2400</v>
      </c>
      <c r="G7" s="958" t="str">
        <f>'Rules-old'!C178</f>
        <v>XEM2-1CQ</v>
      </c>
      <c r="H7" s="961" t="s">
        <v>2222</v>
      </c>
      <c r="I7" s="933" t="s">
        <v>2396</v>
      </c>
      <c r="J7" s="404" t="s">
        <v>2411</v>
      </c>
      <c r="K7" s="933" t="s">
        <v>2307</v>
      </c>
      <c r="L7" s="1015"/>
    </row>
    <row r="8" spans="1:22" ht="30">
      <c r="A8" s="58" t="str">
        <f>HYPERLINK("https://wiki.atlnz.lc/awpwiki/index.php/Qualification_Transceiver_Inventory#AT-QSFP28-1CU","AT-QSFP28-1CU")</f>
        <v>AT-QSFP28-1CU</v>
      </c>
      <c r="B8" s="420" t="s">
        <v>592</v>
      </c>
      <c r="C8" s="405"/>
      <c r="D8" s="957" t="str">
        <f>HYPERLINK("https://intranet.atlnz.lc/systest/Jira_Reports/testExecReport/jiraExecReport.php?testPlanKey=71&amp;projectKey=TQUALTCM&amp;Report=Report","71")</f>
        <v>71</v>
      </c>
      <c r="E8" s="429" t="str">
        <f>HYPERLINK("http://10.32.16.105/systest/Reports/TestLink/SuiteExecC.php?plan=480965&amp;rep=F&amp;platform=1151","Pass, Jan 19")</f>
        <v>Pass, Jan 19</v>
      </c>
      <c r="F8" s="956" t="s">
        <v>2413</v>
      </c>
      <c r="G8" s="150" t="s">
        <v>593</v>
      </c>
      <c r="H8" s="150" t="str">
        <f>HYPERLINK("http://10.32.16.105/systest/Reports/TestLink/SuiteExecC.php?plan=486616&amp;rep=F&amp;platform=1271","Pass, Oct 17")</f>
        <v>Pass, Oct 17</v>
      </c>
      <c r="I8" s="960" t="s">
        <v>2413</v>
      </c>
      <c r="J8" s="956" t="s">
        <v>2413</v>
      </c>
      <c r="K8" s="888" t="s">
        <v>2360</v>
      </c>
      <c r="L8" s="45"/>
    </row>
    <row r="9" spans="1:22" ht="30">
      <c r="A9" s="58" t="str">
        <f>HYPERLINK("https://wiki.atlnz.lc/awpwiki/index.php/Qualification_Transceiver_Inventory#AT-QSFP28-3CU","AT-QSFP28-3CU")</f>
        <v>AT-QSFP28-3CU</v>
      </c>
      <c r="B9" s="420" t="s">
        <v>592</v>
      </c>
      <c r="C9" s="420"/>
      <c r="D9" s="957" t="str">
        <f>HYPERLINK("https://intranet.atlnz.lc/systest/Jira_Reports/testExecReport/jiraExecReport.php?testPlanKey=72&amp;projectKey=TQUALTCM&amp;Report=Report","72")</f>
        <v>72</v>
      </c>
      <c r="E9" s="429" t="str">
        <f>HYPERLINK("http://10.32.16.105/systest/Reports/TestLink/SuiteExecC.php?plan=486353&amp;rep=F&amp;platform=1151","Pass, Jan 19")</f>
        <v>Pass, Jan 19</v>
      </c>
      <c r="F9" s="956" t="s">
        <v>2413</v>
      </c>
      <c r="G9" s="166" t="s">
        <v>593</v>
      </c>
      <c r="H9" s="166" t="str">
        <f>HYPERLINK("http://10.32.16.105/systest/Reports/TestLink/SuiteExecC.php?plan=486616&amp;rep=F&amp;platform=1272","Pass, Oct 17")</f>
        <v>Pass, Oct 17</v>
      </c>
      <c r="I9" s="956" t="s">
        <v>2413</v>
      </c>
      <c r="J9" s="956" t="s">
        <v>2413</v>
      </c>
      <c r="K9" s="888" t="s">
        <v>2360</v>
      </c>
      <c r="L9" s="45"/>
    </row>
    <row r="10" spans="1:22" ht="30">
      <c r="A10" s="58" t="str">
        <f>HYPERLINK("https://wiki.atlnz.lc/awpwiki/index.php/Qualification_Transceiver_Inventory#AT-QSFP28LR4","AT-QSFP28LR4")</f>
        <v>AT-QSFP28LR4</v>
      </c>
      <c r="B10" s="420" t="s">
        <v>483</v>
      </c>
      <c r="C10" s="420"/>
      <c r="D10" s="957" t="str">
        <f>HYPERLINK("https://intranet.atlnz.lc/systest/Jira_Reports/testExecReport/jiraExecReport.php?testPlanKey=69&amp;projectKey=TQUALTCM&amp;Report=Report","69")</f>
        <v>69</v>
      </c>
      <c r="E10" s="429" t="s">
        <v>138</v>
      </c>
      <c r="F10" s="956" t="s">
        <v>2413</v>
      </c>
      <c r="G10" s="166" t="s">
        <v>594</v>
      </c>
      <c r="H10" s="166" t="str">
        <f>HYPERLINK("http://10.32.16.105/systest/Reports/TestLink/SuiteExecC.php?plan=486616&amp;rep=F&amp;platform=1185","Pass, Oct 17")</f>
        <v>Pass, Oct 17</v>
      </c>
      <c r="I10" s="956" t="s">
        <v>2413</v>
      </c>
      <c r="J10" s="956" t="s">
        <v>2413</v>
      </c>
      <c r="K10" s="881" t="s">
        <v>2378</v>
      </c>
      <c r="L10" s="45"/>
    </row>
    <row r="11" spans="1:22" ht="30">
      <c r="A11" s="58" t="str">
        <f>HYPERLINK("https://wiki.atlnz.lc/awpwiki/index.php/Qualification_Transceiver_Inventory#AT-QSFP28SR4","AT-QSFP28SR4")</f>
        <v>AT-QSFP28SR4</v>
      </c>
      <c r="B11" s="420" t="s">
        <v>163</v>
      </c>
      <c r="C11" s="420"/>
      <c r="D11" s="957" t="str">
        <f>HYPERLINK("https://intranet.atlnz.lc/systest/Jira_Reports/testExecReport/jiraExecReport.php?testPlanKey=70&amp;projectKey=TQUALTCM&amp;Report=Report","70")</f>
        <v>70</v>
      </c>
      <c r="E11" s="887" t="s">
        <v>138</v>
      </c>
      <c r="F11" s="956" t="s">
        <v>2413</v>
      </c>
      <c r="G11" s="166" t="s">
        <v>594</v>
      </c>
      <c r="H11" s="166" t="str">
        <f>HYPERLINK("http://10.32.16.105/systest/Reports/TestLink/SuiteExecC.php?plan=486616&amp;rep=F&amp;platform=1186","Pass, Oct 17")</f>
        <v>Pass, Oct 17</v>
      </c>
      <c r="I11" s="956" t="s">
        <v>2413</v>
      </c>
      <c r="J11" s="956" t="s">
        <v>2413</v>
      </c>
      <c r="K11" s="888" t="s">
        <v>2360</v>
      </c>
      <c r="L11" s="45"/>
    </row>
    <row r="12" spans="1:22" ht="30">
      <c r="A12" s="86" t="str">
        <f>HYPERLINK("https://wiki.atlnz.lc/awpwiki/index.php/Qualification_Transceiver_Inventory#AT-QSFP28SR4_J85_B","AT-QSFP28SR4")</f>
        <v>AT-QSFP28SR4</v>
      </c>
      <c r="B12" s="430" t="s">
        <v>161</v>
      </c>
      <c r="C12" s="430" t="s">
        <v>161</v>
      </c>
      <c r="D12" s="957" t="str">
        <f>HYPERLINK("https://intranet.atlnz.lc/systest/Jira_Reports/testExecReport/jiraExecReport.php?testPlanKey=326&amp;projectKey=TQUALTCM&amp;Report=Report","326")</f>
        <v>326</v>
      </c>
      <c r="E12" s="888" t="s">
        <v>301</v>
      </c>
      <c r="F12" s="956" t="s">
        <v>2413</v>
      </c>
      <c r="G12" s="888" t="s">
        <v>595</v>
      </c>
      <c r="H12" s="888" t="s">
        <v>596</v>
      </c>
      <c r="I12" s="956" t="s">
        <v>2413</v>
      </c>
      <c r="J12" s="956" t="s">
        <v>2413</v>
      </c>
      <c r="K12" s="888" t="s">
        <v>2360</v>
      </c>
      <c r="L12" s="90"/>
    </row>
    <row r="13" spans="1:22" ht="30">
      <c r="A13" s="86" t="str">
        <f>HYPERLINK("https://wiki.atlnz.lc/awpwiki/index.php/Qualification_Transceiver_Inventory#AT-QSFP28ZR4_X2","AT-QSFP28ZR4")</f>
        <v>AT-QSFP28ZR4</v>
      </c>
      <c r="B13" s="430" t="s">
        <v>487</v>
      </c>
      <c r="C13" s="430"/>
      <c r="D13" s="957" t="str">
        <f>HYPERLINK("https://intranet.atlnz.lc/systest/Jira_Reports/testExecReport/jiraExecReport.php?testPlanKey=487&amp;projectKey=TQUALTCM&amp;Report=Report","487")</f>
        <v>487</v>
      </c>
      <c r="E13" s="888" t="s">
        <v>2166</v>
      </c>
      <c r="F13" s="956" t="s">
        <v>2413</v>
      </c>
      <c r="G13" s="888" t="s">
        <v>2166</v>
      </c>
      <c r="H13" s="888" t="s">
        <v>2166</v>
      </c>
      <c r="I13" s="956" t="s">
        <v>2413</v>
      </c>
      <c r="J13" s="956" t="s">
        <v>2413</v>
      </c>
      <c r="K13" s="888" t="s">
        <v>2360</v>
      </c>
      <c r="L13" s="90"/>
    </row>
    <row r="14" spans="1:22" ht="25.5">
      <c r="A14" s="86" t="str">
        <f>HYPERLINK("https://wiki.atlnz.lc/awpwiki/index.php/Qualification_Transceiver_Inventory#AT-QSFP28-DR1_?","AT-QSFP28-DR1")</f>
        <v>AT-QSFP28-DR1</v>
      </c>
      <c r="B14" s="430" t="s">
        <v>598</v>
      </c>
      <c r="C14" s="430"/>
      <c r="D14" s="957" t="str">
        <f>HYPERLINK("https://intranet.atlnz.lc/systest/Jira_Reports/testExecReport/jiraExecReport.php?testPlanKey=579&amp;projectKey=TQUALTCM&amp;Report=Report","579")</f>
        <v>579</v>
      </c>
      <c r="E14" s="888" t="s">
        <v>165</v>
      </c>
      <c r="F14" s="888"/>
      <c r="G14" s="888"/>
      <c r="H14" s="888"/>
      <c r="I14" s="888"/>
      <c r="J14" s="888"/>
      <c r="K14" s="845" t="s">
        <v>2404</v>
      </c>
      <c r="L14" s="90"/>
    </row>
    <row r="15" spans="1:22" ht="25.5">
      <c r="A15" s="86" t="str">
        <f>HYPERLINK("https://wiki.atlnz.lc/awpwiki/index.php/Qualification_Transceiver_Inventory#AT-QSFP28ZR4_X2","AT-QSFP284SFP25G-3CU")</f>
        <v>AT-QSFP284SFP25G-3CU</v>
      </c>
      <c r="B15" s="430" t="s">
        <v>598</v>
      </c>
      <c r="C15" s="430"/>
      <c r="D15" s="957" t="str">
        <f>HYPERLINK("https://intranet.atlnz.lc/systest/Jira_Reports/testExecReport/jiraExecReport.php?testPlanKey=580&amp;projectKey=TQUALTCM&amp;Report=Report","580")</f>
        <v>580</v>
      </c>
      <c r="E15" s="888" t="s">
        <v>165</v>
      </c>
      <c r="F15" s="888"/>
      <c r="G15" s="888"/>
      <c r="H15" s="888"/>
      <c r="I15" s="888"/>
      <c r="J15" s="888"/>
      <c r="K15" s="845" t="s">
        <v>2404</v>
      </c>
      <c r="L15" s="90"/>
    </row>
    <row r="16" spans="1:22" ht="25.5">
      <c r="A16" s="86" t="str">
        <f>HYPERLINK("https://wiki.atlnz.lc/awpwiki/index.php/Qualification_Transceiver_Inventory#AT-QSFP28-4SFP25G-5CU_?","AT-QSFP28-4SFP25G-5CU")</f>
        <v>AT-QSFP28-4SFP25G-5CU</v>
      </c>
      <c r="B16" s="430" t="s">
        <v>598</v>
      </c>
      <c r="C16" s="430"/>
      <c r="D16" s="957" t="str">
        <f>HYPERLINK("https://intranet.atlnz.lc/systest/Jira_Reports/testExecReport/jiraExecReport.php?testPlanKey=581&amp;projectKey=TQUALTCM&amp;Report=Report","581")</f>
        <v>581</v>
      </c>
      <c r="E16" s="888" t="s">
        <v>165</v>
      </c>
      <c r="F16" s="888"/>
      <c r="G16" s="888"/>
      <c r="H16" s="888"/>
      <c r="I16" s="888"/>
      <c r="J16" s="888"/>
      <c r="K16" s="845" t="s">
        <v>2404</v>
      </c>
      <c r="L16" s="90"/>
    </row>
    <row r="17" spans="1:22">
      <c r="A17" s="421" t="s">
        <v>400</v>
      </c>
      <c r="B17" s="422"/>
      <c r="C17" s="422"/>
      <c r="D17" s="422"/>
      <c r="E17" s="422"/>
      <c r="F17" s="422"/>
      <c r="G17" s="422"/>
      <c r="H17" s="422"/>
      <c r="I17" s="422"/>
      <c r="J17" s="422"/>
      <c r="K17" s="422"/>
      <c r="L17" s="90"/>
      <c r="M17"/>
      <c r="N17"/>
      <c r="O17"/>
      <c r="P17"/>
      <c r="R17"/>
      <c r="S17"/>
      <c r="T17"/>
      <c r="U17"/>
      <c r="V17"/>
    </row>
    <row r="18" spans="1:22" ht="25.5" hidden="1" outlineLevel="1">
      <c r="A18" s="39" t="str">
        <f>HYPERLINK("https://wiki.atlnz.lc/awpwiki/index.php/Qualification_Transceiver_Inventory#AT-QSFP28SR4_J85_X3","AT-QSFP28SR4 (J85)")</f>
        <v>AT-QSFP28SR4 (J85)</v>
      </c>
      <c r="B18" s="405" t="s">
        <v>515</v>
      </c>
      <c r="C18" s="405" t="s">
        <v>161</v>
      </c>
      <c r="D18" s="42">
        <v>326</v>
      </c>
      <c r="E18" s="147" t="s">
        <v>301</v>
      </c>
      <c r="F18" s="147"/>
      <c r="G18" s="147" t="s">
        <v>595</v>
      </c>
      <c r="H18" s="147" t="s">
        <v>596</v>
      </c>
      <c r="I18" s="147"/>
      <c r="J18" s="147"/>
      <c r="K18" s="147" t="s">
        <v>301</v>
      </c>
      <c r="L18" s="413"/>
    </row>
    <row r="19" spans="1:22" ht="25.5" hidden="1" outlineLevel="1">
      <c r="A19" s="58" t="str">
        <f>HYPERLINK("https://wiki.atlnz.lc/awpwiki/index.php/Qualification_Transceiver_Inventory#AT-QSFP28SR4_J85","AT-QSFP28SR4 (J85)")</f>
        <v>AT-QSFP28SR4 (J85)</v>
      </c>
      <c r="B19" s="420" t="s">
        <v>487</v>
      </c>
      <c r="C19" s="420" t="s">
        <v>161</v>
      </c>
      <c r="D19" s="42">
        <v>326</v>
      </c>
      <c r="E19" s="163" t="s">
        <v>301</v>
      </c>
      <c r="F19" s="163"/>
      <c r="G19" s="163" t="s">
        <v>595</v>
      </c>
      <c r="H19" s="163" t="s">
        <v>596</v>
      </c>
      <c r="I19" s="163"/>
      <c r="J19" s="163"/>
      <c r="K19" s="163" t="s">
        <v>301</v>
      </c>
      <c r="L19" s="45"/>
    </row>
    <row r="20" spans="1:22" ht="39" hidden="1" outlineLevel="1">
      <c r="A20" s="86" t="str">
        <f>HYPERLINK("https://wiki.atlnz.lc/awpwiki/index.php/Qualification_Transceiver_Inventory#AT-QSFP28ZR4_X1","AT-QSFP28ZR4")</f>
        <v>AT-QSFP28ZR4</v>
      </c>
      <c r="B20" s="430" t="s">
        <v>483</v>
      </c>
      <c r="C20" s="430"/>
      <c r="D20" s="88">
        <v>472</v>
      </c>
      <c r="E20" s="861" t="s">
        <v>2056</v>
      </c>
      <c r="F20" s="861"/>
      <c r="G20" s="861" t="s">
        <v>2056</v>
      </c>
      <c r="H20" s="861" t="s">
        <v>2056</v>
      </c>
      <c r="I20" s="861"/>
      <c r="J20" s="861"/>
      <c r="K20" s="861" t="s">
        <v>2056</v>
      </c>
      <c r="L20" s="90"/>
    </row>
    <row r="21" spans="1:22" collapsed="1"/>
    <row r="27" spans="1:22">
      <c r="G27"/>
    </row>
  </sheetData>
  <mergeCells count="4">
    <mergeCell ref="A3:C7"/>
    <mergeCell ref="D3:D7"/>
    <mergeCell ref="G3:H3"/>
    <mergeCell ref="L3:L7"/>
  </mergeCells>
  <phoneticPr fontId="64" type="noConversion"/>
  <conditionalFormatting sqref="L8:L10 L1:L3 L20:L65457 L12:L17 G12:H16 K11:K13 E12:E16">
    <cfRule type="expression" dxfId="1825" priority="12">
      <formula>NOT(ISERROR(SEARCH("fail,",E1)))</formula>
    </cfRule>
  </conditionalFormatting>
  <conditionalFormatting sqref="L11">
    <cfRule type="expression" dxfId="1824" priority="13">
      <formula>NOT(ISERROR(SEARCH("fail,",L11)))</formula>
    </cfRule>
  </conditionalFormatting>
  <conditionalFormatting sqref="L19">
    <cfRule type="expression" dxfId="1823" priority="15">
      <formula>NOT(ISERROR(SEARCH("fail,",L19)))</formula>
    </cfRule>
  </conditionalFormatting>
  <conditionalFormatting sqref="E19:K19">
    <cfRule type="expression" dxfId="1822" priority="16">
      <formula>NOT(ISERROR(SEARCH("fail,",E19)))</formula>
    </cfRule>
  </conditionalFormatting>
  <conditionalFormatting sqref="L18">
    <cfRule type="expression" dxfId="1821" priority="17">
      <formula>NOT(ISERROR(SEARCH("fail,",L18)))</formula>
    </cfRule>
  </conditionalFormatting>
  <conditionalFormatting sqref="E18:K18">
    <cfRule type="expression" dxfId="1820" priority="18">
      <formula>NOT(ISERROR(SEARCH("fail,",E18)))</formula>
    </cfRule>
  </conditionalFormatting>
  <conditionalFormatting sqref="E6">
    <cfRule type="expression" dxfId="1819" priority="19">
      <formula>NOT(ISERROR(SEARCH("fail,",E6)))</formula>
    </cfRule>
  </conditionalFormatting>
  <conditionalFormatting sqref="F6:H6 J6">
    <cfRule type="expression" dxfId="1818" priority="20">
      <formula>NOT(ISERROR(SEARCH("fail,",F6)))</formula>
    </cfRule>
  </conditionalFormatting>
  <conditionalFormatting sqref="E20:K20">
    <cfRule type="expression" dxfId="1817" priority="9">
      <formula>NOT(ISERROR(SEARCH("fail,",E20)))</formula>
    </cfRule>
  </conditionalFormatting>
  <conditionalFormatting sqref="E13 G13:H13">
    <cfRule type="expression" dxfId="1816" priority="8">
      <formula>NOT(ISERROR(SEARCH("fail,",E13)))</formula>
    </cfRule>
  </conditionalFormatting>
  <conditionalFormatting sqref="K6">
    <cfRule type="expression" dxfId="1815" priority="7">
      <formula>NOT(ISERROR(SEARCH("fail,",K6)))</formula>
    </cfRule>
  </conditionalFormatting>
  <conditionalFormatting sqref="K8:K9">
    <cfRule type="expression" dxfId="1814" priority="6">
      <formula>NOT(ISERROR(SEARCH("fail,",K8)))</formula>
    </cfRule>
  </conditionalFormatting>
  <conditionalFormatting sqref="J14:J16">
    <cfRule type="expression" dxfId="1813" priority="3">
      <formula>NOT(ISERROR(SEARCH("fail,",J14)))</formula>
    </cfRule>
  </conditionalFormatting>
  <conditionalFormatting sqref="F14:F16">
    <cfRule type="expression" dxfId="1812" priority="2">
      <formula>NOT(ISERROR(SEARCH("fail,",F14)))</formula>
    </cfRule>
  </conditionalFormatting>
  <conditionalFormatting sqref="I14:I16">
    <cfRule type="expression" dxfId="1811" priority="1">
      <formula>NOT(ISERROR(SEARCH("fail,",I14)))</formula>
    </cfRule>
  </conditionalFormatting>
  <hyperlinks>
    <hyperlink ref="G8" r:id="rId1" xr:uid="{00000000-0004-0000-0700-000001000000}"/>
    <hyperlink ref="G9" r:id="rId2" xr:uid="{00000000-0004-0000-0700-000002000000}"/>
    <hyperlink ref="E10" r:id="rId3" xr:uid="{00000000-0004-0000-0700-000004000000}"/>
    <hyperlink ref="G10" r:id="rId4" xr:uid="{00000000-0004-0000-0700-000005000000}"/>
    <hyperlink ref="E11" r:id="rId5" xr:uid="{00000000-0004-0000-0700-000006000000}"/>
    <hyperlink ref="G11" r:id="rId6" xr:uid="{00000000-0004-0000-0700-000007000000}"/>
    <hyperlink ref="D18" r:id="rId7" display="https://intranet.atlnz.lc/systest/Jira_Reports/testExecReport/jiraExecReport.php?testPlanKey=326&amp;projectKey=TQUALTCM&amp;Report=Report" xr:uid="{00000000-0004-0000-0700-000009000000}"/>
    <hyperlink ref="E18" r:id="rId8" xr:uid="{00000000-0004-0000-0700-00000A000000}"/>
    <hyperlink ref="G18" r:id="rId9" xr:uid="{00000000-0004-0000-0700-00000B000000}"/>
    <hyperlink ref="H18" r:id="rId10" xr:uid="{00000000-0004-0000-0700-00000C000000}"/>
    <hyperlink ref="D19" r:id="rId11" display="https://intranet.atlnz.lc/systest/Jira_Reports/testExecReport/jiraExecReport.php?testPlanKey=326&amp;projectKey=TQUALTCM&amp;Report=Report" xr:uid="{00000000-0004-0000-0700-00000D000000}"/>
    <hyperlink ref="E19" r:id="rId12" xr:uid="{00000000-0004-0000-0700-00000E000000}"/>
    <hyperlink ref="G19" r:id="rId13" xr:uid="{00000000-0004-0000-0700-00000F000000}"/>
    <hyperlink ref="H19" r:id="rId14" xr:uid="{00000000-0004-0000-0700-000010000000}"/>
    <hyperlink ref="D20" r:id="rId15" display="https://intranet.atlnz.lc/systest/Jira_Reports/testExecReport/jiraExecReport.php?testPlanKey=472&amp;projectKey=TQUALTCM&amp;Report=Report" xr:uid="{00000000-0004-0000-0700-000016000000}"/>
    <hyperlink ref="G20" r:id="rId16" display="https://intranet.atlnz.lc/systest/Jira_Reports/testExecReport/jiraExecReport.php?testPlanKey=472&amp;projectKey=TQUALTCM&amp;Report=Report" xr:uid="{00000000-0004-0000-0700-000017000000}"/>
    <hyperlink ref="E20" r:id="rId17" display="https://intranet.atlnz.lc/systest/Jira_Reports/testExecReport/jiraExecReport.php?testPlanKey=472&amp;projectKey=TQUALTCM&amp;Report=Report" xr:uid="{00000000-0004-0000-0700-000018000000}"/>
    <hyperlink ref="H20" r:id="rId18" display="https://intranet.atlnz.lc/systest/Jira_Reports/testExecReport/jiraExecReport.php?testPlanKey=472&amp;projectKey=TQUALTCM&amp;Report=Report" xr:uid="{00000000-0004-0000-0700-000019000000}"/>
    <hyperlink ref="K18" r:id="rId19" xr:uid="{18FF2865-BC84-4B6E-A2A7-ADF3525C65FE}"/>
    <hyperlink ref="K19" r:id="rId20" xr:uid="{4E8AA998-2E4A-490A-BD5B-32461109F7F4}"/>
    <hyperlink ref="K20" r:id="rId21" display="https://intranet.atlnz.lc/systest/Jira_Reports/testExecReport/jiraExecReport.php?testPlanKey=472&amp;projectKey=TQUALTCM&amp;Report=Report" xr:uid="{BA4D9EA3-CACB-4722-BCB7-841ABDE10D4F}"/>
  </hyperlinks>
  <pageMargins left="0.70833333333333304" right="0.70833333333333304" top="0.74791666666666701" bottom="0.74791666666666701" header="0.51180555555555496" footer="0.51180555555555496"/>
  <pageSetup paperSize="8" firstPageNumber="0" orientation="landscape" horizontalDpi="300" verticalDpi="300" r:id="rId22"/>
  <legacyDrawing r:id="rId2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rgb="FFFFC000"/>
  </sheetPr>
  <dimension ref="A1:P16"/>
  <sheetViews>
    <sheetView zoomScaleNormal="100" workbookViewId="0">
      <selection activeCell="C3" sqref="C3:C7"/>
    </sheetView>
  </sheetViews>
  <sheetFormatPr defaultColWidth="9.140625" defaultRowHeight="15" outlineLevelRow="1" outlineLevelCol="1"/>
  <cols>
    <col min="1" max="1" width="27.140625" style="15" customWidth="1"/>
    <col min="2" max="2" width="9.140625" style="15"/>
    <col min="3" max="3" width="8.7109375" style="15" customWidth="1"/>
    <col min="4" max="5" width="19.5703125" style="15" customWidth="1" outlineLevel="1"/>
    <col min="6" max="6" width="6.28515625" style="15" customWidth="1"/>
    <col min="7" max="10" width="9.140625" style="15"/>
    <col min="12" max="16" width="9.140625" style="15"/>
  </cols>
  <sheetData>
    <row r="1" spans="1:16" ht="26.25">
      <c r="A1" s="16" t="s">
        <v>597</v>
      </c>
      <c r="C1"/>
      <c r="D1" s="862"/>
      <c r="E1" s="862"/>
      <c r="F1"/>
      <c r="G1"/>
      <c r="N1"/>
      <c r="O1"/>
      <c r="P1"/>
    </row>
    <row r="2" spans="1:16" ht="15.75" customHeight="1" thickBot="1">
      <c r="A2" s="18"/>
      <c r="B2" s="402"/>
      <c r="C2" s="20"/>
      <c r="D2" s="20"/>
      <c r="E2" s="20"/>
      <c r="F2" s="21"/>
    </row>
    <row r="3" spans="1:16" s="30" customFormat="1" ht="21.75" customHeight="1" thickBot="1">
      <c r="A3" s="1" t="s">
        <v>185</v>
      </c>
      <c r="B3" s="1"/>
      <c r="C3" s="1012" t="s">
        <v>2541</v>
      </c>
      <c r="D3" s="930" t="s">
        <v>2409</v>
      </c>
      <c r="E3" s="930" t="s">
        <v>2298</v>
      </c>
      <c r="F3" s="1016" t="s">
        <v>184</v>
      </c>
    </row>
    <row r="4" spans="1:16" s="30" customFormat="1" ht="15.75" hidden="1" customHeight="1" outlineLevel="1" thickBot="1">
      <c r="A4" s="1"/>
      <c r="B4" s="1"/>
      <c r="C4" s="1012"/>
      <c r="D4" s="957" t="str">
        <f>HYPERLINK("https://intranet.atlnz.lc/systest/Jira_Reports/testExecReport/jiraExecReport.php?testPlanKey=584&amp;projectKey=TQUALTCM&amp;Report=Report","TP584")</f>
        <v>TP584</v>
      </c>
      <c r="E4" s="957" t="str">
        <f>HYPERLINK("https://intranet.atlnz.lc/systest/Jira_Reports/testExecReport/jiraExecReport.php?testPlanKey=533&amp;projectKey=TQUALTCM&amp;Report=Report","TP533")</f>
        <v>TP533</v>
      </c>
      <c r="F4" s="1016"/>
    </row>
    <row r="5" spans="1:16" s="30" customFormat="1" ht="46.5" hidden="1" customHeight="1" outlineLevel="1" thickBot="1">
      <c r="A5" s="1"/>
      <c r="B5" s="1"/>
      <c r="C5" s="1012"/>
      <c r="D5" s="36" t="s">
        <v>2320</v>
      </c>
      <c r="E5" s="36" t="s">
        <v>223</v>
      </c>
      <c r="F5" s="1016"/>
    </row>
    <row r="6" spans="1:16" s="30" customFormat="1" ht="31.5" hidden="1" customHeight="1" outlineLevel="1" thickBot="1">
      <c r="A6" s="1"/>
      <c r="B6" s="1"/>
      <c r="C6" s="1012"/>
      <c r="D6" s="844" t="s">
        <v>2409</v>
      </c>
      <c r="E6" s="844" t="s">
        <v>2317</v>
      </c>
      <c r="F6" s="1016"/>
    </row>
    <row r="7" spans="1:16" s="30" customFormat="1" ht="67.5" customHeight="1" collapsed="1" thickBot="1">
      <c r="A7" s="1"/>
      <c r="B7" s="1"/>
      <c r="C7" s="1012"/>
      <c r="D7" s="404" t="s">
        <v>2410</v>
      </c>
      <c r="E7" s="404" t="s">
        <v>2047</v>
      </c>
      <c r="F7" s="1016"/>
    </row>
    <row r="8" spans="1:16" ht="30">
      <c r="A8" s="58" t="str">
        <f>HYPERLINK("https://wiki.atlnz.lc/awpwiki/index.php/Qualification_Transceiver_Inventory#AT-QSFPDD-1CU","AT-QSFPDD-1CU")</f>
        <v>AT-QSFPDD-1CU</v>
      </c>
      <c r="B8" s="405" t="s">
        <v>324</v>
      </c>
      <c r="C8" s="957" t="str">
        <f>HYPERLINK("https://intranet.atlnz.lc/systest/Jira_Reports/testExecReport/jiraExecReport.php?testPlanKey=475&amp;projectKey=TQUALTCM&amp;Report=Report","475")</f>
        <v>475</v>
      </c>
      <c r="D8" s="956" t="s">
        <v>2393</v>
      </c>
      <c r="E8" s="888" t="s">
        <v>2360</v>
      </c>
      <c r="F8" s="45"/>
    </row>
    <row r="9" spans="1:16" ht="30">
      <c r="A9" s="58" t="str">
        <f>HYPERLINK("https://wiki.atlnz.lc/awpwiki/index.php/Qualification_Transceiver_Inventory#AT-QSFPDD-2.5CU","AT-QSFPDD-2.5CU")</f>
        <v>AT-QSFPDD-2.5CU</v>
      </c>
      <c r="B9" s="405" t="s">
        <v>324</v>
      </c>
      <c r="C9" s="957" t="str">
        <f>HYPERLINK("https://intranet.atlnz.lc/systest/Jira_Reports/testExecReport/jiraExecReport.php?testPlanKey=476&amp;projectKey=TQUALTCM&amp;Report=Report","476")</f>
        <v>476</v>
      </c>
      <c r="D9" s="956" t="s">
        <v>2393</v>
      </c>
      <c r="E9" s="888" t="s">
        <v>2360</v>
      </c>
      <c r="F9" s="45"/>
    </row>
    <row r="10" spans="1:16">
      <c r="A10" s="58" t="str">
        <f>HYPERLINK("https://wiki.atlnz.lc/awpwiki/index.php/Qualification_Transceiver_Inventory#AT-QSFPDD-AOC-CT","AT-QSFPDD-AOC-CT")</f>
        <v>AT-QSFPDD-AOC-CT</v>
      </c>
      <c r="B10" s="405" t="s">
        <v>598</v>
      </c>
      <c r="C10" s="957" t="str">
        <f>HYPERLINK("https://intranet.atlnz.lc/systest/Jira_Reports/testExecReport/jiraExecReport.php?testPlanKey=442&amp;projectKey=TQUALTCM&amp;Report=Report","442")</f>
        <v>442</v>
      </c>
      <c r="D10" s="956" t="s">
        <v>2393</v>
      </c>
      <c r="E10" s="932" t="s">
        <v>2321</v>
      </c>
      <c r="F10" s="45"/>
    </row>
    <row r="11" spans="1:16" ht="30">
      <c r="A11" s="58" t="str">
        <f>HYPERLINK("https://wiki.atlnz.lc/awpwiki/index.php/Qualification_Transceiver_Inventory#AT-QSFPDD-SR8-X3","AT-QSFPDD-SR8")</f>
        <v>AT-QSFPDD-SR8</v>
      </c>
      <c r="B11" s="405" t="s">
        <v>515</v>
      </c>
      <c r="C11" s="957" t="str">
        <f>HYPERLINK("https://intranet.atlnz.lc/systest/Jira_Reports/testExecReport/jiraExecReport.php?testPlanKey=443&amp;projectKey=TQUALTCM&amp;Report=Report","443")</f>
        <v>443</v>
      </c>
      <c r="D11" s="956" t="s">
        <v>2446</v>
      </c>
      <c r="E11" s="888" t="s">
        <v>2360</v>
      </c>
      <c r="F11" s="45"/>
    </row>
    <row r="12" spans="1:16" ht="25.5">
      <c r="A12" s="58" t="str">
        <f>HYPERLINK("https://wiki.atlnz.lc/awpwiki/index.php/Qualification_Transceiver_Inventory#AT-QSFPDD-SR8-X5","AT-QSFPDD-SR8")</f>
        <v>AT-QSFPDD-SR8</v>
      </c>
      <c r="B12" s="405" t="s">
        <v>2445</v>
      </c>
      <c r="C12" s="957" t="str">
        <f>HYPERLINK("https://intranet.atlnz.lc/systest/Jira_Reports/testExecReport/jiraExecReport.php?testPlanKey=597&amp;projectKey=TQUALTCM&amp;Report=Report","597")</f>
        <v>597</v>
      </c>
      <c r="D12" s="845" t="s">
        <v>2404</v>
      </c>
      <c r="E12" s="845" t="s">
        <v>2404</v>
      </c>
      <c r="F12" s="45"/>
      <c r="I12" s="30"/>
      <c r="J12" s="30"/>
      <c r="K12" s="30"/>
    </row>
    <row r="13" spans="1:16" ht="25.5">
      <c r="A13" s="58" t="str">
        <f>HYPERLINK("https://wiki.atlnz.lc/awpwiki/index.php/Qualification_Transceiver_Inventory#AT-QSFPDD-DR4-?","AT-QSFPDD-DR4")</f>
        <v>AT-QSFPDD-DR4</v>
      </c>
      <c r="B13" s="405" t="s">
        <v>598</v>
      </c>
      <c r="C13" s="957" t="str">
        <f>HYPERLINK("https://intranet.atlnz.lc/systest/Jira_Reports/testExecReport/jiraExecReport.php?testPlanKey=575&amp;projectKey=TQUALTCM&amp;Report=Report","575")</f>
        <v>575</v>
      </c>
      <c r="D13" s="845" t="s">
        <v>2404</v>
      </c>
      <c r="E13" s="845" t="s">
        <v>2404</v>
      </c>
      <c r="F13" s="45"/>
    </row>
    <row r="14" spans="1:16" ht="25.5">
      <c r="A14" s="58" t="str">
        <f>HYPERLINK("https://wiki.atlnz.lc/awpwiki/index.php/Qualification_Transceiver_Inventory#AT-QSFPDD-FR4-?","AT-QSFPDD-FR4")</f>
        <v>AT-QSFPDD-FR4</v>
      </c>
      <c r="B14" s="405" t="s">
        <v>598</v>
      </c>
      <c r="C14" s="957" t="str">
        <f>HYPERLINK("https://intranet.atlnz.lc/systest/Jira_Reports/testExecReport/jiraExecReport.php?testPlanKey=576&amp;projectKey=TQUALTCM&amp;Report=Report","576")</f>
        <v>576</v>
      </c>
      <c r="D14" s="845" t="s">
        <v>2404</v>
      </c>
      <c r="E14" s="845" t="s">
        <v>2404</v>
      </c>
      <c r="F14" s="45"/>
    </row>
    <row r="15" spans="1:16" ht="25.5">
      <c r="A15" s="58" t="str">
        <f>HYPERLINK("https://wiki.atlnz.lc/awpwiki/index.php/Qualification_Transceiver_Inventory#AT-QSFPDD-4QSFP28-AEC3-?","AT-QSFPDD-4QSFP28-AEC3")</f>
        <v>AT-QSFPDD-4QSFP28-AEC3</v>
      </c>
      <c r="B15" s="405" t="s">
        <v>598</v>
      </c>
      <c r="C15" s="957" t="str">
        <f>HYPERLINK("https://intranet.atlnz.lc/systest/Jira_Reports/testExecReport/jiraExecReport.php?testPlanKey=577&amp;projectKey=TQUALTCM&amp;Report=Report","577")</f>
        <v>577</v>
      </c>
      <c r="D15" s="845" t="s">
        <v>2404</v>
      </c>
      <c r="E15" s="845" t="s">
        <v>2404</v>
      </c>
      <c r="F15" s="45"/>
    </row>
    <row r="16" spans="1:16" ht="25.5">
      <c r="A16" s="58" t="str">
        <f>HYPERLINK("https://wiki.atlnz.lc/awpwiki/index.php/Qualification_Transceiver_Inventory#AT-QSFPDD-4QSFP28-AEC5-?","AT-QSFPDD-4QSFP28-AEC5")</f>
        <v>AT-QSFPDD-4QSFP28-AEC5</v>
      </c>
      <c r="B16" s="405" t="s">
        <v>598</v>
      </c>
      <c r="C16" s="957" t="str">
        <f>HYPERLINK("https://intranet.atlnz.lc/systest/Jira_Reports/testExecReport/jiraExecReport.php?testPlanKey=578&amp;projectKey=TQUALTCM&amp;Report=Report","578")</f>
        <v>578</v>
      </c>
      <c r="D16" s="845" t="s">
        <v>2404</v>
      </c>
      <c r="E16" s="845" t="s">
        <v>2404</v>
      </c>
      <c r="F16" s="45"/>
    </row>
  </sheetData>
  <mergeCells count="3">
    <mergeCell ref="A3:B7"/>
    <mergeCell ref="C3:C7"/>
    <mergeCell ref="F3:F7"/>
  </mergeCells>
  <phoneticPr fontId="64" type="noConversion"/>
  <conditionalFormatting sqref="F1:F3 F11:F65451">
    <cfRule type="expression" dxfId="1810" priority="5">
      <formula>NOT(ISERROR(SEARCH("fail,",F1)))</formula>
    </cfRule>
  </conditionalFormatting>
  <conditionalFormatting sqref="F10">
    <cfRule type="expression" dxfId="1809" priority="6">
      <formula>NOT(ISERROR(SEARCH("fail,",F10)))</formula>
    </cfRule>
  </conditionalFormatting>
  <conditionalFormatting sqref="F8:F9">
    <cfRule type="expression" dxfId="1808" priority="3">
      <formula>NOT(ISERROR(SEARCH("fail,",F8)))</formula>
    </cfRule>
  </conditionalFormatting>
  <conditionalFormatting sqref="E8:E9">
    <cfRule type="expression" dxfId="1807" priority="2">
      <formula>NOT(ISERROR(SEARCH("fail,",E8)))</formula>
    </cfRule>
  </conditionalFormatting>
  <conditionalFormatting sqref="E11">
    <cfRule type="expression" dxfId="1806" priority="1">
      <formula>NOT(ISERROR(SEARCH("fail,",E11)))</formula>
    </cfRule>
  </conditionalFormatting>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rgb="FF333399"/>
  </sheetPr>
  <dimension ref="A1:C23"/>
  <sheetViews>
    <sheetView zoomScale="115" zoomScaleNormal="115" workbookViewId="0">
      <selection activeCell="B27" sqref="B27"/>
    </sheetView>
  </sheetViews>
  <sheetFormatPr defaultColWidth="9" defaultRowHeight="15"/>
  <cols>
    <col min="2" max="2" width="18.42578125" customWidth="1"/>
    <col min="3" max="3" width="173" customWidth="1"/>
  </cols>
  <sheetData>
    <row r="1" spans="1:3">
      <c r="A1" s="1017" t="s">
        <v>599</v>
      </c>
      <c r="B1" s="1017"/>
      <c r="C1" s="1017"/>
    </row>
    <row r="2" spans="1:3">
      <c r="A2" s="15" t="s">
        <v>600</v>
      </c>
      <c r="B2" s="431" t="s">
        <v>601</v>
      </c>
      <c r="C2" t="s">
        <v>602</v>
      </c>
    </row>
    <row r="3" spans="1:3">
      <c r="A3" s="15" t="s">
        <v>603</v>
      </c>
      <c r="B3" s="431" t="s">
        <v>279</v>
      </c>
      <c r="C3" t="s">
        <v>604</v>
      </c>
    </row>
    <row r="4" spans="1:3">
      <c r="A4" s="15" t="s">
        <v>605</v>
      </c>
      <c r="B4" s="431" t="s">
        <v>323</v>
      </c>
      <c r="C4" t="s">
        <v>606</v>
      </c>
    </row>
    <row r="5" spans="1:3">
      <c r="A5" s="15" t="s">
        <v>330</v>
      </c>
      <c r="B5" s="431" t="s">
        <v>607</v>
      </c>
      <c r="C5" t="s">
        <v>608</v>
      </c>
    </row>
    <row r="6" spans="1:3">
      <c r="A6" s="15" t="s">
        <v>165</v>
      </c>
      <c r="B6" s="432" t="s">
        <v>609</v>
      </c>
      <c r="C6" t="s">
        <v>610</v>
      </c>
    </row>
    <row r="7" spans="1:3">
      <c r="A7" s="431" t="s">
        <v>319</v>
      </c>
      <c r="B7" s="431" t="s">
        <v>340</v>
      </c>
      <c r="C7" t="s">
        <v>611</v>
      </c>
    </row>
    <row r="8" spans="1:3">
      <c r="A8" s="15" t="s">
        <v>612</v>
      </c>
      <c r="B8" s="433" t="s">
        <v>613</v>
      </c>
      <c r="C8" t="s">
        <v>614</v>
      </c>
    </row>
    <row r="9" spans="1:3">
      <c r="A9" s="15" t="s">
        <v>615</v>
      </c>
      <c r="B9" s="431" t="s">
        <v>615</v>
      </c>
      <c r="C9" t="s">
        <v>616</v>
      </c>
    </row>
    <row r="10" spans="1:3">
      <c r="A10" s="1018" t="s">
        <v>617</v>
      </c>
      <c r="B10" s="1018"/>
      <c r="C10" s="1018"/>
    </row>
    <row r="16" spans="1:3">
      <c r="A16" t="s">
        <v>618</v>
      </c>
    </row>
    <row r="17" spans="2:3">
      <c r="B17" t="s">
        <v>619</v>
      </c>
      <c r="C17" t="s">
        <v>6</v>
      </c>
    </row>
    <row r="18" spans="2:3">
      <c r="B18" s="231" t="s">
        <v>156</v>
      </c>
      <c r="C18" t="s">
        <v>610</v>
      </c>
    </row>
    <row r="19" spans="2:3">
      <c r="B19" s="213" t="s">
        <v>340</v>
      </c>
      <c r="C19" t="s">
        <v>611</v>
      </c>
    </row>
    <row r="20" spans="2:3">
      <c r="B20" s="209" t="s">
        <v>620</v>
      </c>
      <c r="C20" t="s">
        <v>604</v>
      </c>
    </row>
    <row r="21" spans="2:3">
      <c r="B21" s="43" t="s">
        <v>613</v>
      </c>
      <c r="C21" t="s">
        <v>614</v>
      </c>
    </row>
    <row r="22" spans="2:3">
      <c r="B22" s="434" t="s">
        <v>621</v>
      </c>
      <c r="C22" t="s">
        <v>622</v>
      </c>
    </row>
    <row r="23" spans="2:3">
      <c r="B23" s="74" t="s">
        <v>615</v>
      </c>
      <c r="C23" t="s">
        <v>616</v>
      </c>
    </row>
  </sheetData>
  <mergeCells count="2">
    <mergeCell ref="A1:C1"/>
    <mergeCell ref="A10:C10"/>
  </mergeCells>
  <conditionalFormatting sqref="B2:B9">
    <cfRule type="expression" dxfId="1805" priority="2">
      <formula>NOT(ISERROR(SEARCH("TODO",B2)))</formula>
    </cfRule>
    <cfRule type="expression" dxfId="1804" priority="3">
      <formula>NOT(ISERROR(SEARCH("Inherit",B2)))</formula>
    </cfRule>
    <cfRule type="expression" dxfId="1803" priority="4">
      <formula>NOT(ISERROR(SEARCH("Not Tested",B2)))</formula>
    </cfRule>
  </conditionalFormatting>
  <conditionalFormatting sqref="B14">
    <cfRule type="expression" dxfId="1802" priority="5">
      <formula>NOT(ISERROR(SEARCH("TODO",B14)))</formula>
    </cfRule>
    <cfRule type="expression" dxfId="1801" priority="6">
      <formula>NOT(ISERROR(SEARCH("Inherit",B14)))</formula>
    </cfRule>
    <cfRule type="expression" dxfId="1800" priority="7">
      <formula>NOT(ISERROR(SEARCH("Not Tested",B14)))</formula>
    </cfRule>
  </conditionalFormatting>
  <conditionalFormatting sqref="A7">
    <cfRule type="expression" dxfId="1799" priority="8">
      <formula>NOT(ISERROR(SEARCH("TODO",A7)))</formula>
    </cfRule>
    <cfRule type="expression" dxfId="1798" priority="9">
      <formula>NOT(ISERROR(SEARCH("Inherit",A7)))</formula>
    </cfRule>
    <cfRule type="expression" dxfId="1797" priority="10">
      <formula>NOT(ISERROR(SEARCH("Not Tested",A7)))</formula>
    </cfRule>
  </conditionalFormatting>
  <hyperlinks>
    <hyperlink ref="B22" r:id="rId1" xr:uid="{00000000-0004-0000-0900-000000000000}"/>
  </hyperlinks>
  <pageMargins left="0.7" right="0.7" top="0.75" bottom="0.75" header="0.51180555555555496" footer="0.51180555555555496"/>
  <pageSetup paperSize="9" firstPageNumber="0" orientation="portrait" horizontalDpi="300" verticalDpi="300"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tabColor rgb="FF333399"/>
  </sheetPr>
  <dimension ref="A1:Z230"/>
  <sheetViews>
    <sheetView zoomScaleNormal="100" workbookViewId="0">
      <pane ySplit="2" topLeftCell="A69" activePane="bottomLeft" state="frozen"/>
      <selection pane="bottomLeft" activeCell="C72" sqref="C72"/>
    </sheetView>
  </sheetViews>
  <sheetFormatPr defaultColWidth="9" defaultRowHeight="15" outlineLevelCol="1"/>
  <cols>
    <col min="1" max="2" width="14.5703125" customWidth="1"/>
    <col min="3" max="3" width="27" customWidth="1"/>
    <col min="4" max="4" width="15.140625" customWidth="1"/>
    <col min="5" max="5" width="36.7109375" customWidth="1"/>
    <col min="6" max="6" width="24.140625" customWidth="1"/>
    <col min="7" max="8" width="23.42578125" customWidth="1" outlineLevel="1"/>
    <col min="9" max="9" width="15.28515625" customWidth="1" outlineLevel="1"/>
    <col min="10" max="10" width="41.42578125" customWidth="1" outlineLevel="1"/>
    <col min="11" max="11" width="21" customWidth="1" outlineLevel="1"/>
    <col min="12" max="12" width="26.85546875" style="435" customWidth="1" outlineLevel="1"/>
    <col min="13" max="13" width="9.7109375" style="435" customWidth="1" outlineLevel="1"/>
    <col min="14" max="14" width="23.85546875" style="435" customWidth="1" outlineLevel="1"/>
    <col min="15" max="16" width="10.28515625" style="15" customWidth="1"/>
    <col min="17" max="17" width="9.140625" customWidth="1" outlineLevel="1"/>
    <col min="18" max="18" width="6.42578125" customWidth="1" outlineLevel="1"/>
    <col min="19" max="19" width="7.7109375" customWidth="1" outlineLevel="1"/>
    <col min="20" max="20" width="7.28515625" customWidth="1" outlineLevel="1"/>
    <col min="21" max="21" width="8.5703125" customWidth="1" outlineLevel="1"/>
    <col min="22" max="23" width="10.28515625" customWidth="1" outlineLevel="1"/>
    <col min="24" max="24" width="15" customWidth="1" outlineLevel="1"/>
    <col min="25" max="25" width="20.28515625" customWidth="1" outlineLevel="1"/>
    <col min="26" max="26" width="37.28515625" customWidth="1" outlineLevel="1"/>
  </cols>
  <sheetData>
    <row r="1" spans="1:26" ht="15" customHeight="1">
      <c r="A1" s="1020" t="s">
        <v>623</v>
      </c>
      <c r="B1" s="1020" t="s">
        <v>624</v>
      </c>
      <c r="C1" s="1020" t="s">
        <v>625</v>
      </c>
      <c r="D1" s="1020" t="s">
        <v>626</v>
      </c>
      <c r="E1" s="1021" t="s">
        <v>627</v>
      </c>
      <c r="F1" s="1021"/>
      <c r="G1" s="1019" t="s">
        <v>628</v>
      </c>
      <c r="H1" s="1019"/>
      <c r="I1" s="1019"/>
      <c r="J1" s="1019"/>
      <c r="K1" s="1019"/>
      <c r="L1" s="1019" t="s">
        <v>629</v>
      </c>
      <c r="M1" s="1019"/>
      <c r="N1" s="1019"/>
      <c r="O1" s="436"/>
      <c r="P1" s="437"/>
      <c r="Q1" t="s">
        <v>630</v>
      </c>
      <c r="X1" t="s">
        <v>631</v>
      </c>
    </row>
    <row r="2" spans="1:26">
      <c r="A2" s="1020"/>
      <c r="B2" s="1020"/>
      <c r="C2" s="1020"/>
      <c r="D2" s="1020"/>
      <c r="E2" s="438" t="s">
        <v>632</v>
      </c>
      <c r="F2" s="439" t="s">
        <v>633</v>
      </c>
      <c r="G2" s="440" t="s">
        <v>634</v>
      </c>
      <c r="H2" s="440" t="s">
        <v>635</v>
      </c>
      <c r="I2" s="441" t="s">
        <v>636</v>
      </c>
      <c r="J2" s="440" t="s">
        <v>637</v>
      </c>
      <c r="K2" s="442" t="s">
        <v>638</v>
      </c>
      <c r="L2" s="442" t="s">
        <v>639</v>
      </c>
      <c r="M2" s="443" t="s">
        <v>640</v>
      </c>
      <c r="N2" s="444" t="s">
        <v>641</v>
      </c>
      <c r="O2" s="445" t="s">
        <v>642</v>
      </c>
      <c r="P2" s="445"/>
      <c r="Q2" s="446" t="s">
        <v>643</v>
      </c>
      <c r="R2" s="446" t="s">
        <v>644</v>
      </c>
      <c r="S2" s="446" t="s">
        <v>645</v>
      </c>
      <c r="T2" s="446" t="s">
        <v>646</v>
      </c>
      <c r="U2" s="446" t="s">
        <v>647</v>
      </c>
      <c r="V2" s="446" t="s">
        <v>648</v>
      </c>
      <c r="W2" s="445"/>
      <c r="X2" s="445" t="s">
        <v>649</v>
      </c>
      <c r="Y2" s="445" t="s">
        <v>650</v>
      </c>
      <c r="Z2" s="445" t="s">
        <v>651</v>
      </c>
    </row>
    <row r="3" spans="1:26">
      <c r="A3" s="447">
        <v>1</v>
      </c>
      <c r="B3" s="447" t="s">
        <v>60</v>
      </c>
      <c r="C3" s="447" t="s">
        <v>652</v>
      </c>
      <c r="D3" s="447" t="s">
        <v>234</v>
      </c>
      <c r="E3" s="447" t="s">
        <v>653</v>
      </c>
      <c r="F3" s="447" t="s">
        <v>654</v>
      </c>
      <c r="G3" s="447" t="s">
        <v>655</v>
      </c>
      <c r="H3" s="447"/>
      <c r="I3" s="448" t="s">
        <v>656</v>
      </c>
      <c r="J3" s="447" t="s">
        <v>657</v>
      </c>
      <c r="K3" s="447"/>
      <c r="L3" s="449" t="s">
        <v>658</v>
      </c>
      <c r="M3" s="450" t="s">
        <v>659</v>
      </c>
      <c r="N3" s="449" t="s">
        <v>660</v>
      </c>
      <c r="O3" s="451" t="s">
        <v>661</v>
      </c>
      <c r="P3" s="452"/>
      <c r="Q3" s="453" t="s">
        <v>662</v>
      </c>
      <c r="R3" s="454" t="s">
        <v>662</v>
      </c>
      <c r="S3" s="454" t="s">
        <v>663</v>
      </c>
      <c r="T3" s="454" t="s">
        <v>663</v>
      </c>
      <c r="U3" s="454" t="s">
        <v>663</v>
      </c>
      <c r="V3" s="454" t="str">
        <f t="shared" ref="V3:V19" si="0">IF(F3="DC","DC","phy")</f>
        <v>phy</v>
      </c>
      <c r="W3" s="454" t="s">
        <v>664</v>
      </c>
      <c r="X3" s="454" t="str">
        <f t="shared" ref="X3:X34" si="1">B3</f>
        <v>FS980M</v>
      </c>
      <c r="Y3" s="454" t="str">
        <f t="shared" ref="Y3:Y34" si="2">IF(U3="y","100G",IF(T3="y","10G",IF(S3="y","10G",IF(R3="y","1G",IF(Q3="y","100M",0)))))&amp;" "&amp;V3&amp;" "&amp;W3</f>
        <v>1G phy combo</v>
      </c>
      <c r="Z3" s="454"/>
    </row>
    <row r="4" spans="1:26">
      <c r="A4" s="447">
        <v>2</v>
      </c>
      <c r="B4" s="447" t="s">
        <v>60</v>
      </c>
      <c r="C4" s="447" t="s">
        <v>665</v>
      </c>
      <c r="D4" s="447" t="s">
        <v>234</v>
      </c>
      <c r="E4" s="447" t="s">
        <v>653</v>
      </c>
      <c r="F4" s="447" t="s">
        <v>654</v>
      </c>
      <c r="G4" s="447" t="s">
        <v>655</v>
      </c>
      <c r="H4" s="447"/>
      <c r="I4" s="448" t="s">
        <v>656</v>
      </c>
      <c r="J4" s="447" t="s">
        <v>657</v>
      </c>
      <c r="K4" s="447"/>
      <c r="L4" s="449" t="s">
        <v>658</v>
      </c>
      <c r="M4" s="450" t="s">
        <v>659</v>
      </c>
      <c r="N4" s="449" t="s">
        <v>660</v>
      </c>
      <c r="O4" s="451" t="s">
        <v>661</v>
      </c>
      <c r="P4" s="455"/>
      <c r="Q4" s="456" t="s">
        <v>662</v>
      </c>
      <c r="R4" s="457" t="s">
        <v>662</v>
      </c>
      <c r="S4" s="457" t="s">
        <v>663</v>
      </c>
      <c r="T4" s="457" t="s">
        <v>663</v>
      </c>
      <c r="U4" s="457" t="s">
        <v>663</v>
      </c>
      <c r="V4" s="457" t="str">
        <f t="shared" si="0"/>
        <v>phy</v>
      </c>
      <c r="W4" s="457" t="s">
        <v>664</v>
      </c>
      <c r="X4" s="457" t="str">
        <f t="shared" si="1"/>
        <v>FS980M</v>
      </c>
      <c r="Y4" s="457" t="str">
        <f t="shared" si="2"/>
        <v>1G phy combo</v>
      </c>
      <c r="Z4" s="457"/>
    </row>
    <row r="5" spans="1:26">
      <c r="A5" s="447">
        <v>3</v>
      </c>
      <c r="B5" s="447" t="s">
        <v>60</v>
      </c>
      <c r="C5" s="447" t="s">
        <v>666</v>
      </c>
      <c r="D5" s="447" t="s">
        <v>234</v>
      </c>
      <c r="E5" s="447" t="s">
        <v>667</v>
      </c>
      <c r="F5" s="447" t="s">
        <v>654</v>
      </c>
      <c r="G5" s="447" t="s">
        <v>655</v>
      </c>
      <c r="H5" s="447"/>
      <c r="I5" s="448" t="s">
        <v>656</v>
      </c>
      <c r="J5" s="447" t="s">
        <v>657</v>
      </c>
      <c r="K5" s="447"/>
      <c r="L5" s="449" t="s">
        <v>658</v>
      </c>
      <c r="M5" s="450" t="s">
        <v>659</v>
      </c>
      <c r="N5" s="449" t="s">
        <v>660</v>
      </c>
      <c r="O5" s="451" t="s">
        <v>661</v>
      </c>
      <c r="P5" s="455"/>
      <c r="Q5" s="456" t="s">
        <v>662</v>
      </c>
      <c r="R5" s="457" t="s">
        <v>662</v>
      </c>
      <c r="S5" s="457" t="s">
        <v>663</v>
      </c>
      <c r="T5" s="457" t="s">
        <v>663</v>
      </c>
      <c r="U5" s="457" t="s">
        <v>663</v>
      </c>
      <c r="V5" s="457" t="str">
        <f t="shared" si="0"/>
        <v>phy</v>
      </c>
      <c r="W5" s="457" t="s">
        <v>664</v>
      </c>
      <c r="X5" s="457" t="str">
        <f t="shared" si="1"/>
        <v>FS980M</v>
      </c>
      <c r="Y5" s="457" t="str">
        <f t="shared" si="2"/>
        <v>1G phy combo</v>
      </c>
      <c r="Z5" s="457"/>
    </row>
    <row r="6" spans="1:26">
      <c r="A6" s="447">
        <v>4</v>
      </c>
      <c r="B6" s="447" t="s">
        <v>60</v>
      </c>
      <c r="C6" s="447" t="s">
        <v>668</v>
      </c>
      <c r="D6" s="447" t="s">
        <v>234</v>
      </c>
      <c r="E6" s="447" t="s">
        <v>667</v>
      </c>
      <c r="F6" s="447" t="s">
        <v>654</v>
      </c>
      <c r="G6" s="447" t="s">
        <v>655</v>
      </c>
      <c r="H6" s="447"/>
      <c r="I6" s="448" t="s">
        <v>656</v>
      </c>
      <c r="J6" s="447" t="s">
        <v>657</v>
      </c>
      <c r="K6" s="447"/>
      <c r="L6" s="449" t="s">
        <v>658</v>
      </c>
      <c r="M6" s="450" t="s">
        <v>659</v>
      </c>
      <c r="N6" s="449" t="s">
        <v>660</v>
      </c>
      <c r="O6" s="451" t="s">
        <v>661</v>
      </c>
      <c r="P6" s="455"/>
      <c r="Q6" s="456" t="s">
        <v>662</v>
      </c>
      <c r="R6" s="457" t="s">
        <v>662</v>
      </c>
      <c r="S6" s="457" t="s">
        <v>663</v>
      </c>
      <c r="T6" s="457" t="s">
        <v>663</v>
      </c>
      <c r="U6" s="457" t="s">
        <v>663</v>
      </c>
      <c r="V6" s="457" t="str">
        <f t="shared" si="0"/>
        <v>phy</v>
      </c>
      <c r="W6" s="457" t="s">
        <v>664</v>
      </c>
      <c r="X6" s="457" t="str">
        <f t="shared" si="1"/>
        <v>FS980M</v>
      </c>
      <c r="Y6" s="457" t="str">
        <f t="shared" si="2"/>
        <v>1G phy combo</v>
      </c>
      <c r="Z6" s="457"/>
    </row>
    <row r="7" spans="1:26">
      <c r="A7" s="447">
        <v>5</v>
      </c>
      <c r="B7" s="447" t="s">
        <v>60</v>
      </c>
      <c r="C7" s="447" t="s">
        <v>669</v>
      </c>
      <c r="D7" s="447" t="s">
        <v>234</v>
      </c>
      <c r="E7" s="447" t="s">
        <v>670</v>
      </c>
      <c r="F7" s="447" t="s">
        <v>654</v>
      </c>
      <c r="G7" s="447" t="s">
        <v>671</v>
      </c>
      <c r="H7" s="447"/>
      <c r="I7" s="448" t="s">
        <v>656</v>
      </c>
      <c r="J7" s="447" t="s">
        <v>672</v>
      </c>
      <c r="K7" s="447"/>
      <c r="L7" s="449" t="s">
        <v>673</v>
      </c>
      <c r="M7" s="449" t="s">
        <v>674</v>
      </c>
      <c r="N7" s="449" t="s">
        <v>675</v>
      </c>
      <c r="O7" s="451" t="s">
        <v>661</v>
      </c>
      <c r="P7" s="455"/>
      <c r="Q7" s="456" t="s">
        <v>662</v>
      </c>
      <c r="R7" s="457" t="s">
        <v>662</v>
      </c>
      <c r="S7" s="457" t="s">
        <v>663</v>
      </c>
      <c r="T7" s="457" t="s">
        <v>663</v>
      </c>
      <c r="U7" s="457" t="s">
        <v>663</v>
      </c>
      <c r="V7" s="457" t="str">
        <f t="shared" si="0"/>
        <v>phy</v>
      </c>
      <c r="W7" s="457" t="s">
        <v>676</v>
      </c>
      <c r="X7" s="457" t="str">
        <f t="shared" si="1"/>
        <v>FS980M</v>
      </c>
      <c r="Y7" s="457" t="str">
        <f t="shared" si="2"/>
        <v>1G phy uplink</v>
      </c>
      <c r="Z7" s="457"/>
    </row>
    <row r="8" spans="1:26">
      <c r="A8" s="447">
        <v>6</v>
      </c>
      <c r="B8" s="447" t="s">
        <v>60</v>
      </c>
      <c r="C8" s="447" t="s">
        <v>677</v>
      </c>
      <c r="D8" s="447" t="s">
        <v>234</v>
      </c>
      <c r="E8" s="447" t="s">
        <v>670</v>
      </c>
      <c r="F8" s="447" t="s">
        <v>654</v>
      </c>
      <c r="G8" s="447" t="s">
        <v>671</v>
      </c>
      <c r="H8" s="447"/>
      <c r="I8" s="448" t="s">
        <v>656</v>
      </c>
      <c r="J8" s="447" t="s">
        <v>672</v>
      </c>
      <c r="K8" s="447"/>
      <c r="L8" s="449" t="s">
        <v>673</v>
      </c>
      <c r="M8" s="449" t="s">
        <v>674</v>
      </c>
      <c r="N8" s="449" t="s">
        <v>675</v>
      </c>
      <c r="O8" s="451" t="s">
        <v>661</v>
      </c>
      <c r="P8" s="455"/>
      <c r="Q8" s="456" t="s">
        <v>662</v>
      </c>
      <c r="R8" s="457" t="s">
        <v>662</v>
      </c>
      <c r="S8" s="457" t="s">
        <v>663</v>
      </c>
      <c r="T8" s="457" t="s">
        <v>663</v>
      </c>
      <c r="U8" s="457" t="s">
        <v>663</v>
      </c>
      <c r="V8" s="457" t="str">
        <f t="shared" si="0"/>
        <v>phy</v>
      </c>
      <c r="W8" s="457" t="s">
        <v>676</v>
      </c>
      <c r="X8" s="457" t="str">
        <f t="shared" si="1"/>
        <v>FS980M</v>
      </c>
      <c r="Y8" s="457" t="str">
        <f t="shared" si="2"/>
        <v>1G phy uplink</v>
      </c>
      <c r="Z8" s="457"/>
    </row>
    <row r="9" spans="1:26">
      <c r="A9" s="447">
        <v>7</v>
      </c>
      <c r="B9" s="447" t="s">
        <v>60</v>
      </c>
      <c r="C9" s="447" t="s">
        <v>673</v>
      </c>
      <c r="D9" s="447" t="s">
        <v>234</v>
      </c>
      <c r="E9" s="447" t="s">
        <v>670</v>
      </c>
      <c r="F9" s="447" t="s">
        <v>654</v>
      </c>
      <c r="G9" s="447" t="s">
        <v>671</v>
      </c>
      <c r="H9" s="447"/>
      <c r="I9" s="448" t="s">
        <v>656</v>
      </c>
      <c r="J9" s="447" t="s">
        <v>672</v>
      </c>
      <c r="K9" s="447"/>
      <c r="L9" s="449" t="s">
        <v>673</v>
      </c>
      <c r="M9" s="449" t="s">
        <v>674</v>
      </c>
      <c r="N9" s="449" t="s">
        <v>675</v>
      </c>
      <c r="O9" s="451" t="s">
        <v>661</v>
      </c>
      <c r="P9" s="455"/>
      <c r="Q9" s="456" t="s">
        <v>662</v>
      </c>
      <c r="R9" s="457" t="s">
        <v>662</v>
      </c>
      <c r="S9" s="457" t="s">
        <v>663</v>
      </c>
      <c r="T9" s="457" t="s">
        <v>663</v>
      </c>
      <c r="U9" s="457" t="s">
        <v>663</v>
      </c>
      <c r="V9" s="457" t="str">
        <f t="shared" si="0"/>
        <v>phy</v>
      </c>
      <c r="W9" s="457" t="s">
        <v>676</v>
      </c>
      <c r="X9" s="457" t="str">
        <f t="shared" si="1"/>
        <v>FS980M</v>
      </c>
      <c r="Y9" s="457" t="str">
        <f t="shared" si="2"/>
        <v>1G phy uplink</v>
      </c>
      <c r="Z9" s="457"/>
    </row>
    <row r="10" spans="1:26">
      <c r="A10" s="447">
        <v>8</v>
      </c>
      <c r="B10" s="447" t="s">
        <v>60</v>
      </c>
      <c r="C10" s="447" t="s">
        <v>678</v>
      </c>
      <c r="D10" s="447" t="s">
        <v>234</v>
      </c>
      <c r="E10" s="447" t="s">
        <v>670</v>
      </c>
      <c r="F10" s="447" t="s">
        <v>654</v>
      </c>
      <c r="G10" s="447" t="s">
        <v>671</v>
      </c>
      <c r="H10" s="447"/>
      <c r="I10" s="448" t="s">
        <v>656</v>
      </c>
      <c r="J10" s="447" t="s">
        <v>672</v>
      </c>
      <c r="K10" s="447"/>
      <c r="L10" s="449" t="s">
        <v>673</v>
      </c>
      <c r="M10" s="449" t="s">
        <v>674</v>
      </c>
      <c r="N10" s="449" t="s">
        <v>675</v>
      </c>
      <c r="O10" s="451" t="s">
        <v>661</v>
      </c>
      <c r="P10" s="455"/>
      <c r="Q10" s="456" t="s">
        <v>662</v>
      </c>
      <c r="R10" s="457" t="s">
        <v>662</v>
      </c>
      <c r="S10" s="457" t="s">
        <v>663</v>
      </c>
      <c r="T10" s="457" t="s">
        <v>663</v>
      </c>
      <c r="U10" s="457" t="s">
        <v>663</v>
      </c>
      <c r="V10" s="457" t="str">
        <f t="shared" si="0"/>
        <v>phy</v>
      </c>
      <c r="W10" s="457" t="s">
        <v>676</v>
      </c>
      <c r="X10" s="457" t="str">
        <f t="shared" si="1"/>
        <v>FS980M</v>
      </c>
      <c r="Y10" s="457" t="str">
        <f t="shared" si="2"/>
        <v>1G phy uplink</v>
      </c>
      <c r="Z10" s="457"/>
    </row>
    <row r="11" spans="1:26">
      <c r="A11" s="447">
        <v>9</v>
      </c>
      <c r="B11" s="447" t="s">
        <v>60</v>
      </c>
      <c r="C11" s="447" t="s">
        <v>679</v>
      </c>
      <c r="D11" s="447" t="s">
        <v>234</v>
      </c>
      <c r="E11" s="447" t="s">
        <v>670</v>
      </c>
      <c r="F11" s="447" t="s">
        <v>654</v>
      </c>
      <c r="G11" s="447" t="s">
        <v>671</v>
      </c>
      <c r="H11" s="447"/>
      <c r="I11" s="448" t="s">
        <v>656</v>
      </c>
      <c r="J11" s="447" t="s">
        <v>672</v>
      </c>
      <c r="K11" s="447"/>
      <c r="L11" s="449" t="s">
        <v>673</v>
      </c>
      <c r="M11" s="449" t="s">
        <v>674</v>
      </c>
      <c r="N11" s="449" t="s">
        <v>675</v>
      </c>
      <c r="O11" s="451" t="s">
        <v>661</v>
      </c>
      <c r="P11" s="455"/>
      <c r="Q11" s="456" t="s">
        <v>662</v>
      </c>
      <c r="R11" s="457" t="s">
        <v>662</v>
      </c>
      <c r="S11" s="457" t="s">
        <v>663</v>
      </c>
      <c r="T11" s="457" t="s">
        <v>663</v>
      </c>
      <c r="U11" s="457" t="s">
        <v>663</v>
      </c>
      <c r="V11" s="457" t="str">
        <f t="shared" si="0"/>
        <v>phy</v>
      </c>
      <c r="W11" s="457" t="s">
        <v>676</v>
      </c>
      <c r="X11" s="457" t="str">
        <f t="shared" si="1"/>
        <v>FS980M</v>
      </c>
      <c r="Y11" s="457" t="str">
        <f t="shared" si="2"/>
        <v>1G phy uplink</v>
      </c>
      <c r="Z11" s="457"/>
    </row>
    <row r="12" spans="1:26">
      <c r="A12" s="458">
        <v>10</v>
      </c>
      <c r="B12" s="458" t="s">
        <v>55</v>
      </c>
      <c r="C12" s="458" t="s">
        <v>680</v>
      </c>
      <c r="D12" s="458" t="s">
        <v>681</v>
      </c>
      <c r="E12" s="458" t="s">
        <v>682</v>
      </c>
      <c r="F12" s="458" t="s">
        <v>683</v>
      </c>
      <c r="G12" s="458" t="s">
        <v>655</v>
      </c>
      <c r="H12" s="458"/>
      <c r="I12" s="459" t="s">
        <v>656</v>
      </c>
      <c r="J12" s="458" t="s">
        <v>684</v>
      </c>
      <c r="K12" s="458"/>
      <c r="L12" s="460" t="s">
        <v>685</v>
      </c>
      <c r="M12" s="461" t="s">
        <v>686</v>
      </c>
      <c r="N12" s="460" t="s">
        <v>687</v>
      </c>
      <c r="O12" s="462" t="s">
        <v>661</v>
      </c>
      <c r="P12" s="463"/>
      <c r="Q12" s="464" t="s">
        <v>662</v>
      </c>
      <c r="R12" s="465" t="s">
        <v>662</v>
      </c>
      <c r="S12" s="465" t="s">
        <v>663</v>
      </c>
      <c r="T12" s="465" t="s">
        <v>663</v>
      </c>
      <c r="U12" s="465" t="s">
        <v>663</v>
      </c>
      <c r="V12" s="465" t="str">
        <f t="shared" si="0"/>
        <v>phy</v>
      </c>
      <c r="W12" s="465" t="s">
        <v>664</v>
      </c>
      <c r="X12" s="465" t="str">
        <f t="shared" si="1"/>
        <v>GS900MX</v>
      </c>
      <c r="Y12" s="465" t="str">
        <f t="shared" si="2"/>
        <v>1G phy combo</v>
      </c>
      <c r="Z12" s="465"/>
    </row>
    <row r="13" spans="1:26">
      <c r="A13" s="458">
        <v>11</v>
      </c>
      <c r="B13" s="458" t="s">
        <v>55</v>
      </c>
      <c r="C13" s="458" t="s">
        <v>680</v>
      </c>
      <c r="D13" s="458" t="s">
        <v>681</v>
      </c>
      <c r="E13" s="458" t="s">
        <v>682</v>
      </c>
      <c r="F13" s="458" t="s">
        <v>688</v>
      </c>
      <c r="G13" s="458" t="s">
        <v>689</v>
      </c>
      <c r="H13" s="458"/>
      <c r="I13" s="459" t="s">
        <v>645</v>
      </c>
      <c r="J13" s="458" t="s">
        <v>690</v>
      </c>
      <c r="K13" s="458"/>
      <c r="L13" s="460" t="s">
        <v>685</v>
      </c>
      <c r="M13" s="461" t="s">
        <v>686</v>
      </c>
      <c r="N13" s="460" t="s">
        <v>687</v>
      </c>
      <c r="O13" s="462" t="s">
        <v>661</v>
      </c>
      <c r="P13" s="463"/>
      <c r="Q13" s="464" t="s">
        <v>663</v>
      </c>
      <c r="R13" s="465" t="s">
        <v>663</v>
      </c>
      <c r="S13" s="465" t="s">
        <v>662</v>
      </c>
      <c r="T13" s="465" t="s">
        <v>663</v>
      </c>
      <c r="U13" s="465" t="s">
        <v>663</v>
      </c>
      <c r="V13" s="465" t="str">
        <f t="shared" si="0"/>
        <v>DC</v>
      </c>
      <c r="W13" s="465" t="s">
        <v>676</v>
      </c>
      <c r="X13" s="465" t="str">
        <f t="shared" si="1"/>
        <v>GS900MX</v>
      </c>
      <c r="Y13" s="465" t="str">
        <f t="shared" si="2"/>
        <v>10G DC uplink</v>
      </c>
      <c r="Z13" s="465"/>
    </row>
    <row r="14" spans="1:26">
      <c r="A14" s="458">
        <v>12</v>
      </c>
      <c r="B14" s="458" t="s">
        <v>55</v>
      </c>
      <c r="C14" s="458" t="s">
        <v>685</v>
      </c>
      <c r="D14" s="458" t="s">
        <v>681</v>
      </c>
      <c r="E14" s="458" t="s">
        <v>682</v>
      </c>
      <c r="F14" s="458" t="s">
        <v>683</v>
      </c>
      <c r="G14" s="458" t="s">
        <v>655</v>
      </c>
      <c r="H14" s="458"/>
      <c r="I14" s="459" t="s">
        <v>656</v>
      </c>
      <c r="J14" s="458" t="s">
        <v>684</v>
      </c>
      <c r="K14" s="458"/>
      <c r="L14" s="460" t="s">
        <v>685</v>
      </c>
      <c r="M14" s="461" t="s">
        <v>686</v>
      </c>
      <c r="N14" s="460" t="s">
        <v>687</v>
      </c>
      <c r="O14" s="462" t="s">
        <v>661</v>
      </c>
      <c r="P14" s="463"/>
      <c r="Q14" s="464" t="s">
        <v>662</v>
      </c>
      <c r="R14" s="465" t="s">
        <v>662</v>
      </c>
      <c r="S14" s="465" t="s">
        <v>663</v>
      </c>
      <c r="T14" s="465" t="s">
        <v>663</v>
      </c>
      <c r="U14" s="465" t="s">
        <v>663</v>
      </c>
      <c r="V14" s="465" t="str">
        <f t="shared" si="0"/>
        <v>phy</v>
      </c>
      <c r="W14" s="465" t="s">
        <v>664</v>
      </c>
      <c r="X14" s="465" t="str">
        <f t="shared" si="1"/>
        <v>GS900MX</v>
      </c>
      <c r="Y14" s="465" t="str">
        <f t="shared" si="2"/>
        <v>1G phy combo</v>
      </c>
      <c r="Z14" s="465"/>
    </row>
    <row r="15" spans="1:26">
      <c r="A15" s="458">
        <v>13</v>
      </c>
      <c r="B15" s="458" t="s">
        <v>55</v>
      </c>
      <c r="C15" s="458" t="s">
        <v>685</v>
      </c>
      <c r="D15" s="458" t="s">
        <v>681</v>
      </c>
      <c r="E15" s="458" t="s">
        <v>682</v>
      </c>
      <c r="F15" s="458" t="s">
        <v>688</v>
      </c>
      <c r="G15" s="458" t="s">
        <v>689</v>
      </c>
      <c r="H15" s="458"/>
      <c r="I15" s="459" t="s">
        <v>645</v>
      </c>
      <c r="J15" s="458" t="s">
        <v>690</v>
      </c>
      <c r="K15" s="458"/>
      <c r="L15" s="460" t="s">
        <v>685</v>
      </c>
      <c r="M15" s="461" t="s">
        <v>686</v>
      </c>
      <c r="N15" s="460" t="s">
        <v>687</v>
      </c>
      <c r="O15" s="462" t="s">
        <v>661</v>
      </c>
      <c r="P15" s="463"/>
      <c r="Q15" s="464" t="s">
        <v>663</v>
      </c>
      <c r="R15" s="465" t="s">
        <v>663</v>
      </c>
      <c r="S15" s="465" t="s">
        <v>662</v>
      </c>
      <c r="T15" s="465" t="s">
        <v>663</v>
      </c>
      <c r="U15" s="465" t="s">
        <v>663</v>
      </c>
      <c r="V15" s="465" t="str">
        <f t="shared" si="0"/>
        <v>DC</v>
      </c>
      <c r="W15" s="465" t="s">
        <v>676</v>
      </c>
      <c r="X15" s="465" t="str">
        <f t="shared" si="1"/>
        <v>GS900MX</v>
      </c>
      <c r="Y15" s="465" t="str">
        <f t="shared" si="2"/>
        <v>10G DC uplink</v>
      </c>
      <c r="Z15" s="465"/>
    </row>
    <row r="16" spans="1:26">
      <c r="A16" s="458">
        <v>14</v>
      </c>
      <c r="B16" s="458" t="s">
        <v>55</v>
      </c>
      <c r="C16" s="458" t="s">
        <v>691</v>
      </c>
      <c r="D16" s="458" t="s">
        <v>681</v>
      </c>
      <c r="E16" s="458" t="s">
        <v>682</v>
      </c>
      <c r="F16" s="458" t="s">
        <v>683</v>
      </c>
      <c r="G16" s="458" t="s">
        <v>655</v>
      </c>
      <c r="H16" s="458"/>
      <c r="I16" s="459" t="s">
        <v>656</v>
      </c>
      <c r="J16" s="458" t="s">
        <v>684</v>
      </c>
      <c r="K16" s="458"/>
      <c r="L16" s="460" t="s">
        <v>685</v>
      </c>
      <c r="M16" s="461" t="s">
        <v>686</v>
      </c>
      <c r="N16" s="460" t="s">
        <v>687</v>
      </c>
      <c r="O16" s="462" t="s">
        <v>661</v>
      </c>
      <c r="P16" s="463"/>
      <c r="Q16" s="464" t="s">
        <v>662</v>
      </c>
      <c r="R16" s="465" t="s">
        <v>662</v>
      </c>
      <c r="S16" s="465" t="s">
        <v>663</v>
      </c>
      <c r="T16" s="465" t="s">
        <v>663</v>
      </c>
      <c r="U16" s="465" t="s">
        <v>663</v>
      </c>
      <c r="V16" s="465" t="str">
        <f t="shared" si="0"/>
        <v>phy</v>
      </c>
      <c r="W16" s="465" t="s">
        <v>664</v>
      </c>
      <c r="X16" s="465" t="str">
        <f t="shared" si="1"/>
        <v>GS900MX</v>
      </c>
      <c r="Y16" s="465" t="str">
        <f t="shared" si="2"/>
        <v>1G phy combo</v>
      </c>
      <c r="Z16" s="465"/>
    </row>
    <row r="17" spans="1:26">
      <c r="A17" s="458">
        <v>15</v>
      </c>
      <c r="B17" s="458" t="s">
        <v>55</v>
      </c>
      <c r="C17" s="458" t="s">
        <v>691</v>
      </c>
      <c r="D17" s="458" t="s">
        <v>681</v>
      </c>
      <c r="E17" s="458" t="s">
        <v>682</v>
      </c>
      <c r="F17" s="458" t="s">
        <v>688</v>
      </c>
      <c r="G17" s="458" t="s">
        <v>689</v>
      </c>
      <c r="H17" s="458"/>
      <c r="I17" s="459" t="s">
        <v>645</v>
      </c>
      <c r="J17" s="458" t="s">
        <v>690</v>
      </c>
      <c r="K17" s="458"/>
      <c r="L17" s="460" t="s">
        <v>685</v>
      </c>
      <c r="M17" s="461" t="s">
        <v>686</v>
      </c>
      <c r="N17" s="460" t="s">
        <v>687</v>
      </c>
      <c r="O17" s="462" t="s">
        <v>661</v>
      </c>
      <c r="P17" s="463"/>
      <c r="Q17" s="464" t="s">
        <v>663</v>
      </c>
      <c r="R17" s="465" t="s">
        <v>663</v>
      </c>
      <c r="S17" s="465" t="s">
        <v>662</v>
      </c>
      <c r="T17" s="465" t="s">
        <v>663</v>
      </c>
      <c r="U17" s="465" t="s">
        <v>663</v>
      </c>
      <c r="V17" s="465" t="str">
        <f t="shared" si="0"/>
        <v>DC</v>
      </c>
      <c r="W17" s="465" t="s">
        <v>676</v>
      </c>
      <c r="X17" s="465" t="str">
        <f t="shared" si="1"/>
        <v>GS900MX</v>
      </c>
      <c r="Y17" s="465" t="str">
        <f t="shared" si="2"/>
        <v>10G DC uplink</v>
      </c>
      <c r="Z17" s="465"/>
    </row>
    <row r="18" spans="1:26">
      <c r="A18" s="458">
        <v>16</v>
      </c>
      <c r="B18" s="458" t="s">
        <v>55</v>
      </c>
      <c r="C18" s="458" t="s">
        <v>692</v>
      </c>
      <c r="D18" s="458" t="s">
        <v>681</v>
      </c>
      <c r="E18" s="458" t="s">
        <v>682</v>
      </c>
      <c r="F18" s="458" t="s">
        <v>683</v>
      </c>
      <c r="G18" s="458" t="s">
        <v>655</v>
      </c>
      <c r="H18" s="458"/>
      <c r="I18" s="459" t="s">
        <v>656</v>
      </c>
      <c r="J18" s="458" t="s">
        <v>684</v>
      </c>
      <c r="K18" s="458"/>
      <c r="L18" s="460" t="s">
        <v>685</v>
      </c>
      <c r="M18" s="461" t="s">
        <v>686</v>
      </c>
      <c r="N18" s="460" t="s">
        <v>687</v>
      </c>
      <c r="O18" s="462" t="s">
        <v>661</v>
      </c>
      <c r="P18" s="463"/>
      <c r="Q18" s="464" t="s">
        <v>662</v>
      </c>
      <c r="R18" s="465" t="s">
        <v>662</v>
      </c>
      <c r="S18" s="465" t="s">
        <v>663</v>
      </c>
      <c r="T18" s="465" t="s">
        <v>663</v>
      </c>
      <c r="U18" s="465" t="s">
        <v>663</v>
      </c>
      <c r="V18" s="465" t="str">
        <f t="shared" si="0"/>
        <v>phy</v>
      </c>
      <c r="W18" s="465" t="s">
        <v>664</v>
      </c>
      <c r="X18" s="465" t="str">
        <f t="shared" si="1"/>
        <v>GS900MX</v>
      </c>
      <c r="Y18" s="465" t="str">
        <f t="shared" si="2"/>
        <v>1G phy combo</v>
      </c>
      <c r="Z18" s="465"/>
    </row>
    <row r="19" spans="1:26">
      <c r="A19" s="458">
        <v>17</v>
      </c>
      <c r="B19" s="458" t="s">
        <v>55</v>
      </c>
      <c r="C19" s="458" t="s">
        <v>692</v>
      </c>
      <c r="D19" s="458" t="s">
        <v>681</v>
      </c>
      <c r="E19" s="458" t="s">
        <v>682</v>
      </c>
      <c r="F19" s="458" t="s">
        <v>688</v>
      </c>
      <c r="G19" s="458" t="s">
        <v>689</v>
      </c>
      <c r="H19" s="458"/>
      <c r="I19" s="459" t="s">
        <v>645</v>
      </c>
      <c r="J19" s="458" t="s">
        <v>690</v>
      </c>
      <c r="K19" s="458"/>
      <c r="L19" s="460" t="s">
        <v>685</v>
      </c>
      <c r="M19" s="461" t="s">
        <v>686</v>
      </c>
      <c r="N19" s="460" t="s">
        <v>687</v>
      </c>
      <c r="O19" s="462" t="s">
        <v>661</v>
      </c>
      <c r="P19" s="463"/>
      <c r="Q19" s="464" t="s">
        <v>663</v>
      </c>
      <c r="R19" s="465" t="s">
        <v>663</v>
      </c>
      <c r="S19" s="465" t="s">
        <v>662</v>
      </c>
      <c r="T19" s="465" t="s">
        <v>663</v>
      </c>
      <c r="U19" s="465" t="s">
        <v>663</v>
      </c>
      <c r="V19" s="465" t="str">
        <f t="shared" si="0"/>
        <v>DC</v>
      </c>
      <c r="W19" s="465" t="s">
        <v>676</v>
      </c>
      <c r="X19" s="465" t="str">
        <f t="shared" si="1"/>
        <v>GS900MX</v>
      </c>
      <c r="Y19" s="465" t="str">
        <f t="shared" si="2"/>
        <v>10G DC uplink</v>
      </c>
      <c r="Z19" s="465"/>
    </row>
    <row r="20" spans="1:26">
      <c r="A20" s="447">
        <v>18</v>
      </c>
      <c r="B20" s="447" t="s">
        <v>56</v>
      </c>
      <c r="C20" s="447" t="s">
        <v>693</v>
      </c>
      <c r="D20" s="447" t="s">
        <v>56</v>
      </c>
      <c r="E20" s="447" t="s">
        <v>694</v>
      </c>
      <c r="F20" s="447" t="s">
        <v>695</v>
      </c>
      <c r="G20" s="447" t="s">
        <v>671</v>
      </c>
      <c r="H20" s="447"/>
      <c r="I20" s="448" t="s">
        <v>656</v>
      </c>
      <c r="J20" s="447" t="s">
        <v>696</v>
      </c>
      <c r="K20" s="447" t="s">
        <v>697</v>
      </c>
      <c r="L20" s="449" t="s">
        <v>698</v>
      </c>
      <c r="M20" s="449" t="s">
        <v>699</v>
      </c>
      <c r="N20" s="449" t="s">
        <v>700</v>
      </c>
      <c r="O20" s="451" t="s">
        <v>661</v>
      </c>
      <c r="P20" s="455"/>
      <c r="Q20" s="456" t="s">
        <v>662</v>
      </c>
      <c r="R20" s="457" t="s">
        <v>662</v>
      </c>
      <c r="S20" s="457" t="s">
        <v>663</v>
      </c>
      <c r="T20" s="457" t="s">
        <v>663</v>
      </c>
      <c r="U20" s="457" t="s">
        <v>663</v>
      </c>
      <c r="V20" s="457" t="s">
        <v>701</v>
      </c>
      <c r="W20" s="457" t="s">
        <v>702</v>
      </c>
      <c r="X20" s="457" t="str">
        <f t="shared" si="1"/>
        <v>IE200</v>
      </c>
      <c r="Y20" s="457" t="str">
        <f t="shared" si="2"/>
        <v>1G phy1 base</v>
      </c>
      <c r="Z20" s="457"/>
    </row>
    <row r="21" spans="1:26">
      <c r="A21" s="447">
        <v>19</v>
      </c>
      <c r="B21" s="447" t="s">
        <v>56</v>
      </c>
      <c r="C21" s="447" t="s">
        <v>693</v>
      </c>
      <c r="D21" s="447" t="s">
        <v>56</v>
      </c>
      <c r="E21" s="447" t="s">
        <v>694</v>
      </c>
      <c r="F21" s="447" t="s">
        <v>703</v>
      </c>
      <c r="G21" s="447" t="s">
        <v>671</v>
      </c>
      <c r="H21" s="447"/>
      <c r="I21" s="447" t="s">
        <v>656</v>
      </c>
      <c r="J21" s="447" t="s">
        <v>704</v>
      </c>
      <c r="K21" s="447" t="s">
        <v>705</v>
      </c>
      <c r="L21" s="449" t="s">
        <v>698</v>
      </c>
      <c r="M21" s="449" t="s">
        <v>699</v>
      </c>
      <c r="N21" s="449" t="s">
        <v>700</v>
      </c>
      <c r="O21" s="451" t="s">
        <v>661</v>
      </c>
      <c r="P21" s="451"/>
      <c r="Q21" s="447" t="s">
        <v>662</v>
      </c>
      <c r="R21" s="447" t="s">
        <v>662</v>
      </c>
      <c r="S21" s="447" t="s">
        <v>663</v>
      </c>
      <c r="T21" s="447" t="s">
        <v>663</v>
      </c>
      <c r="U21" s="447" t="s">
        <v>663</v>
      </c>
      <c r="V21" s="447" t="s">
        <v>706</v>
      </c>
      <c r="W21" s="447" t="s">
        <v>702</v>
      </c>
      <c r="X21" s="447" t="str">
        <f t="shared" si="1"/>
        <v>IE200</v>
      </c>
      <c r="Y21" s="447" t="str">
        <f t="shared" si="2"/>
        <v>1G phy2 base</v>
      </c>
      <c r="Z21" s="457"/>
    </row>
    <row r="22" spans="1:26">
      <c r="A22" s="447">
        <v>20</v>
      </c>
      <c r="B22" s="447" t="s">
        <v>56</v>
      </c>
      <c r="C22" s="447" t="s">
        <v>707</v>
      </c>
      <c r="D22" s="447" t="s">
        <v>56</v>
      </c>
      <c r="E22" s="447" t="s">
        <v>694</v>
      </c>
      <c r="F22" s="447" t="s">
        <v>695</v>
      </c>
      <c r="G22" s="447" t="s">
        <v>671</v>
      </c>
      <c r="H22" s="447"/>
      <c r="I22" s="447" t="s">
        <v>656</v>
      </c>
      <c r="J22" s="447" t="s">
        <v>696</v>
      </c>
      <c r="K22" s="447" t="s">
        <v>697</v>
      </c>
      <c r="L22" s="449" t="s">
        <v>698</v>
      </c>
      <c r="M22" s="449" t="s">
        <v>699</v>
      </c>
      <c r="N22" s="449" t="s">
        <v>700</v>
      </c>
      <c r="O22" s="451" t="s">
        <v>661</v>
      </c>
      <c r="P22" s="451"/>
      <c r="Q22" s="447" t="s">
        <v>662</v>
      </c>
      <c r="R22" s="447" t="s">
        <v>662</v>
      </c>
      <c r="S22" s="447" t="s">
        <v>663</v>
      </c>
      <c r="T22" s="447" t="s">
        <v>663</v>
      </c>
      <c r="U22" s="447" t="s">
        <v>663</v>
      </c>
      <c r="V22" s="447" t="s">
        <v>701</v>
      </c>
      <c r="W22" s="447" t="s">
        <v>702</v>
      </c>
      <c r="X22" s="447" t="str">
        <f t="shared" si="1"/>
        <v>IE200</v>
      </c>
      <c r="Y22" s="447" t="str">
        <f t="shared" si="2"/>
        <v>1G phy1 base</v>
      </c>
      <c r="Z22" s="457"/>
    </row>
    <row r="23" spans="1:26">
      <c r="A23" s="447">
        <v>21</v>
      </c>
      <c r="B23" s="447" t="s">
        <v>56</v>
      </c>
      <c r="C23" s="447" t="s">
        <v>707</v>
      </c>
      <c r="D23" s="447" t="s">
        <v>56</v>
      </c>
      <c r="E23" s="447" t="s">
        <v>694</v>
      </c>
      <c r="F23" s="447" t="s">
        <v>703</v>
      </c>
      <c r="G23" s="447" t="s">
        <v>671</v>
      </c>
      <c r="H23" s="447"/>
      <c r="I23" s="447" t="s">
        <v>656</v>
      </c>
      <c r="J23" s="447" t="s">
        <v>704</v>
      </c>
      <c r="K23" s="447" t="s">
        <v>705</v>
      </c>
      <c r="L23" s="449" t="s">
        <v>698</v>
      </c>
      <c r="M23" s="449" t="s">
        <v>699</v>
      </c>
      <c r="N23" s="449" t="s">
        <v>700</v>
      </c>
      <c r="O23" s="451" t="s">
        <v>661</v>
      </c>
      <c r="P23" s="451"/>
      <c r="Q23" s="447" t="s">
        <v>662</v>
      </c>
      <c r="R23" s="447" t="s">
        <v>662</v>
      </c>
      <c r="S23" s="447" t="s">
        <v>663</v>
      </c>
      <c r="T23" s="447" t="s">
        <v>663</v>
      </c>
      <c r="U23" s="447" t="s">
        <v>663</v>
      </c>
      <c r="V23" s="447" t="s">
        <v>706</v>
      </c>
      <c r="W23" s="447" t="s">
        <v>702</v>
      </c>
      <c r="X23" s="447" t="str">
        <f t="shared" si="1"/>
        <v>IE200</v>
      </c>
      <c r="Y23" s="447" t="str">
        <f t="shared" si="2"/>
        <v>1G phy2 base</v>
      </c>
      <c r="Z23" s="457"/>
    </row>
    <row r="24" spans="1:26">
      <c r="A24" s="447">
        <v>22</v>
      </c>
      <c r="B24" s="447" t="s">
        <v>56</v>
      </c>
      <c r="C24" s="447" t="s">
        <v>708</v>
      </c>
      <c r="D24" s="447" t="s">
        <v>56</v>
      </c>
      <c r="E24" s="447" t="s">
        <v>694</v>
      </c>
      <c r="F24" s="447" t="s">
        <v>695</v>
      </c>
      <c r="G24" s="447" t="s">
        <v>671</v>
      </c>
      <c r="H24" s="447"/>
      <c r="I24" s="447" t="s">
        <v>656</v>
      </c>
      <c r="J24" s="447" t="s">
        <v>696</v>
      </c>
      <c r="K24" s="447" t="s">
        <v>697</v>
      </c>
      <c r="L24" s="449" t="s">
        <v>698</v>
      </c>
      <c r="M24" s="449" t="s">
        <v>699</v>
      </c>
      <c r="N24" s="449" t="s">
        <v>700</v>
      </c>
      <c r="O24" s="451" t="s">
        <v>661</v>
      </c>
      <c r="P24" s="451"/>
      <c r="Q24" s="447" t="s">
        <v>662</v>
      </c>
      <c r="R24" s="447" t="s">
        <v>662</v>
      </c>
      <c r="S24" s="447" t="s">
        <v>663</v>
      </c>
      <c r="T24" s="447" t="s">
        <v>663</v>
      </c>
      <c r="U24" s="447" t="s">
        <v>663</v>
      </c>
      <c r="V24" s="447" t="s">
        <v>701</v>
      </c>
      <c r="W24" s="447" t="s">
        <v>702</v>
      </c>
      <c r="X24" s="447" t="str">
        <f t="shared" si="1"/>
        <v>IE200</v>
      </c>
      <c r="Y24" s="447" t="str">
        <f t="shared" si="2"/>
        <v>1G phy1 base</v>
      </c>
      <c r="Z24" s="457"/>
    </row>
    <row r="25" spans="1:26">
      <c r="A25" s="447">
        <v>23</v>
      </c>
      <c r="B25" s="447" t="s">
        <v>56</v>
      </c>
      <c r="C25" s="447" t="s">
        <v>708</v>
      </c>
      <c r="D25" s="447" t="s">
        <v>56</v>
      </c>
      <c r="E25" s="447" t="s">
        <v>694</v>
      </c>
      <c r="F25" s="447" t="s">
        <v>703</v>
      </c>
      <c r="G25" s="447" t="s">
        <v>671</v>
      </c>
      <c r="H25" s="447"/>
      <c r="I25" s="447" t="s">
        <v>656</v>
      </c>
      <c r="J25" s="447" t="s">
        <v>704</v>
      </c>
      <c r="K25" s="447" t="s">
        <v>705</v>
      </c>
      <c r="L25" s="449" t="s">
        <v>698</v>
      </c>
      <c r="M25" s="449" t="s">
        <v>699</v>
      </c>
      <c r="N25" s="449" t="s">
        <v>700</v>
      </c>
      <c r="O25" s="451" t="s">
        <v>661</v>
      </c>
      <c r="P25" s="451"/>
      <c r="Q25" s="447" t="s">
        <v>662</v>
      </c>
      <c r="R25" s="447" t="s">
        <v>662</v>
      </c>
      <c r="S25" s="447" t="s">
        <v>663</v>
      </c>
      <c r="T25" s="447" t="s">
        <v>663</v>
      </c>
      <c r="U25" s="447" t="s">
        <v>663</v>
      </c>
      <c r="V25" s="447" t="s">
        <v>706</v>
      </c>
      <c r="W25" s="447" t="s">
        <v>702</v>
      </c>
      <c r="X25" s="447" t="str">
        <f t="shared" si="1"/>
        <v>IE200</v>
      </c>
      <c r="Y25" s="447" t="str">
        <f t="shared" si="2"/>
        <v>1G phy2 base</v>
      </c>
      <c r="Z25" s="457"/>
    </row>
    <row r="26" spans="1:26">
      <c r="A26" s="447">
        <v>24</v>
      </c>
      <c r="B26" s="447" t="s">
        <v>56</v>
      </c>
      <c r="C26" s="447" t="s">
        <v>709</v>
      </c>
      <c r="D26" s="447" t="s">
        <v>56</v>
      </c>
      <c r="E26" s="447" t="s">
        <v>694</v>
      </c>
      <c r="F26" s="447" t="s">
        <v>695</v>
      </c>
      <c r="G26" s="447" t="s">
        <v>671</v>
      </c>
      <c r="H26" s="447"/>
      <c r="I26" s="447" t="s">
        <v>656</v>
      </c>
      <c r="J26" s="447" t="s">
        <v>696</v>
      </c>
      <c r="K26" s="447" t="s">
        <v>697</v>
      </c>
      <c r="L26" s="449" t="s">
        <v>698</v>
      </c>
      <c r="M26" s="449" t="s">
        <v>699</v>
      </c>
      <c r="N26" s="449" t="s">
        <v>700</v>
      </c>
      <c r="O26" s="451" t="s">
        <v>661</v>
      </c>
      <c r="P26" s="451"/>
      <c r="Q26" s="447" t="s">
        <v>662</v>
      </c>
      <c r="R26" s="447" t="s">
        <v>662</v>
      </c>
      <c r="S26" s="447" t="s">
        <v>663</v>
      </c>
      <c r="T26" s="447" t="s">
        <v>663</v>
      </c>
      <c r="U26" s="447" t="s">
        <v>663</v>
      </c>
      <c r="V26" s="447" t="s">
        <v>701</v>
      </c>
      <c r="W26" s="447" t="s">
        <v>702</v>
      </c>
      <c r="X26" s="447" t="str">
        <f t="shared" si="1"/>
        <v>IE200</v>
      </c>
      <c r="Y26" s="447" t="str">
        <f t="shared" si="2"/>
        <v>1G phy1 base</v>
      </c>
      <c r="Z26" s="457"/>
    </row>
    <row r="27" spans="1:26">
      <c r="A27" s="447">
        <v>25</v>
      </c>
      <c r="B27" s="447" t="s">
        <v>56</v>
      </c>
      <c r="C27" s="447" t="s">
        <v>709</v>
      </c>
      <c r="D27" s="447" t="s">
        <v>56</v>
      </c>
      <c r="E27" s="447" t="s">
        <v>694</v>
      </c>
      <c r="F27" s="447" t="s">
        <v>703</v>
      </c>
      <c r="G27" s="447" t="s">
        <v>671</v>
      </c>
      <c r="H27" s="447"/>
      <c r="I27" s="447" t="s">
        <v>656</v>
      </c>
      <c r="J27" s="447" t="s">
        <v>704</v>
      </c>
      <c r="K27" s="447" t="s">
        <v>705</v>
      </c>
      <c r="L27" s="449" t="s">
        <v>698</v>
      </c>
      <c r="M27" s="449" t="s">
        <v>699</v>
      </c>
      <c r="N27" s="449" t="s">
        <v>700</v>
      </c>
      <c r="O27" s="451" t="s">
        <v>661</v>
      </c>
      <c r="P27" s="451"/>
      <c r="Q27" s="447" t="s">
        <v>662</v>
      </c>
      <c r="R27" s="447" t="s">
        <v>662</v>
      </c>
      <c r="S27" s="447" t="s">
        <v>663</v>
      </c>
      <c r="T27" s="447" t="s">
        <v>663</v>
      </c>
      <c r="U27" s="447" t="s">
        <v>663</v>
      </c>
      <c r="V27" s="447" t="s">
        <v>706</v>
      </c>
      <c r="W27" s="447" t="s">
        <v>702</v>
      </c>
      <c r="X27" s="447" t="str">
        <f t="shared" si="1"/>
        <v>IE200</v>
      </c>
      <c r="Y27" s="447" t="str">
        <f t="shared" si="2"/>
        <v>1G phy2 base</v>
      </c>
      <c r="Z27" s="457"/>
    </row>
    <row r="28" spans="1:26">
      <c r="A28" s="458">
        <v>26</v>
      </c>
      <c r="B28" s="458" t="s">
        <v>45</v>
      </c>
      <c r="C28" s="458" t="s">
        <v>710</v>
      </c>
      <c r="D28" s="458" t="s">
        <v>105</v>
      </c>
      <c r="E28" s="458" t="s">
        <v>711</v>
      </c>
      <c r="F28" s="458" t="s">
        <v>712</v>
      </c>
      <c r="G28" s="458" t="s">
        <v>671</v>
      </c>
      <c r="H28" s="458"/>
      <c r="I28" s="459" t="s">
        <v>656</v>
      </c>
      <c r="J28" s="458" t="s">
        <v>713</v>
      </c>
      <c r="K28" s="458"/>
      <c r="L28" s="460" t="s">
        <v>710</v>
      </c>
      <c r="M28" s="460" t="s">
        <v>674</v>
      </c>
      <c r="N28" s="460" t="s">
        <v>714</v>
      </c>
      <c r="O28" s="462" t="s">
        <v>661</v>
      </c>
      <c r="P28" s="463"/>
      <c r="Q28" s="464" t="s">
        <v>662</v>
      </c>
      <c r="R28" s="465" t="s">
        <v>662</v>
      </c>
      <c r="S28" s="465" t="s">
        <v>663</v>
      </c>
      <c r="T28" s="465" t="s">
        <v>663</v>
      </c>
      <c r="U28" s="465" t="s">
        <v>663</v>
      </c>
      <c r="V28" s="465" t="str">
        <f t="shared" ref="V28:V38" si="3">IF(F28="DC","DC","phy")</f>
        <v>phy</v>
      </c>
      <c r="W28" s="465" t="s">
        <v>702</v>
      </c>
      <c r="X28" s="465" t="str">
        <f t="shared" si="1"/>
        <v>IE210L</v>
      </c>
      <c r="Y28" s="465" t="str">
        <f t="shared" si="2"/>
        <v>1G phy base</v>
      </c>
      <c r="Z28" s="465"/>
    </row>
    <row r="29" spans="1:26">
      <c r="A29" s="458">
        <v>27</v>
      </c>
      <c r="B29" s="458" t="s">
        <v>45</v>
      </c>
      <c r="C29" s="458" t="s">
        <v>715</v>
      </c>
      <c r="D29" s="458" t="s">
        <v>105</v>
      </c>
      <c r="E29" s="458" t="s">
        <v>711</v>
      </c>
      <c r="F29" s="458" t="s">
        <v>712</v>
      </c>
      <c r="G29" s="458" t="s">
        <v>671</v>
      </c>
      <c r="H29" s="458"/>
      <c r="I29" s="459" t="s">
        <v>656</v>
      </c>
      <c r="J29" s="458" t="s">
        <v>713</v>
      </c>
      <c r="K29" s="458"/>
      <c r="L29" s="466" t="s">
        <v>197</v>
      </c>
      <c r="M29" s="466" t="s">
        <v>197</v>
      </c>
      <c r="N29" s="466" t="s">
        <v>197</v>
      </c>
      <c r="O29" s="462" t="s">
        <v>661</v>
      </c>
      <c r="P29" s="463"/>
      <c r="Q29" s="464" t="s">
        <v>662</v>
      </c>
      <c r="R29" s="465" t="s">
        <v>662</v>
      </c>
      <c r="S29" s="465" t="s">
        <v>663</v>
      </c>
      <c r="T29" s="465" t="s">
        <v>663</v>
      </c>
      <c r="U29" s="465" t="s">
        <v>663</v>
      </c>
      <c r="V29" s="465" t="str">
        <f t="shared" si="3"/>
        <v>phy</v>
      </c>
      <c r="W29" s="465" t="s">
        <v>702</v>
      </c>
      <c r="X29" s="465" t="str">
        <f t="shared" si="1"/>
        <v>IE210L</v>
      </c>
      <c r="Y29" s="465" t="str">
        <f t="shared" si="2"/>
        <v>1G phy base</v>
      </c>
      <c r="Z29" s="465"/>
    </row>
    <row r="30" spans="1:26">
      <c r="A30" s="447">
        <v>28</v>
      </c>
      <c r="B30" s="447" t="s">
        <v>53</v>
      </c>
      <c r="C30" s="447" t="s">
        <v>716</v>
      </c>
      <c r="D30" s="447" t="s">
        <v>681</v>
      </c>
      <c r="E30" s="447" t="s">
        <v>717</v>
      </c>
      <c r="F30" s="447" t="s">
        <v>718</v>
      </c>
      <c r="G30" s="447" t="s">
        <v>671</v>
      </c>
      <c r="H30" s="447"/>
      <c r="I30" s="448" t="s">
        <v>656</v>
      </c>
      <c r="J30" s="447" t="s">
        <v>719</v>
      </c>
      <c r="K30" s="447"/>
      <c r="L30" s="449" t="s">
        <v>197</v>
      </c>
      <c r="M30" s="449" t="s">
        <v>197</v>
      </c>
      <c r="N30" s="449" t="s">
        <v>197</v>
      </c>
      <c r="O30" s="451" t="s">
        <v>661</v>
      </c>
      <c r="P30" s="455"/>
      <c r="Q30" s="456" t="s">
        <v>662</v>
      </c>
      <c r="R30" s="457" t="s">
        <v>662</v>
      </c>
      <c r="S30" s="457" t="s">
        <v>663</v>
      </c>
      <c r="T30" s="457" t="s">
        <v>663</v>
      </c>
      <c r="U30" s="457" t="s">
        <v>663</v>
      </c>
      <c r="V30" s="457" t="str">
        <f t="shared" si="3"/>
        <v>phy</v>
      </c>
      <c r="W30" s="457" t="s">
        <v>702</v>
      </c>
      <c r="X30" s="457" t="str">
        <f t="shared" si="1"/>
        <v>IE300</v>
      </c>
      <c r="Y30" s="457" t="str">
        <f t="shared" si="2"/>
        <v>1G phy base</v>
      </c>
      <c r="Z30" s="457"/>
    </row>
    <row r="31" spans="1:26">
      <c r="A31" s="447">
        <v>29</v>
      </c>
      <c r="B31" s="447" t="s">
        <v>53</v>
      </c>
      <c r="C31" s="447" t="s">
        <v>720</v>
      </c>
      <c r="D31" s="447" t="s">
        <v>681</v>
      </c>
      <c r="E31" s="447" t="s">
        <v>717</v>
      </c>
      <c r="F31" s="447" t="s">
        <v>718</v>
      </c>
      <c r="G31" s="447" t="s">
        <v>671</v>
      </c>
      <c r="H31" s="447"/>
      <c r="I31" s="448" t="s">
        <v>656</v>
      </c>
      <c r="J31" s="447" t="s">
        <v>719</v>
      </c>
      <c r="K31" s="447"/>
      <c r="L31" s="449" t="s">
        <v>721</v>
      </c>
      <c r="M31" s="450" t="s">
        <v>686</v>
      </c>
      <c r="N31" s="449" t="s">
        <v>722</v>
      </c>
      <c r="O31" s="451" t="s">
        <v>661</v>
      </c>
      <c r="P31" s="455"/>
      <c r="Q31" s="456" t="s">
        <v>662</v>
      </c>
      <c r="R31" s="457" t="s">
        <v>662</v>
      </c>
      <c r="S31" s="457" t="s">
        <v>663</v>
      </c>
      <c r="T31" s="457" t="s">
        <v>663</v>
      </c>
      <c r="U31" s="457" t="s">
        <v>663</v>
      </c>
      <c r="V31" s="457" t="str">
        <f t="shared" si="3"/>
        <v>phy</v>
      </c>
      <c r="W31" s="457" t="s">
        <v>702</v>
      </c>
      <c r="X31" s="457" t="str">
        <f t="shared" si="1"/>
        <v>IE300</v>
      </c>
      <c r="Y31" s="457" t="str">
        <f t="shared" si="2"/>
        <v>1G phy base</v>
      </c>
      <c r="Z31" s="457"/>
    </row>
    <row r="32" spans="1:26">
      <c r="A32" s="447">
        <v>30</v>
      </c>
      <c r="B32" s="447" t="s">
        <v>53</v>
      </c>
      <c r="C32" s="447" t="s">
        <v>723</v>
      </c>
      <c r="D32" s="447" t="s">
        <v>681</v>
      </c>
      <c r="E32" s="447" t="s">
        <v>717</v>
      </c>
      <c r="F32" s="447" t="s">
        <v>718</v>
      </c>
      <c r="G32" s="447" t="s">
        <v>724</v>
      </c>
      <c r="H32" s="447"/>
      <c r="I32" s="448" t="s">
        <v>724</v>
      </c>
      <c r="J32" s="447" t="s">
        <v>724</v>
      </c>
      <c r="K32" s="447"/>
      <c r="L32" s="449" t="s">
        <v>197</v>
      </c>
      <c r="M32" s="449" t="s">
        <v>197</v>
      </c>
      <c r="N32" s="449" t="s">
        <v>197</v>
      </c>
      <c r="O32" s="451" t="s">
        <v>725</v>
      </c>
      <c r="P32" s="455"/>
      <c r="Q32" s="456" t="s">
        <v>663</v>
      </c>
      <c r="R32" s="457" t="s">
        <v>663</v>
      </c>
      <c r="S32" s="457" t="s">
        <v>663</v>
      </c>
      <c r="T32" s="457" t="s">
        <v>663</v>
      </c>
      <c r="U32" s="457" t="s">
        <v>663</v>
      </c>
      <c r="V32" s="457" t="str">
        <f t="shared" si="3"/>
        <v>phy</v>
      </c>
      <c r="W32" s="457" t="s">
        <v>702</v>
      </c>
      <c r="X32" s="457" t="str">
        <f t="shared" si="1"/>
        <v>IE300</v>
      </c>
      <c r="Y32" s="457" t="str">
        <f t="shared" si="2"/>
        <v>0 phy base</v>
      </c>
      <c r="Z32" s="457"/>
    </row>
    <row r="33" spans="1:26">
      <c r="A33" s="447">
        <v>31</v>
      </c>
      <c r="B33" s="447" t="s">
        <v>53</v>
      </c>
      <c r="C33" s="447" t="s">
        <v>723</v>
      </c>
      <c r="D33" s="447" t="s">
        <v>681</v>
      </c>
      <c r="E33" s="447" t="s">
        <v>717</v>
      </c>
      <c r="F33" s="447" t="s">
        <v>726</v>
      </c>
      <c r="G33" s="447" t="s">
        <v>724</v>
      </c>
      <c r="H33" s="447"/>
      <c r="I33" s="448" t="s">
        <v>724</v>
      </c>
      <c r="J33" s="447" t="s">
        <v>724</v>
      </c>
      <c r="K33" s="447"/>
      <c r="L33" s="449" t="s">
        <v>197</v>
      </c>
      <c r="M33" s="449" t="s">
        <v>197</v>
      </c>
      <c r="N33" s="449" t="s">
        <v>197</v>
      </c>
      <c r="O33" s="451" t="s">
        <v>725</v>
      </c>
      <c r="P33" s="455"/>
      <c r="Q33" s="456" t="s">
        <v>663</v>
      </c>
      <c r="R33" s="457" t="s">
        <v>663</v>
      </c>
      <c r="S33" s="457" t="s">
        <v>663</v>
      </c>
      <c r="T33" s="457" t="s">
        <v>663</v>
      </c>
      <c r="U33" s="457" t="s">
        <v>663</v>
      </c>
      <c r="V33" s="457" t="str">
        <f t="shared" si="3"/>
        <v>phy</v>
      </c>
      <c r="W33" s="457" t="s">
        <v>702</v>
      </c>
      <c r="X33" s="457" t="str">
        <f t="shared" si="1"/>
        <v>IE300</v>
      </c>
      <c r="Y33" s="457" t="str">
        <f t="shared" si="2"/>
        <v>0 phy base</v>
      </c>
      <c r="Z33" s="457"/>
    </row>
    <row r="34" spans="1:26">
      <c r="A34" s="447">
        <v>32</v>
      </c>
      <c r="B34" s="447" t="s">
        <v>53</v>
      </c>
      <c r="C34" s="447" t="s">
        <v>727</v>
      </c>
      <c r="D34" s="447" t="s">
        <v>681</v>
      </c>
      <c r="E34" s="447" t="s">
        <v>717</v>
      </c>
      <c r="F34" s="447" t="s">
        <v>718</v>
      </c>
      <c r="G34" s="447" t="s">
        <v>724</v>
      </c>
      <c r="H34" s="447"/>
      <c r="I34" s="448" t="s">
        <v>724</v>
      </c>
      <c r="J34" s="447" t="s">
        <v>724</v>
      </c>
      <c r="K34" s="447"/>
      <c r="L34" s="449" t="s">
        <v>197</v>
      </c>
      <c r="M34" s="449" t="s">
        <v>197</v>
      </c>
      <c r="N34" s="449" t="s">
        <v>197</v>
      </c>
      <c r="O34" s="451" t="s">
        <v>725</v>
      </c>
      <c r="P34" s="455"/>
      <c r="Q34" s="456" t="s">
        <v>663</v>
      </c>
      <c r="R34" s="457" t="s">
        <v>663</v>
      </c>
      <c r="S34" s="457" t="s">
        <v>663</v>
      </c>
      <c r="T34" s="457" t="s">
        <v>663</v>
      </c>
      <c r="U34" s="457" t="s">
        <v>663</v>
      </c>
      <c r="V34" s="457" t="str">
        <f t="shared" si="3"/>
        <v>phy</v>
      </c>
      <c r="W34" s="457" t="s">
        <v>702</v>
      </c>
      <c r="X34" s="457" t="str">
        <f t="shared" si="1"/>
        <v>IE300</v>
      </c>
      <c r="Y34" s="457" t="str">
        <f t="shared" si="2"/>
        <v>0 phy base</v>
      </c>
      <c r="Z34" s="457"/>
    </row>
    <row r="35" spans="1:26">
      <c r="A35" s="447">
        <v>33</v>
      </c>
      <c r="B35" s="447" t="s">
        <v>53</v>
      </c>
      <c r="C35" s="447" t="s">
        <v>727</v>
      </c>
      <c r="D35" s="447" t="s">
        <v>681</v>
      </c>
      <c r="E35" s="447" t="s">
        <v>717</v>
      </c>
      <c r="F35" s="447" t="s">
        <v>726</v>
      </c>
      <c r="G35" s="447" t="s">
        <v>724</v>
      </c>
      <c r="H35" s="447"/>
      <c r="I35" s="448" t="s">
        <v>724</v>
      </c>
      <c r="J35" s="447" t="s">
        <v>724</v>
      </c>
      <c r="K35" s="447"/>
      <c r="L35" s="449" t="s">
        <v>197</v>
      </c>
      <c r="M35" s="449" t="s">
        <v>197</v>
      </c>
      <c r="N35" s="449" t="s">
        <v>197</v>
      </c>
      <c r="O35" s="451" t="s">
        <v>725</v>
      </c>
      <c r="P35" s="455"/>
      <c r="Q35" s="456" t="s">
        <v>663</v>
      </c>
      <c r="R35" s="457" t="s">
        <v>663</v>
      </c>
      <c r="S35" s="457" t="s">
        <v>663</v>
      </c>
      <c r="T35" s="457" t="s">
        <v>663</v>
      </c>
      <c r="U35" s="457" t="s">
        <v>663</v>
      </c>
      <c r="V35" s="457" t="str">
        <f t="shared" si="3"/>
        <v>phy</v>
      </c>
      <c r="W35" s="457" t="s">
        <v>702</v>
      </c>
      <c r="X35" s="457" t="str">
        <f t="shared" ref="X35:X68" si="4">B35</f>
        <v>IE300</v>
      </c>
      <c r="Y35" s="457" t="str">
        <f t="shared" ref="Y35:Y68" si="5">IF(U35="y","100G",IF(T35="y","10G",IF(S35="y","10G",IF(R35="y","1G",IF(Q35="y","100M",0)))))&amp;" "&amp;V35&amp;" "&amp;W35</f>
        <v>0 phy base</v>
      </c>
      <c r="Z35" s="457"/>
    </row>
    <row r="36" spans="1:26">
      <c r="A36" s="458">
        <v>34</v>
      </c>
      <c r="B36" s="458" t="s">
        <v>46</v>
      </c>
      <c r="C36" s="458" t="s">
        <v>728</v>
      </c>
      <c r="D36" s="458" t="s">
        <v>105</v>
      </c>
      <c r="E36" s="458" t="s">
        <v>729</v>
      </c>
      <c r="F36" s="458" t="s">
        <v>730</v>
      </c>
      <c r="G36" s="458" t="s">
        <v>671</v>
      </c>
      <c r="H36" s="458"/>
      <c r="I36" s="458" t="s">
        <v>644</v>
      </c>
      <c r="J36" s="458" t="s">
        <v>731</v>
      </c>
      <c r="K36" s="458" t="s">
        <v>732</v>
      </c>
      <c r="L36" s="466" t="s">
        <v>733</v>
      </c>
      <c r="M36" s="466" t="s">
        <v>734</v>
      </c>
      <c r="N36" s="466" t="s">
        <v>735</v>
      </c>
      <c r="O36" s="462" t="s">
        <v>661</v>
      </c>
      <c r="P36" s="462"/>
      <c r="Q36" s="458" t="s">
        <v>663</v>
      </c>
      <c r="R36" s="458" t="s">
        <v>662</v>
      </c>
      <c r="S36" s="458" t="s">
        <v>663</v>
      </c>
      <c r="T36" s="458" t="s">
        <v>663</v>
      </c>
      <c r="U36" s="458" t="s">
        <v>663</v>
      </c>
      <c r="V36" s="458" t="str">
        <f t="shared" si="3"/>
        <v>phy</v>
      </c>
      <c r="W36" s="458" t="s">
        <v>676</v>
      </c>
      <c r="X36" s="458" t="str">
        <f t="shared" si="4"/>
        <v>IE340</v>
      </c>
      <c r="Y36" s="458" t="str">
        <f t="shared" si="5"/>
        <v>1G phy uplink</v>
      </c>
      <c r="Z36" s="465"/>
    </row>
    <row r="37" spans="1:26">
      <c r="A37" s="458">
        <v>35</v>
      </c>
      <c r="B37" s="458" t="s">
        <v>46</v>
      </c>
      <c r="C37" s="458" t="s">
        <v>736</v>
      </c>
      <c r="D37" s="458" t="s">
        <v>105</v>
      </c>
      <c r="E37" s="458" t="s">
        <v>729</v>
      </c>
      <c r="F37" s="458" t="s">
        <v>730</v>
      </c>
      <c r="G37" s="458" t="s">
        <v>671</v>
      </c>
      <c r="H37" s="458"/>
      <c r="I37" s="458" t="s">
        <v>644</v>
      </c>
      <c r="J37" s="458" t="s">
        <v>731</v>
      </c>
      <c r="K37" s="458" t="s">
        <v>732</v>
      </c>
      <c r="L37" s="466" t="s">
        <v>197</v>
      </c>
      <c r="M37" s="466" t="s">
        <v>197</v>
      </c>
      <c r="N37" s="466" t="s">
        <v>197</v>
      </c>
      <c r="O37" s="462" t="s">
        <v>661</v>
      </c>
      <c r="P37" s="462"/>
      <c r="Q37" s="458" t="s">
        <v>663</v>
      </c>
      <c r="R37" s="458" t="s">
        <v>662</v>
      </c>
      <c r="S37" s="458" t="s">
        <v>663</v>
      </c>
      <c r="T37" s="458" t="s">
        <v>663</v>
      </c>
      <c r="U37" s="458" t="s">
        <v>663</v>
      </c>
      <c r="V37" s="458" t="str">
        <f t="shared" si="3"/>
        <v>phy</v>
      </c>
      <c r="W37" s="458" t="s">
        <v>676</v>
      </c>
      <c r="X37" s="458" t="str">
        <f t="shared" si="4"/>
        <v>IE340</v>
      </c>
      <c r="Y37" s="458" t="str">
        <f t="shared" si="5"/>
        <v>1G phy uplink</v>
      </c>
      <c r="Z37" s="465"/>
    </row>
    <row r="38" spans="1:26">
      <c r="A38" s="458">
        <v>36</v>
      </c>
      <c r="B38" s="458" t="s">
        <v>46</v>
      </c>
      <c r="C38" s="458" t="s">
        <v>737</v>
      </c>
      <c r="D38" s="458" t="s">
        <v>105</v>
      </c>
      <c r="E38" s="458" t="s">
        <v>729</v>
      </c>
      <c r="F38" s="458" t="s">
        <v>730</v>
      </c>
      <c r="G38" s="458" t="s">
        <v>671</v>
      </c>
      <c r="H38" s="458"/>
      <c r="I38" s="458" t="s">
        <v>644</v>
      </c>
      <c r="J38" s="458" t="s">
        <v>731</v>
      </c>
      <c r="K38" s="458" t="s">
        <v>732</v>
      </c>
      <c r="L38" s="466" t="s">
        <v>197</v>
      </c>
      <c r="M38" s="466" t="s">
        <v>197</v>
      </c>
      <c r="N38" s="466" t="s">
        <v>197</v>
      </c>
      <c r="O38" s="462" t="s">
        <v>661</v>
      </c>
      <c r="P38" s="462"/>
      <c r="Q38" s="458" t="s">
        <v>663</v>
      </c>
      <c r="R38" s="458" t="s">
        <v>662</v>
      </c>
      <c r="S38" s="458" t="s">
        <v>663</v>
      </c>
      <c r="T38" s="458" t="s">
        <v>663</v>
      </c>
      <c r="U38" s="458" t="s">
        <v>663</v>
      </c>
      <c r="V38" s="458" t="str">
        <f t="shared" si="3"/>
        <v>phy</v>
      </c>
      <c r="W38" s="458" t="s">
        <v>676</v>
      </c>
      <c r="X38" s="458" t="str">
        <f t="shared" si="4"/>
        <v>IE340</v>
      </c>
      <c r="Y38" s="458" t="str">
        <f t="shared" si="5"/>
        <v>1G phy uplink</v>
      </c>
      <c r="Z38" s="465"/>
    </row>
    <row r="39" spans="1:26">
      <c r="A39" s="458">
        <v>37</v>
      </c>
      <c r="B39" s="458" t="s">
        <v>46</v>
      </c>
      <c r="C39" s="458" t="s">
        <v>738</v>
      </c>
      <c r="D39" s="458" t="s">
        <v>105</v>
      </c>
      <c r="E39" s="458" t="s">
        <v>682</v>
      </c>
      <c r="F39" s="458"/>
      <c r="G39" s="458" t="s">
        <v>671</v>
      </c>
      <c r="H39" s="458"/>
      <c r="I39" s="458" t="s">
        <v>644</v>
      </c>
      <c r="J39" s="458" t="s">
        <v>731</v>
      </c>
      <c r="K39" s="458"/>
      <c r="L39" s="466" t="s">
        <v>197</v>
      </c>
      <c r="M39" s="466" t="s">
        <v>197</v>
      </c>
      <c r="N39" s="466" t="s">
        <v>197</v>
      </c>
      <c r="O39" s="462" t="s">
        <v>739</v>
      </c>
      <c r="P39" s="462"/>
      <c r="Q39" s="458" t="s">
        <v>663</v>
      </c>
      <c r="R39" s="458" t="s">
        <v>662</v>
      </c>
      <c r="S39" s="458" t="s">
        <v>663</v>
      </c>
      <c r="T39" s="458" t="s">
        <v>663</v>
      </c>
      <c r="U39" s="458" t="s">
        <v>663</v>
      </c>
      <c r="V39" s="458"/>
      <c r="W39" s="458"/>
      <c r="X39" s="458" t="str">
        <f t="shared" si="4"/>
        <v>IE340</v>
      </c>
      <c r="Y39" s="458" t="str">
        <f t="shared" si="5"/>
        <v xml:space="preserve">1G  </v>
      </c>
      <c r="Z39" s="465"/>
    </row>
    <row r="40" spans="1:26">
      <c r="A40" s="458">
        <v>38</v>
      </c>
      <c r="B40" s="458" t="s">
        <v>46</v>
      </c>
      <c r="C40" s="458" t="s">
        <v>738</v>
      </c>
      <c r="D40" s="458" t="s">
        <v>105</v>
      </c>
      <c r="E40" s="458" t="s">
        <v>682</v>
      </c>
      <c r="F40" s="458"/>
      <c r="G40" s="458" t="s">
        <v>671</v>
      </c>
      <c r="H40" s="458"/>
      <c r="I40" s="458" t="s">
        <v>644</v>
      </c>
      <c r="J40" s="458" t="s">
        <v>731</v>
      </c>
      <c r="K40" s="458"/>
      <c r="L40" s="466" t="s">
        <v>197</v>
      </c>
      <c r="M40" s="466" t="s">
        <v>197</v>
      </c>
      <c r="N40" s="466" t="s">
        <v>197</v>
      </c>
      <c r="O40" s="462" t="s">
        <v>739</v>
      </c>
      <c r="P40" s="462"/>
      <c r="Q40" s="458" t="s">
        <v>663</v>
      </c>
      <c r="R40" s="458" t="s">
        <v>662</v>
      </c>
      <c r="S40" s="458" t="s">
        <v>663</v>
      </c>
      <c r="T40" s="458" t="s">
        <v>663</v>
      </c>
      <c r="U40" s="458" t="s">
        <v>663</v>
      </c>
      <c r="V40" s="458"/>
      <c r="W40" s="458"/>
      <c r="X40" s="458" t="str">
        <f t="shared" si="4"/>
        <v>IE340</v>
      </c>
      <c r="Y40" s="458" t="str">
        <f t="shared" si="5"/>
        <v xml:space="preserve">1G  </v>
      </c>
      <c r="Z40" s="465"/>
    </row>
    <row r="41" spans="1:26">
      <c r="A41" s="458">
        <v>39</v>
      </c>
      <c r="B41" s="458" t="s">
        <v>46</v>
      </c>
      <c r="C41" s="458" t="s">
        <v>738</v>
      </c>
      <c r="D41" s="458" t="s">
        <v>105</v>
      </c>
      <c r="E41" s="458" t="s">
        <v>682</v>
      </c>
      <c r="F41" s="458"/>
      <c r="G41" s="458" t="s">
        <v>740</v>
      </c>
      <c r="H41" s="458"/>
      <c r="I41" s="458" t="s">
        <v>645</v>
      </c>
      <c r="J41" s="458" t="s">
        <v>741</v>
      </c>
      <c r="K41" s="458"/>
      <c r="L41" s="466" t="s">
        <v>197</v>
      </c>
      <c r="M41" s="466" t="s">
        <v>197</v>
      </c>
      <c r="N41" s="466" t="s">
        <v>197</v>
      </c>
      <c r="O41" s="462" t="s">
        <v>739</v>
      </c>
      <c r="P41" s="462"/>
      <c r="Q41" s="458" t="s">
        <v>663</v>
      </c>
      <c r="R41" s="458" t="s">
        <v>663</v>
      </c>
      <c r="S41" s="458" t="s">
        <v>662</v>
      </c>
      <c r="T41" s="458" t="s">
        <v>663</v>
      </c>
      <c r="U41" s="458" t="s">
        <v>663</v>
      </c>
      <c r="V41" s="458"/>
      <c r="W41" s="458"/>
      <c r="X41" s="458" t="str">
        <f t="shared" si="4"/>
        <v>IE340</v>
      </c>
      <c r="Y41" s="458" t="str">
        <f t="shared" si="5"/>
        <v xml:space="preserve">10G  </v>
      </c>
      <c r="Z41" s="465"/>
    </row>
    <row r="42" spans="1:26">
      <c r="A42" s="458">
        <v>40</v>
      </c>
      <c r="B42" s="458" t="s">
        <v>46</v>
      </c>
      <c r="C42" s="458" t="s">
        <v>742</v>
      </c>
      <c r="D42" s="458" t="s">
        <v>105</v>
      </c>
      <c r="E42" s="458" t="s">
        <v>729</v>
      </c>
      <c r="F42" s="458" t="s">
        <v>730</v>
      </c>
      <c r="G42" s="458" t="s">
        <v>671</v>
      </c>
      <c r="H42" s="458"/>
      <c r="I42" s="459" t="s">
        <v>644</v>
      </c>
      <c r="J42" s="458" t="s">
        <v>731</v>
      </c>
      <c r="K42" s="458" t="s">
        <v>743</v>
      </c>
      <c r="L42" s="466" t="s">
        <v>197</v>
      </c>
      <c r="M42" s="466" t="s">
        <v>197</v>
      </c>
      <c r="N42" s="466" t="s">
        <v>197</v>
      </c>
      <c r="O42" s="462" t="s">
        <v>661</v>
      </c>
      <c r="P42" s="463"/>
      <c r="Q42" s="464" t="s">
        <v>663</v>
      </c>
      <c r="R42" s="465" t="s">
        <v>662</v>
      </c>
      <c r="S42" s="465" t="s">
        <v>663</v>
      </c>
      <c r="T42" s="465" t="s">
        <v>663</v>
      </c>
      <c r="U42" s="458" t="s">
        <v>663</v>
      </c>
      <c r="V42" s="458" t="str">
        <f>IF(F42="DC","DC","phy")</f>
        <v>phy</v>
      </c>
      <c r="W42" s="458" t="s">
        <v>676</v>
      </c>
      <c r="X42" s="458" t="str">
        <f t="shared" si="4"/>
        <v>IE340</v>
      </c>
      <c r="Y42" s="458" t="str">
        <f t="shared" si="5"/>
        <v>1G phy uplink</v>
      </c>
      <c r="Z42" s="465"/>
    </row>
    <row r="43" spans="1:26">
      <c r="A43" s="447">
        <v>41</v>
      </c>
      <c r="B43" s="447" t="s">
        <v>47</v>
      </c>
      <c r="C43" s="447" t="s">
        <v>744</v>
      </c>
      <c r="D43" s="447" t="s">
        <v>744</v>
      </c>
      <c r="E43" s="447" t="s">
        <v>745</v>
      </c>
      <c r="F43" s="447" t="s">
        <v>197</v>
      </c>
      <c r="G43" s="447" t="s">
        <v>746</v>
      </c>
      <c r="H43" s="447"/>
      <c r="I43" s="448" t="s">
        <v>197</v>
      </c>
      <c r="J43" s="447" t="s">
        <v>724</v>
      </c>
      <c r="K43" s="447"/>
      <c r="L43" s="449" t="s">
        <v>197</v>
      </c>
      <c r="M43" s="449" t="s">
        <v>197</v>
      </c>
      <c r="N43" s="449" t="s">
        <v>197</v>
      </c>
      <c r="O43" s="451" t="s">
        <v>661</v>
      </c>
      <c r="P43" s="451"/>
      <c r="Q43" s="447" t="s">
        <v>663</v>
      </c>
      <c r="R43" s="447" t="s">
        <v>663</v>
      </c>
      <c r="S43" s="447" t="s">
        <v>663</v>
      </c>
      <c r="T43" s="447" t="s">
        <v>663</v>
      </c>
      <c r="U43" s="447" t="s">
        <v>663</v>
      </c>
      <c r="V43" s="447"/>
      <c r="W43" s="447"/>
      <c r="X43" s="447" t="str">
        <f t="shared" si="4"/>
        <v>SBx8100</v>
      </c>
      <c r="Y43" s="447" t="str">
        <f t="shared" si="5"/>
        <v xml:space="preserve">0  </v>
      </c>
      <c r="Z43" s="457"/>
    </row>
    <row r="44" spans="1:26">
      <c r="A44" s="447">
        <v>42</v>
      </c>
      <c r="B44" s="447" t="s">
        <v>47</v>
      </c>
      <c r="C44" s="447" t="s">
        <v>106</v>
      </c>
      <c r="D44" s="447" t="s">
        <v>106</v>
      </c>
      <c r="E44" s="447" t="s">
        <v>747</v>
      </c>
      <c r="F44" s="447" t="s">
        <v>748</v>
      </c>
      <c r="G44" s="447" t="s">
        <v>740</v>
      </c>
      <c r="H44" s="447"/>
      <c r="I44" s="448" t="s">
        <v>645</v>
      </c>
      <c r="J44" s="447" t="s">
        <v>749</v>
      </c>
      <c r="K44" s="447" t="s">
        <v>750</v>
      </c>
      <c r="L44" s="449" t="s">
        <v>751</v>
      </c>
      <c r="M44" s="449" t="s">
        <v>752</v>
      </c>
      <c r="N44" s="449" t="s">
        <v>753</v>
      </c>
      <c r="O44" s="451" t="s">
        <v>661</v>
      </c>
      <c r="P44" s="451"/>
      <c r="Q44" s="447" t="s">
        <v>663</v>
      </c>
      <c r="R44" s="447" t="s">
        <v>663</v>
      </c>
      <c r="S44" s="447" t="s">
        <v>662</v>
      </c>
      <c r="T44" s="447" t="s">
        <v>663</v>
      </c>
      <c r="U44" s="447" t="s">
        <v>663</v>
      </c>
      <c r="V44" s="447" t="str">
        <f>IF(F44="DC","DC","phy")</f>
        <v>phy</v>
      </c>
      <c r="W44" s="447" t="s">
        <v>676</v>
      </c>
      <c r="X44" s="447" t="str">
        <f t="shared" si="4"/>
        <v>SBx8100</v>
      </c>
      <c r="Y44" s="447" t="str">
        <f t="shared" si="5"/>
        <v>10G phy uplink</v>
      </c>
      <c r="Z44" s="457"/>
    </row>
    <row r="45" spans="1:26">
      <c r="A45" s="447">
        <v>43</v>
      </c>
      <c r="B45" s="447" t="s">
        <v>47</v>
      </c>
      <c r="C45" s="447" t="s">
        <v>754</v>
      </c>
      <c r="D45" s="447" t="s">
        <v>106</v>
      </c>
      <c r="E45" s="447" t="s">
        <v>747</v>
      </c>
      <c r="F45" s="447" t="s">
        <v>755</v>
      </c>
      <c r="G45" s="447" t="s">
        <v>740</v>
      </c>
      <c r="H45" s="447"/>
      <c r="I45" s="448" t="s">
        <v>756</v>
      </c>
      <c r="J45" s="447" t="s">
        <v>757</v>
      </c>
      <c r="K45" s="447" t="s">
        <v>750</v>
      </c>
      <c r="L45" s="449" t="s">
        <v>758</v>
      </c>
      <c r="M45" s="450" t="s">
        <v>659</v>
      </c>
      <c r="N45" s="449" t="s">
        <v>759</v>
      </c>
      <c r="O45" s="451" t="s">
        <v>661</v>
      </c>
      <c r="P45" s="451"/>
      <c r="Q45" s="447" t="s">
        <v>663</v>
      </c>
      <c r="R45" s="447" t="s">
        <v>662</v>
      </c>
      <c r="S45" s="447" t="s">
        <v>662</v>
      </c>
      <c r="T45" s="447" t="s">
        <v>663</v>
      </c>
      <c r="U45" s="447" t="s">
        <v>663</v>
      </c>
      <c r="V45" s="447" t="s">
        <v>706</v>
      </c>
      <c r="W45" s="447" t="s">
        <v>676</v>
      </c>
      <c r="X45" s="447" t="str">
        <f t="shared" si="4"/>
        <v>SBx8100</v>
      </c>
      <c r="Y45" s="447" t="str">
        <f t="shared" si="5"/>
        <v>10G phy2 uplink</v>
      </c>
      <c r="Z45" s="457"/>
    </row>
    <row r="46" spans="1:26">
      <c r="A46" s="447">
        <v>44</v>
      </c>
      <c r="B46" s="447" t="s">
        <v>47</v>
      </c>
      <c r="C46" s="447" t="s">
        <v>760</v>
      </c>
      <c r="D46" s="447" t="s">
        <v>761</v>
      </c>
      <c r="E46" s="447" t="s">
        <v>762</v>
      </c>
      <c r="F46" s="447" t="s">
        <v>763</v>
      </c>
      <c r="G46" s="447" t="s">
        <v>746</v>
      </c>
      <c r="H46" s="447"/>
      <c r="I46" s="448" t="s">
        <v>197</v>
      </c>
      <c r="J46" s="447" t="s">
        <v>724</v>
      </c>
      <c r="K46" s="447"/>
      <c r="L46" s="449" t="s">
        <v>197</v>
      </c>
      <c r="M46" s="449" t="s">
        <v>197</v>
      </c>
      <c r="N46" s="449" t="s">
        <v>197</v>
      </c>
      <c r="O46" s="451" t="s">
        <v>764</v>
      </c>
      <c r="P46" s="451"/>
      <c r="Q46" s="447" t="s">
        <v>663</v>
      </c>
      <c r="R46" s="447" t="s">
        <v>663</v>
      </c>
      <c r="S46" s="447" t="s">
        <v>663</v>
      </c>
      <c r="T46" s="447" t="s">
        <v>663</v>
      </c>
      <c r="U46" s="447" t="s">
        <v>663</v>
      </c>
      <c r="V46" s="447" t="str">
        <f t="shared" ref="V46:V57" si="6">IF(F46="DC","DC","phy")</f>
        <v>phy</v>
      </c>
      <c r="W46" s="447" t="s">
        <v>702</v>
      </c>
      <c r="X46" s="447" t="str">
        <f t="shared" si="4"/>
        <v>SBx8100</v>
      </c>
      <c r="Y46" s="447" t="str">
        <f t="shared" si="5"/>
        <v>0 phy base</v>
      </c>
      <c r="Z46" s="457"/>
    </row>
    <row r="47" spans="1:26">
      <c r="A47" s="447">
        <v>45</v>
      </c>
      <c r="B47" s="447" t="s">
        <v>47</v>
      </c>
      <c r="C47" s="447" t="s">
        <v>765</v>
      </c>
      <c r="D47" s="447" t="s">
        <v>761</v>
      </c>
      <c r="E47" s="447" t="s">
        <v>766</v>
      </c>
      <c r="F47" s="447" t="s">
        <v>767</v>
      </c>
      <c r="G47" s="447" t="s">
        <v>671</v>
      </c>
      <c r="H47" s="447"/>
      <c r="I47" s="448" t="s">
        <v>656</v>
      </c>
      <c r="J47" s="447" t="s">
        <v>768</v>
      </c>
      <c r="K47" s="447" t="s">
        <v>769</v>
      </c>
      <c r="L47" s="449" t="s">
        <v>770</v>
      </c>
      <c r="M47" s="449" t="s">
        <v>752</v>
      </c>
      <c r="N47" s="449" t="s">
        <v>771</v>
      </c>
      <c r="O47" s="451" t="s">
        <v>661</v>
      </c>
      <c r="P47" s="451"/>
      <c r="Q47" s="447" t="s">
        <v>662</v>
      </c>
      <c r="R47" s="447" t="s">
        <v>662</v>
      </c>
      <c r="S47" s="447" t="s">
        <v>663</v>
      </c>
      <c r="T47" s="447" t="s">
        <v>663</v>
      </c>
      <c r="U47" s="447" t="s">
        <v>663</v>
      </c>
      <c r="V47" s="447" t="str">
        <f t="shared" si="6"/>
        <v>phy</v>
      </c>
      <c r="W47" s="447" t="s">
        <v>702</v>
      </c>
      <c r="X47" s="447" t="str">
        <f t="shared" si="4"/>
        <v>SBx8100</v>
      </c>
      <c r="Y47" s="447" t="str">
        <f t="shared" si="5"/>
        <v>1G phy base</v>
      </c>
      <c r="Z47" s="457"/>
    </row>
    <row r="48" spans="1:26">
      <c r="A48" s="447">
        <v>46</v>
      </c>
      <c r="B48" s="447" t="s">
        <v>47</v>
      </c>
      <c r="C48" s="447" t="s">
        <v>772</v>
      </c>
      <c r="D48" s="447" t="s">
        <v>761</v>
      </c>
      <c r="E48" s="447" t="s">
        <v>762</v>
      </c>
      <c r="F48" s="447" t="s">
        <v>763</v>
      </c>
      <c r="G48" s="447" t="s">
        <v>746</v>
      </c>
      <c r="H48" s="447"/>
      <c r="I48" s="448" t="s">
        <v>197</v>
      </c>
      <c r="J48" s="447" t="s">
        <v>724</v>
      </c>
      <c r="K48" s="447"/>
      <c r="L48" s="449" t="s">
        <v>197</v>
      </c>
      <c r="M48" s="449" t="s">
        <v>197</v>
      </c>
      <c r="N48" s="449" t="s">
        <v>197</v>
      </c>
      <c r="O48" s="451" t="s">
        <v>661</v>
      </c>
      <c r="P48" s="451"/>
      <c r="Q48" s="447" t="s">
        <v>663</v>
      </c>
      <c r="R48" s="447" t="s">
        <v>663</v>
      </c>
      <c r="S48" s="447" t="s">
        <v>663</v>
      </c>
      <c r="T48" s="447" t="s">
        <v>663</v>
      </c>
      <c r="U48" s="447" t="s">
        <v>663</v>
      </c>
      <c r="V48" s="447" t="str">
        <f t="shared" si="6"/>
        <v>phy</v>
      </c>
      <c r="W48" s="447" t="s">
        <v>702</v>
      </c>
      <c r="X48" s="447" t="str">
        <f t="shared" si="4"/>
        <v>SBx8100</v>
      </c>
      <c r="Y48" s="447" t="str">
        <f t="shared" si="5"/>
        <v>0 phy base</v>
      </c>
      <c r="Z48" s="457"/>
    </row>
    <row r="49" spans="1:26">
      <c r="A49" s="447">
        <v>47</v>
      </c>
      <c r="B49" s="447" t="s">
        <v>47</v>
      </c>
      <c r="C49" s="447" t="s">
        <v>773</v>
      </c>
      <c r="D49" s="447" t="s">
        <v>761</v>
      </c>
      <c r="E49" s="447" t="s">
        <v>774</v>
      </c>
      <c r="F49" s="447" t="s">
        <v>775</v>
      </c>
      <c r="G49" s="447" t="s">
        <v>746</v>
      </c>
      <c r="H49" s="447"/>
      <c r="I49" s="448" t="s">
        <v>197</v>
      </c>
      <c r="J49" s="447" t="s">
        <v>724</v>
      </c>
      <c r="K49" s="447"/>
      <c r="L49" s="449" t="s">
        <v>197</v>
      </c>
      <c r="M49" s="449" t="s">
        <v>197</v>
      </c>
      <c r="N49" s="449" t="s">
        <v>197</v>
      </c>
      <c r="O49" s="451" t="s">
        <v>661</v>
      </c>
      <c r="P49" s="451"/>
      <c r="Q49" s="447" t="s">
        <v>663</v>
      </c>
      <c r="R49" s="447" t="s">
        <v>663</v>
      </c>
      <c r="S49" s="447" t="s">
        <v>663</v>
      </c>
      <c r="T49" s="447" t="s">
        <v>663</v>
      </c>
      <c r="U49" s="447" t="s">
        <v>663</v>
      </c>
      <c r="V49" s="447" t="str">
        <f t="shared" si="6"/>
        <v>phy</v>
      </c>
      <c r="W49" s="447" t="s">
        <v>702</v>
      </c>
      <c r="X49" s="447" t="str">
        <f t="shared" si="4"/>
        <v>SBx8100</v>
      </c>
      <c r="Y49" s="447" t="str">
        <f t="shared" si="5"/>
        <v>0 phy base</v>
      </c>
      <c r="Z49" s="457"/>
    </row>
    <row r="50" spans="1:26">
      <c r="A50" s="447">
        <v>48</v>
      </c>
      <c r="B50" s="447" t="s">
        <v>47</v>
      </c>
      <c r="C50" s="447" t="s">
        <v>776</v>
      </c>
      <c r="D50" s="447" t="s">
        <v>777</v>
      </c>
      <c r="E50" s="447" t="s">
        <v>778</v>
      </c>
      <c r="F50" s="447" t="s">
        <v>778</v>
      </c>
      <c r="G50" s="447" t="s">
        <v>671</v>
      </c>
      <c r="H50" s="447"/>
      <c r="I50" s="448" t="s">
        <v>644</v>
      </c>
      <c r="J50" s="447" t="s">
        <v>779</v>
      </c>
      <c r="K50" s="447" t="s">
        <v>780</v>
      </c>
      <c r="L50" s="449" t="s">
        <v>781</v>
      </c>
      <c r="M50" s="449" t="s">
        <v>752</v>
      </c>
      <c r="N50" s="449" t="s">
        <v>782</v>
      </c>
      <c r="O50" s="451" t="s">
        <v>661</v>
      </c>
      <c r="P50" s="451"/>
      <c r="Q50" s="447" t="s">
        <v>663</v>
      </c>
      <c r="R50" s="447" t="s">
        <v>662</v>
      </c>
      <c r="S50" s="447" t="s">
        <v>663</v>
      </c>
      <c r="T50" s="447" t="s">
        <v>663</v>
      </c>
      <c r="U50" s="447" t="s">
        <v>663</v>
      </c>
      <c r="V50" s="447" t="str">
        <f t="shared" si="6"/>
        <v>phy</v>
      </c>
      <c r="W50" s="447" t="s">
        <v>702</v>
      </c>
      <c r="X50" s="447" t="str">
        <f t="shared" si="4"/>
        <v>SBx8100</v>
      </c>
      <c r="Y50" s="447" t="str">
        <f t="shared" si="5"/>
        <v>1G phy base</v>
      </c>
      <c r="Z50" s="457"/>
    </row>
    <row r="51" spans="1:26">
      <c r="A51" s="447">
        <v>49</v>
      </c>
      <c r="B51" s="447" t="s">
        <v>47</v>
      </c>
      <c r="C51" s="447" t="s">
        <v>783</v>
      </c>
      <c r="D51" s="447" t="s">
        <v>777</v>
      </c>
      <c r="E51" s="447" t="s">
        <v>197</v>
      </c>
      <c r="F51" s="447" t="s">
        <v>784</v>
      </c>
      <c r="G51" s="447" t="s">
        <v>740</v>
      </c>
      <c r="H51" s="447"/>
      <c r="I51" s="448" t="s">
        <v>756</v>
      </c>
      <c r="J51" s="447" t="s">
        <v>783</v>
      </c>
      <c r="K51" s="447" t="s">
        <v>785</v>
      </c>
      <c r="L51" s="449" t="s">
        <v>786</v>
      </c>
      <c r="M51" s="449" t="s">
        <v>734</v>
      </c>
      <c r="N51" s="449" t="s">
        <v>787</v>
      </c>
      <c r="O51" s="451" t="s">
        <v>788</v>
      </c>
      <c r="P51" s="451"/>
      <c r="Q51" s="447" t="s">
        <v>663</v>
      </c>
      <c r="R51" s="447" t="s">
        <v>662</v>
      </c>
      <c r="S51" s="447" t="s">
        <v>662</v>
      </c>
      <c r="T51" s="447" t="s">
        <v>663</v>
      </c>
      <c r="U51" s="447" t="s">
        <v>663</v>
      </c>
      <c r="V51" s="447" t="str">
        <f t="shared" si="6"/>
        <v>phy</v>
      </c>
      <c r="W51" s="447" t="s">
        <v>702</v>
      </c>
      <c r="X51" s="447" t="str">
        <f t="shared" si="4"/>
        <v>SBx8100</v>
      </c>
      <c r="Y51" s="447" t="str">
        <f t="shared" si="5"/>
        <v>10G phy base</v>
      </c>
      <c r="Z51" s="457"/>
    </row>
    <row r="52" spans="1:26">
      <c r="A52" s="447">
        <v>50</v>
      </c>
      <c r="B52" s="447" t="s">
        <v>47</v>
      </c>
      <c r="C52" s="447" t="s">
        <v>789</v>
      </c>
      <c r="D52" s="447" t="s">
        <v>777</v>
      </c>
      <c r="E52" s="447" t="s">
        <v>197</v>
      </c>
      <c r="F52" s="447" t="s">
        <v>784</v>
      </c>
      <c r="G52" s="447" t="s">
        <v>790</v>
      </c>
      <c r="H52" s="447"/>
      <c r="I52" s="448" t="s">
        <v>646</v>
      </c>
      <c r="J52" s="447" t="s">
        <v>789</v>
      </c>
      <c r="K52" s="447" t="s">
        <v>791</v>
      </c>
      <c r="L52" s="449" t="s">
        <v>792</v>
      </c>
      <c r="M52" s="449" t="s">
        <v>734</v>
      </c>
      <c r="N52" s="449" t="s">
        <v>793</v>
      </c>
      <c r="O52" s="451" t="s">
        <v>661</v>
      </c>
      <c r="P52" s="451"/>
      <c r="Q52" s="447" t="s">
        <v>663</v>
      </c>
      <c r="R52" s="447" t="s">
        <v>663</v>
      </c>
      <c r="S52" s="447" t="s">
        <v>663</v>
      </c>
      <c r="T52" s="447" t="s">
        <v>662</v>
      </c>
      <c r="U52" s="447" t="s">
        <v>663</v>
      </c>
      <c r="V52" s="447" t="str">
        <f t="shared" si="6"/>
        <v>phy</v>
      </c>
      <c r="W52" s="447" t="s">
        <v>702</v>
      </c>
      <c r="X52" s="447" t="str">
        <f t="shared" si="4"/>
        <v>SBx8100</v>
      </c>
      <c r="Y52" s="447" t="str">
        <f t="shared" si="5"/>
        <v>10G phy base</v>
      </c>
      <c r="Z52" s="457"/>
    </row>
    <row r="53" spans="1:26">
      <c r="A53" s="447">
        <v>51</v>
      </c>
      <c r="B53" s="447" t="s">
        <v>47</v>
      </c>
      <c r="C53" s="447" t="s">
        <v>794</v>
      </c>
      <c r="D53" s="447" t="s">
        <v>777</v>
      </c>
      <c r="E53" s="447" t="s">
        <v>197</v>
      </c>
      <c r="F53" s="447" t="s">
        <v>795</v>
      </c>
      <c r="G53" s="447" t="s">
        <v>746</v>
      </c>
      <c r="H53" s="447"/>
      <c r="I53" s="448" t="s">
        <v>197</v>
      </c>
      <c r="J53" s="447" t="s">
        <v>724</v>
      </c>
      <c r="K53" s="447"/>
      <c r="L53" s="449" t="s">
        <v>197</v>
      </c>
      <c r="M53" s="449" t="s">
        <v>197</v>
      </c>
      <c r="N53" s="449" t="s">
        <v>197</v>
      </c>
      <c r="O53" s="451" t="s">
        <v>661</v>
      </c>
      <c r="P53" s="451"/>
      <c r="Q53" s="447" t="s">
        <v>663</v>
      </c>
      <c r="R53" s="447" t="s">
        <v>663</v>
      </c>
      <c r="S53" s="447" t="s">
        <v>663</v>
      </c>
      <c r="T53" s="447" t="s">
        <v>663</v>
      </c>
      <c r="U53" s="447" t="s">
        <v>663</v>
      </c>
      <c r="V53" s="447" t="str">
        <f t="shared" si="6"/>
        <v>phy</v>
      </c>
      <c r="W53" s="447" t="s">
        <v>702</v>
      </c>
      <c r="X53" s="447" t="str">
        <f t="shared" si="4"/>
        <v>SBx8100</v>
      </c>
      <c r="Y53" s="447" t="str">
        <f t="shared" si="5"/>
        <v>0 phy base</v>
      </c>
      <c r="Z53" s="457"/>
    </row>
    <row r="54" spans="1:26">
      <c r="A54" s="447">
        <v>52</v>
      </c>
      <c r="B54" s="447" t="s">
        <v>47</v>
      </c>
      <c r="C54" s="447" t="s">
        <v>796</v>
      </c>
      <c r="D54" s="447" t="s">
        <v>777</v>
      </c>
      <c r="E54" s="447" t="s">
        <v>197</v>
      </c>
      <c r="F54" s="447" t="s">
        <v>797</v>
      </c>
      <c r="G54" s="447" t="s">
        <v>746</v>
      </c>
      <c r="H54" s="447"/>
      <c r="I54" s="447" t="s">
        <v>197</v>
      </c>
      <c r="J54" s="447" t="s">
        <v>724</v>
      </c>
      <c r="K54" s="447"/>
      <c r="L54" s="449" t="s">
        <v>197</v>
      </c>
      <c r="M54" s="449" t="s">
        <v>197</v>
      </c>
      <c r="N54" s="449" t="s">
        <v>197</v>
      </c>
      <c r="O54" s="451" t="s">
        <v>661</v>
      </c>
      <c r="P54" s="451"/>
      <c r="Q54" s="447" t="s">
        <v>663</v>
      </c>
      <c r="R54" s="447" t="s">
        <v>663</v>
      </c>
      <c r="S54" s="447" t="s">
        <v>663</v>
      </c>
      <c r="T54" s="447" t="s">
        <v>663</v>
      </c>
      <c r="U54" s="447" t="s">
        <v>663</v>
      </c>
      <c r="V54" s="447" t="str">
        <f t="shared" si="6"/>
        <v>phy</v>
      </c>
      <c r="W54" s="447" t="s">
        <v>702</v>
      </c>
      <c r="X54" s="447" t="str">
        <f t="shared" si="4"/>
        <v>SBx8100</v>
      </c>
      <c r="Y54" s="447" t="str">
        <f t="shared" si="5"/>
        <v>0 phy base</v>
      </c>
      <c r="Z54" s="457"/>
    </row>
    <row r="55" spans="1:26">
      <c r="A55" s="447">
        <v>53</v>
      </c>
      <c r="B55" s="447" t="s">
        <v>47</v>
      </c>
      <c r="C55" s="447" t="s">
        <v>798</v>
      </c>
      <c r="D55" s="447" t="s">
        <v>761</v>
      </c>
      <c r="E55" s="447" t="s">
        <v>799</v>
      </c>
      <c r="F55" s="447" t="s">
        <v>748</v>
      </c>
      <c r="G55" s="447" t="s">
        <v>740</v>
      </c>
      <c r="H55" s="447"/>
      <c r="I55" s="448" t="s">
        <v>645</v>
      </c>
      <c r="J55" s="447" t="s">
        <v>798</v>
      </c>
      <c r="K55" s="447" t="s">
        <v>800</v>
      </c>
      <c r="L55" s="449" t="s">
        <v>798</v>
      </c>
      <c r="M55" s="449" t="s">
        <v>674</v>
      </c>
      <c r="N55" s="449" t="s">
        <v>801</v>
      </c>
      <c r="O55" s="451" t="s">
        <v>661</v>
      </c>
      <c r="P55" s="451"/>
      <c r="Q55" s="447" t="s">
        <v>663</v>
      </c>
      <c r="R55" s="447" t="s">
        <v>663</v>
      </c>
      <c r="S55" s="447" t="s">
        <v>662</v>
      </c>
      <c r="T55" s="447" t="s">
        <v>663</v>
      </c>
      <c r="U55" s="447" t="s">
        <v>663</v>
      </c>
      <c r="V55" s="447" t="str">
        <f t="shared" si="6"/>
        <v>phy</v>
      </c>
      <c r="W55" s="447"/>
      <c r="X55" s="447" t="str">
        <f t="shared" si="4"/>
        <v>SBx8100</v>
      </c>
      <c r="Y55" s="447" t="str">
        <f t="shared" si="5"/>
        <v xml:space="preserve">10G phy </v>
      </c>
      <c r="Z55" s="457"/>
    </row>
    <row r="56" spans="1:26">
      <c r="A56" s="447">
        <v>54</v>
      </c>
      <c r="B56" s="447" t="s">
        <v>47</v>
      </c>
      <c r="C56" s="447" t="s">
        <v>802</v>
      </c>
      <c r="D56" s="447" t="s">
        <v>761</v>
      </c>
      <c r="E56" s="447" t="s">
        <v>803</v>
      </c>
      <c r="F56" s="447" t="s">
        <v>748</v>
      </c>
      <c r="G56" s="447" t="s">
        <v>740</v>
      </c>
      <c r="H56" s="447"/>
      <c r="I56" s="448" t="s">
        <v>645</v>
      </c>
      <c r="J56" s="447" t="s">
        <v>802</v>
      </c>
      <c r="K56" s="447" t="s">
        <v>804</v>
      </c>
      <c r="L56" s="449" t="s">
        <v>805</v>
      </c>
      <c r="M56" s="449" t="s">
        <v>674</v>
      </c>
      <c r="N56" s="449" t="s">
        <v>806</v>
      </c>
      <c r="O56" s="451" t="s">
        <v>661</v>
      </c>
      <c r="P56" s="451"/>
      <c r="Q56" s="447" t="s">
        <v>663</v>
      </c>
      <c r="R56" s="447" t="s">
        <v>663</v>
      </c>
      <c r="S56" s="447" t="s">
        <v>662</v>
      </c>
      <c r="T56" s="447" t="s">
        <v>663</v>
      </c>
      <c r="U56" s="447" t="s">
        <v>663</v>
      </c>
      <c r="V56" s="447" t="str">
        <f t="shared" si="6"/>
        <v>phy</v>
      </c>
      <c r="W56" s="447"/>
      <c r="X56" s="447" t="str">
        <f t="shared" si="4"/>
        <v>SBx8100</v>
      </c>
      <c r="Y56" s="447" t="str">
        <f t="shared" si="5"/>
        <v xml:space="preserve">10G phy </v>
      </c>
      <c r="Z56" s="457"/>
    </row>
    <row r="57" spans="1:26">
      <c r="A57" s="447">
        <v>55</v>
      </c>
      <c r="B57" s="447" t="s">
        <v>47</v>
      </c>
      <c r="C57" s="447" t="s">
        <v>807</v>
      </c>
      <c r="D57" s="447" t="s">
        <v>761</v>
      </c>
      <c r="E57" s="447" t="s">
        <v>799</v>
      </c>
      <c r="F57" s="447" t="s">
        <v>808</v>
      </c>
      <c r="G57" s="447" t="s">
        <v>724</v>
      </c>
      <c r="H57" s="447"/>
      <c r="I57" s="448" t="s">
        <v>724</v>
      </c>
      <c r="J57" s="447" t="s">
        <v>724</v>
      </c>
      <c r="K57" s="447"/>
      <c r="L57" s="449" t="s">
        <v>807</v>
      </c>
      <c r="M57" s="450" t="s">
        <v>809</v>
      </c>
      <c r="N57" s="449" t="s">
        <v>810</v>
      </c>
      <c r="O57" s="451" t="s">
        <v>725</v>
      </c>
      <c r="P57" s="451"/>
      <c r="Q57" s="447" t="s">
        <v>663</v>
      </c>
      <c r="R57" s="447" t="s">
        <v>663</v>
      </c>
      <c r="S57" s="447" t="s">
        <v>663</v>
      </c>
      <c r="T57" s="447" t="s">
        <v>663</v>
      </c>
      <c r="U57" s="447" t="s">
        <v>663</v>
      </c>
      <c r="V57" s="447" t="str">
        <f t="shared" si="6"/>
        <v>phy</v>
      </c>
      <c r="W57" s="447"/>
      <c r="X57" s="447" t="str">
        <f t="shared" si="4"/>
        <v>SBx8100</v>
      </c>
      <c r="Y57" s="447" t="str">
        <f t="shared" si="5"/>
        <v xml:space="preserve">0 phy </v>
      </c>
      <c r="Z57" s="457"/>
    </row>
    <row r="58" spans="1:26">
      <c r="A58" s="447">
        <v>56</v>
      </c>
      <c r="B58" s="447" t="s">
        <v>47</v>
      </c>
      <c r="C58" s="447" t="s">
        <v>811</v>
      </c>
      <c r="D58" s="447" t="s">
        <v>761</v>
      </c>
      <c r="E58" s="447" t="s">
        <v>774</v>
      </c>
      <c r="F58" s="447" t="s">
        <v>812</v>
      </c>
      <c r="G58" s="447" t="s">
        <v>813</v>
      </c>
      <c r="H58" s="447"/>
      <c r="I58" s="448" t="s">
        <v>814</v>
      </c>
      <c r="J58" s="447" t="s">
        <v>811</v>
      </c>
      <c r="K58" s="447" t="s">
        <v>815</v>
      </c>
      <c r="L58" s="449" t="s">
        <v>816</v>
      </c>
      <c r="M58" s="449" t="s">
        <v>699</v>
      </c>
      <c r="N58" s="449" t="s">
        <v>817</v>
      </c>
      <c r="O58" s="451" t="s">
        <v>661</v>
      </c>
      <c r="P58" s="451"/>
      <c r="Q58" s="447" t="s">
        <v>663</v>
      </c>
      <c r="R58" s="447" t="s">
        <v>662</v>
      </c>
      <c r="S58" s="447" t="s">
        <v>663</v>
      </c>
      <c r="T58" s="447" t="s">
        <v>663</v>
      </c>
      <c r="U58" s="447" t="s">
        <v>663</v>
      </c>
      <c r="V58" s="447"/>
      <c r="W58" s="447"/>
      <c r="X58" s="447" t="str">
        <f t="shared" si="4"/>
        <v>SBx8100</v>
      </c>
      <c r="Y58" s="447" t="str">
        <f t="shared" si="5"/>
        <v xml:space="preserve">1G  </v>
      </c>
      <c r="Z58" s="457"/>
    </row>
    <row r="59" spans="1:26">
      <c r="A59" s="458">
        <v>57</v>
      </c>
      <c r="B59" s="458" t="s">
        <v>61</v>
      </c>
      <c r="C59" s="458" t="s">
        <v>61</v>
      </c>
      <c r="D59" s="458" t="s">
        <v>64</v>
      </c>
      <c r="E59" s="458" t="s">
        <v>818</v>
      </c>
      <c r="F59" s="458" t="s">
        <v>812</v>
      </c>
      <c r="G59" s="458" t="s">
        <v>746</v>
      </c>
      <c r="H59" s="458"/>
      <c r="I59" s="459" t="s">
        <v>197</v>
      </c>
      <c r="J59" s="10" t="s">
        <v>724</v>
      </c>
      <c r="K59" s="10"/>
      <c r="L59" s="460" t="s">
        <v>819</v>
      </c>
      <c r="M59" s="460" t="s">
        <v>752</v>
      </c>
      <c r="N59" s="460" t="s">
        <v>820</v>
      </c>
      <c r="O59" s="420" t="s">
        <v>475</v>
      </c>
      <c r="P59" s="467"/>
      <c r="Q59" s="464" t="s">
        <v>663</v>
      </c>
      <c r="R59" s="465" t="s">
        <v>663</v>
      </c>
      <c r="S59" s="465" t="s">
        <v>663</v>
      </c>
      <c r="T59" s="465" t="s">
        <v>663</v>
      </c>
      <c r="U59" s="465" t="s">
        <v>663</v>
      </c>
      <c r="V59" s="465"/>
      <c r="W59" s="465"/>
      <c r="X59" s="465" t="str">
        <f t="shared" si="4"/>
        <v>SBx908</v>
      </c>
      <c r="Y59" s="465" t="str">
        <f t="shared" si="5"/>
        <v xml:space="preserve">0  </v>
      </c>
      <c r="Z59" s="465"/>
    </row>
    <row r="60" spans="1:26">
      <c r="A60" s="458">
        <v>58</v>
      </c>
      <c r="B60" s="458" t="s">
        <v>61</v>
      </c>
      <c r="C60" s="458" t="s">
        <v>821</v>
      </c>
      <c r="D60" s="458" t="s">
        <v>64</v>
      </c>
      <c r="E60" s="458" t="s">
        <v>822</v>
      </c>
      <c r="F60" s="458" t="s">
        <v>654</v>
      </c>
      <c r="G60" s="458" t="s">
        <v>746</v>
      </c>
      <c r="H60" s="458"/>
      <c r="I60" s="459" t="s">
        <v>197</v>
      </c>
      <c r="J60" s="10" t="s">
        <v>724</v>
      </c>
      <c r="K60" s="10"/>
      <c r="L60" s="460" t="s">
        <v>197</v>
      </c>
      <c r="M60" s="460" t="s">
        <v>197</v>
      </c>
      <c r="N60" s="460" t="s">
        <v>197</v>
      </c>
      <c r="O60" s="420" t="s">
        <v>475</v>
      </c>
      <c r="P60" s="467"/>
      <c r="Q60" s="464" t="s">
        <v>663</v>
      </c>
      <c r="R60" s="465" t="s">
        <v>663</v>
      </c>
      <c r="S60" s="465" t="s">
        <v>663</v>
      </c>
      <c r="T60" s="465" t="s">
        <v>663</v>
      </c>
      <c r="U60" s="465" t="s">
        <v>663</v>
      </c>
      <c r="V60" s="465" t="str">
        <f>IF(F60="DC","DC","phy")</f>
        <v>phy</v>
      </c>
      <c r="W60" s="465"/>
      <c r="X60" s="465" t="str">
        <f t="shared" si="4"/>
        <v>SBx908</v>
      </c>
      <c r="Y60" s="465" t="str">
        <f t="shared" si="5"/>
        <v xml:space="preserve">0 phy </v>
      </c>
      <c r="Z60" s="465"/>
    </row>
    <row r="61" spans="1:26">
      <c r="A61" s="458">
        <v>59</v>
      </c>
      <c r="B61" s="458" t="s">
        <v>61</v>
      </c>
      <c r="C61" s="458" t="s">
        <v>823</v>
      </c>
      <c r="D61" s="458" t="s">
        <v>64</v>
      </c>
      <c r="E61" s="458" t="s">
        <v>822</v>
      </c>
      <c r="F61" s="458" t="s">
        <v>654</v>
      </c>
      <c r="G61" s="458" t="s">
        <v>746</v>
      </c>
      <c r="H61" s="458"/>
      <c r="I61" s="459" t="s">
        <v>197</v>
      </c>
      <c r="J61" s="10" t="s">
        <v>724</v>
      </c>
      <c r="K61" s="10"/>
      <c r="L61" s="460" t="s">
        <v>197</v>
      </c>
      <c r="M61" s="460" t="s">
        <v>197</v>
      </c>
      <c r="N61" s="460" t="s">
        <v>197</v>
      </c>
      <c r="O61" s="420" t="s">
        <v>475</v>
      </c>
      <c r="P61" s="467"/>
      <c r="Q61" s="464" t="s">
        <v>663</v>
      </c>
      <c r="R61" s="465" t="s">
        <v>663</v>
      </c>
      <c r="S61" s="465" t="s">
        <v>663</v>
      </c>
      <c r="T61" s="465" t="s">
        <v>663</v>
      </c>
      <c r="U61" s="465" t="s">
        <v>663</v>
      </c>
      <c r="V61" s="465" t="str">
        <f>IF(F61="DC","DC","phy")</f>
        <v>phy</v>
      </c>
      <c r="W61" s="465"/>
      <c r="X61" s="465" t="str">
        <f t="shared" si="4"/>
        <v>SBx908</v>
      </c>
      <c r="Y61" s="465" t="str">
        <f t="shared" si="5"/>
        <v xml:space="preserve">0 phy </v>
      </c>
      <c r="Z61" s="465"/>
    </row>
    <row r="62" spans="1:26">
      <c r="A62" s="458">
        <v>60</v>
      </c>
      <c r="B62" s="458" t="s">
        <v>61</v>
      </c>
      <c r="C62" s="458" t="s">
        <v>824</v>
      </c>
      <c r="D62" s="458" t="s">
        <v>64</v>
      </c>
      <c r="E62" s="458" t="s">
        <v>825</v>
      </c>
      <c r="F62" s="458" t="s">
        <v>826</v>
      </c>
      <c r="G62" s="458" t="s">
        <v>827</v>
      </c>
      <c r="H62" s="458"/>
      <c r="I62" s="459" t="s">
        <v>644</v>
      </c>
      <c r="J62" s="10" t="s">
        <v>824</v>
      </c>
      <c r="K62" s="10"/>
      <c r="L62" s="460" t="s">
        <v>828</v>
      </c>
      <c r="M62" s="461" t="s">
        <v>829</v>
      </c>
      <c r="N62" s="460" t="s">
        <v>830</v>
      </c>
      <c r="O62" s="420" t="s">
        <v>764</v>
      </c>
      <c r="P62" s="467"/>
      <c r="Q62" s="464" t="s">
        <v>663</v>
      </c>
      <c r="R62" s="465" t="s">
        <v>663</v>
      </c>
      <c r="S62" s="465" t="s">
        <v>663</v>
      </c>
      <c r="T62" s="465" t="s">
        <v>663</v>
      </c>
      <c r="U62" s="465" t="s">
        <v>663</v>
      </c>
      <c r="V62" s="465" t="str">
        <f>IF(F62="DC","DC","phy")</f>
        <v>phy</v>
      </c>
      <c r="W62" s="465"/>
      <c r="X62" s="465" t="str">
        <f t="shared" si="4"/>
        <v>SBx908</v>
      </c>
      <c r="Y62" s="465" t="str">
        <f t="shared" si="5"/>
        <v xml:space="preserve">0 phy </v>
      </c>
      <c r="Z62" s="465"/>
    </row>
    <row r="63" spans="1:26">
      <c r="A63" s="458">
        <v>61</v>
      </c>
      <c r="B63" s="458" t="s">
        <v>61</v>
      </c>
      <c r="C63" s="458" t="s">
        <v>831</v>
      </c>
      <c r="D63" s="458" t="s">
        <v>64</v>
      </c>
      <c r="E63" s="458" t="s">
        <v>822</v>
      </c>
      <c r="F63" s="458" t="s">
        <v>688</v>
      </c>
      <c r="G63" s="458" t="s">
        <v>827</v>
      </c>
      <c r="H63" s="458"/>
      <c r="I63" s="459" t="s">
        <v>644</v>
      </c>
      <c r="J63" s="10" t="s">
        <v>831</v>
      </c>
      <c r="K63" s="10"/>
      <c r="L63" s="460" t="s">
        <v>832</v>
      </c>
      <c r="M63" s="460" t="s">
        <v>674</v>
      </c>
      <c r="N63" s="460" t="s">
        <v>833</v>
      </c>
      <c r="O63" s="420" t="s">
        <v>475</v>
      </c>
      <c r="P63" s="467"/>
      <c r="Q63" s="464" t="s">
        <v>663</v>
      </c>
      <c r="R63" s="465" t="s">
        <v>662</v>
      </c>
      <c r="S63" s="465" t="s">
        <v>663</v>
      </c>
      <c r="T63" s="465" t="s">
        <v>663</v>
      </c>
      <c r="U63" s="465" t="s">
        <v>663</v>
      </c>
      <c r="V63" s="465"/>
      <c r="W63" s="465"/>
      <c r="X63" s="465" t="str">
        <f t="shared" si="4"/>
        <v>SBx908</v>
      </c>
      <c r="Y63" s="465" t="str">
        <f t="shared" si="5"/>
        <v xml:space="preserve">1G  </v>
      </c>
      <c r="Z63" s="465"/>
    </row>
    <row r="64" spans="1:26">
      <c r="A64" s="458">
        <v>62</v>
      </c>
      <c r="B64" s="458" t="s">
        <v>61</v>
      </c>
      <c r="C64" s="458" t="s">
        <v>834</v>
      </c>
      <c r="D64" s="458" t="s">
        <v>64</v>
      </c>
      <c r="E64" s="458" t="s">
        <v>835</v>
      </c>
      <c r="F64" s="458" t="s">
        <v>836</v>
      </c>
      <c r="G64" s="458" t="s">
        <v>837</v>
      </c>
      <c r="H64" s="458"/>
      <c r="I64" s="459" t="s">
        <v>645</v>
      </c>
      <c r="J64" s="10" t="s">
        <v>838</v>
      </c>
      <c r="K64" s="10"/>
      <c r="L64" s="460" t="s">
        <v>839</v>
      </c>
      <c r="M64" s="461" t="s">
        <v>840</v>
      </c>
      <c r="N64" s="460" t="s">
        <v>841</v>
      </c>
      <c r="O64" s="420" t="s">
        <v>475</v>
      </c>
      <c r="P64" s="467"/>
      <c r="Q64" s="464" t="s">
        <v>663</v>
      </c>
      <c r="R64" s="465" t="s">
        <v>663</v>
      </c>
      <c r="S64" s="465" t="s">
        <v>663</v>
      </c>
      <c r="T64" s="465" t="s">
        <v>663</v>
      </c>
      <c r="U64" s="465" t="s">
        <v>663</v>
      </c>
      <c r="V64" s="465" t="str">
        <f>IF(F64="DC","DC","phy")</f>
        <v>phy</v>
      </c>
      <c r="W64" s="465"/>
      <c r="X64" s="465" t="str">
        <f t="shared" si="4"/>
        <v>SBx908</v>
      </c>
      <c r="Y64" s="465" t="str">
        <f t="shared" si="5"/>
        <v xml:space="preserve">0 phy </v>
      </c>
      <c r="Z64" s="465"/>
    </row>
    <row r="65" spans="1:26">
      <c r="A65" s="458">
        <v>63</v>
      </c>
      <c r="B65" s="458" t="s">
        <v>61</v>
      </c>
      <c r="C65" s="458" t="s">
        <v>842</v>
      </c>
      <c r="D65" s="458" t="s">
        <v>64</v>
      </c>
      <c r="E65" s="458" t="s">
        <v>835</v>
      </c>
      <c r="F65" s="458" t="s">
        <v>843</v>
      </c>
      <c r="G65" s="458" t="s">
        <v>746</v>
      </c>
      <c r="H65" s="458"/>
      <c r="I65" s="459" t="s">
        <v>197</v>
      </c>
      <c r="J65" s="10" t="s">
        <v>724</v>
      </c>
      <c r="K65" s="10"/>
      <c r="L65" s="460" t="s">
        <v>197</v>
      </c>
      <c r="M65" s="460" t="s">
        <v>197</v>
      </c>
      <c r="N65" s="460" t="s">
        <v>197</v>
      </c>
      <c r="O65" s="420" t="s">
        <v>475</v>
      </c>
      <c r="P65" s="467"/>
      <c r="Q65" s="464" t="s">
        <v>663</v>
      </c>
      <c r="R65" s="465" t="s">
        <v>663</v>
      </c>
      <c r="S65" s="465" t="s">
        <v>663</v>
      </c>
      <c r="T65" s="465" t="s">
        <v>663</v>
      </c>
      <c r="U65" s="465" t="s">
        <v>663</v>
      </c>
      <c r="V65" s="465" t="str">
        <f>IF(F65="DC","DC","phy")</f>
        <v>phy</v>
      </c>
      <c r="W65" s="465"/>
      <c r="X65" s="465" t="str">
        <f t="shared" si="4"/>
        <v>SBx908</v>
      </c>
      <c r="Y65" s="465" t="str">
        <f t="shared" si="5"/>
        <v xml:space="preserve">0 phy </v>
      </c>
      <c r="Z65" s="465"/>
    </row>
    <row r="66" spans="1:26">
      <c r="A66" s="458">
        <v>64</v>
      </c>
      <c r="B66" s="458" t="s">
        <v>61</v>
      </c>
      <c r="C66" s="458" t="s">
        <v>844</v>
      </c>
      <c r="D66" s="458" t="s">
        <v>64</v>
      </c>
      <c r="E66" s="458" t="s">
        <v>835</v>
      </c>
      <c r="F66" s="458" t="s">
        <v>845</v>
      </c>
      <c r="G66" s="458" t="s">
        <v>740</v>
      </c>
      <c r="H66" s="458"/>
      <c r="I66" s="459" t="s">
        <v>645</v>
      </c>
      <c r="J66" s="10" t="s">
        <v>844</v>
      </c>
      <c r="K66" s="10"/>
      <c r="L66" s="460" t="s">
        <v>846</v>
      </c>
      <c r="M66" s="460" t="s">
        <v>674</v>
      </c>
      <c r="N66" s="460" t="s">
        <v>847</v>
      </c>
      <c r="O66" s="420" t="s">
        <v>475</v>
      </c>
      <c r="P66" s="467"/>
      <c r="Q66" s="464" t="s">
        <v>663</v>
      </c>
      <c r="R66" s="465" t="s">
        <v>663</v>
      </c>
      <c r="S66" s="465" t="s">
        <v>662</v>
      </c>
      <c r="T66" s="465" t="s">
        <v>663</v>
      </c>
      <c r="U66" s="465" t="s">
        <v>663</v>
      </c>
      <c r="V66" s="465" t="str">
        <f>IF(F66="DC","DC","phy")</f>
        <v>phy</v>
      </c>
      <c r="W66" s="465"/>
      <c r="X66" s="465" t="str">
        <f t="shared" si="4"/>
        <v>SBx908</v>
      </c>
      <c r="Y66" s="465" t="str">
        <f t="shared" si="5"/>
        <v xml:space="preserve">10G phy </v>
      </c>
      <c r="Z66" s="465"/>
    </row>
    <row r="67" spans="1:26">
      <c r="A67" s="447">
        <v>65</v>
      </c>
      <c r="B67" s="447" t="s">
        <v>591</v>
      </c>
      <c r="C67" s="447" t="s">
        <v>591</v>
      </c>
      <c r="D67" s="447" t="s">
        <v>848</v>
      </c>
      <c r="E67" s="447" t="s">
        <v>849</v>
      </c>
      <c r="F67" s="447" t="s">
        <v>197</v>
      </c>
      <c r="G67" s="447" t="s">
        <v>746</v>
      </c>
      <c r="H67" s="447"/>
      <c r="I67" s="448" t="s">
        <v>197</v>
      </c>
      <c r="J67" s="447" t="s">
        <v>724</v>
      </c>
      <c r="K67" s="447"/>
      <c r="L67" s="449" t="s">
        <v>850</v>
      </c>
      <c r="M67" s="450" t="s">
        <v>659</v>
      </c>
      <c r="N67" s="449" t="s">
        <v>851</v>
      </c>
      <c r="O67" s="451" t="s">
        <v>661</v>
      </c>
      <c r="P67" s="455"/>
      <c r="Q67" s="456" t="s">
        <v>663</v>
      </c>
      <c r="R67" s="457" t="s">
        <v>663</v>
      </c>
      <c r="S67" s="457" t="s">
        <v>663</v>
      </c>
      <c r="T67" s="457" t="s">
        <v>663</v>
      </c>
      <c r="U67" s="457" t="s">
        <v>663</v>
      </c>
      <c r="V67" s="457"/>
      <c r="W67" s="457"/>
      <c r="X67" s="457" t="str">
        <f t="shared" si="4"/>
        <v>SBx908 Gen 2</v>
      </c>
      <c r="Y67" s="457" t="str">
        <f t="shared" si="5"/>
        <v xml:space="preserve">0  </v>
      </c>
      <c r="Z67" s="457"/>
    </row>
    <row r="68" spans="1:26">
      <c r="A68" s="447">
        <v>66</v>
      </c>
      <c r="B68" s="447" t="s">
        <v>591</v>
      </c>
      <c r="C68" s="447" t="s">
        <v>852</v>
      </c>
      <c r="D68" s="447" t="s">
        <v>848</v>
      </c>
      <c r="E68" s="447" t="s">
        <v>197</v>
      </c>
      <c r="F68" s="447" t="s">
        <v>853</v>
      </c>
      <c r="G68" s="447" t="s">
        <v>746</v>
      </c>
      <c r="H68" s="447"/>
      <c r="I68" s="448" t="s">
        <v>197</v>
      </c>
      <c r="J68" s="447" t="s">
        <v>724</v>
      </c>
      <c r="K68" s="447"/>
      <c r="L68" s="449" t="s">
        <v>197</v>
      </c>
      <c r="M68" s="449" t="s">
        <v>197</v>
      </c>
      <c r="N68" s="449" t="s">
        <v>197</v>
      </c>
      <c r="O68" s="451" t="s">
        <v>661</v>
      </c>
      <c r="P68" s="455"/>
      <c r="Q68" s="456" t="s">
        <v>663</v>
      </c>
      <c r="R68" s="457" t="s">
        <v>663</v>
      </c>
      <c r="S68" s="457" t="s">
        <v>663</v>
      </c>
      <c r="T68" s="457" t="s">
        <v>663</v>
      </c>
      <c r="U68" s="457" t="s">
        <v>663</v>
      </c>
      <c r="V68" s="457" t="str">
        <f>IF(F68="DC","DC","phy")</f>
        <v>phy</v>
      </c>
      <c r="W68" s="457"/>
      <c r="X68" s="457" t="str">
        <f t="shared" si="4"/>
        <v>SBx908 Gen 2</v>
      </c>
      <c r="Y68" s="457" t="str">
        <f t="shared" si="5"/>
        <v xml:space="preserve">0 phy </v>
      </c>
      <c r="Z68" s="457"/>
    </row>
    <row r="69" spans="1:26">
      <c r="A69" s="447">
        <v>67</v>
      </c>
      <c r="B69" s="447" t="s">
        <v>591</v>
      </c>
      <c r="C69" s="447" t="s">
        <v>854</v>
      </c>
      <c r="D69" s="447" t="s">
        <v>848</v>
      </c>
      <c r="E69" s="447" t="s">
        <v>197</v>
      </c>
      <c r="F69" s="447"/>
      <c r="G69" s="447" t="s">
        <v>746</v>
      </c>
      <c r="H69" s="447"/>
      <c r="I69" s="448" t="s">
        <v>197</v>
      </c>
      <c r="J69" s="447" t="s">
        <v>724</v>
      </c>
      <c r="K69" s="447"/>
      <c r="L69" s="449" t="s">
        <v>197</v>
      </c>
      <c r="M69" s="449" t="s">
        <v>197</v>
      </c>
      <c r="N69" s="449" t="s">
        <v>197</v>
      </c>
      <c r="O69" s="451"/>
      <c r="P69" s="455"/>
      <c r="Q69" s="456"/>
      <c r="R69" s="457"/>
      <c r="S69" s="457"/>
      <c r="T69" s="457"/>
      <c r="U69" s="457"/>
      <c r="V69" s="457"/>
      <c r="W69" s="457"/>
      <c r="X69" s="457"/>
      <c r="Y69" s="457"/>
      <c r="Z69" s="457"/>
    </row>
    <row r="70" spans="1:26">
      <c r="A70" s="447">
        <v>68</v>
      </c>
      <c r="B70" s="447" t="s">
        <v>591</v>
      </c>
      <c r="C70" s="447" t="s">
        <v>855</v>
      </c>
      <c r="D70" s="447" t="s">
        <v>848</v>
      </c>
      <c r="E70" s="447" t="s">
        <v>197</v>
      </c>
      <c r="F70" s="447" t="s">
        <v>856</v>
      </c>
      <c r="G70" s="447" t="s">
        <v>740</v>
      </c>
      <c r="H70" s="447"/>
      <c r="I70" s="448" t="s">
        <v>756</v>
      </c>
      <c r="J70" s="447" t="s">
        <v>857</v>
      </c>
      <c r="K70" s="447" t="s">
        <v>780</v>
      </c>
      <c r="L70" s="449" t="s">
        <v>858</v>
      </c>
      <c r="M70" s="449" t="s">
        <v>859</v>
      </c>
      <c r="N70" s="449" t="s">
        <v>860</v>
      </c>
      <c r="O70" s="451" t="s">
        <v>661</v>
      </c>
      <c r="P70" s="455"/>
      <c r="Q70" s="456" t="s">
        <v>663</v>
      </c>
      <c r="R70" s="457" t="s">
        <v>662</v>
      </c>
      <c r="S70" s="457" t="s">
        <v>662</v>
      </c>
      <c r="T70" s="457" t="s">
        <v>663</v>
      </c>
      <c r="U70" s="457" t="s">
        <v>663</v>
      </c>
      <c r="V70" s="457" t="str">
        <f t="shared" ref="V70:V108" si="7">IF(F70="DC","DC","phy")</f>
        <v>phy</v>
      </c>
      <c r="W70" s="457"/>
      <c r="X70" s="457" t="str">
        <f t="shared" ref="X70:X117" si="8">B70</f>
        <v>SBx908 Gen 2</v>
      </c>
      <c r="Y70" s="457" t="str">
        <f t="shared" ref="Y70:Y116" si="9">IF(U70="y","100G",IF(T70="y","10G",IF(S70="y","10G",IF(R70="y","1G",IF(Q70="y","100M",0)))))&amp;" "&amp;V70&amp;" "&amp;W70</f>
        <v xml:space="preserve">10G phy </v>
      </c>
      <c r="Z70" s="457"/>
    </row>
    <row r="71" spans="1:26">
      <c r="A71" s="447">
        <v>69</v>
      </c>
      <c r="B71" s="447" t="s">
        <v>591</v>
      </c>
      <c r="C71" s="447" t="s">
        <v>861</v>
      </c>
      <c r="D71" s="447" t="s">
        <v>848</v>
      </c>
      <c r="E71" s="447" t="s">
        <v>197</v>
      </c>
      <c r="F71" s="447" t="s">
        <v>862</v>
      </c>
      <c r="G71" s="447" t="s">
        <v>863</v>
      </c>
      <c r="H71" s="447"/>
      <c r="I71" s="448" t="s">
        <v>646</v>
      </c>
      <c r="J71" s="447" t="s">
        <v>864</v>
      </c>
      <c r="K71" s="447" t="s">
        <v>865</v>
      </c>
      <c r="L71" s="449" t="s">
        <v>866</v>
      </c>
      <c r="M71" s="449" t="s">
        <v>674</v>
      </c>
      <c r="N71" s="449" t="s">
        <v>867</v>
      </c>
      <c r="O71" s="451" t="s">
        <v>661</v>
      </c>
      <c r="P71" s="455"/>
      <c r="Q71" s="456" t="s">
        <v>663</v>
      </c>
      <c r="R71" s="457" t="s">
        <v>663</v>
      </c>
      <c r="S71" s="457" t="s">
        <v>663</v>
      </c>
      <c r="T71" s="457" t="s">
        <v>662</v>
      </c>
      <c r="U71" s="457" t="s">
        <v>663</v>
      </c>
      <c r="V71" s="457" t="str">
        <f t="shared" si="7"/>
        <v>phy</v>
      </c>
      <c r="W71" s="457"/>
      <c r="X71" s="457" t="str">
        <f t="shared" si="8"/>
        <v>SBx908 Gen 2</v>
      </c>
      <c r="Y71" s="457" t="str">
        <f t="shared" si="9"/>
        <v xml:space="preserve">10G phy </v>
      </c>
      <c r="Z71" s="457"/>
    </row>
    <row r="72" spans="1:26">
      <c r="A72" s="447">
        <v>70</v>
      </c>
      <c r="B72" s="447" t="s">
        <v>591</v>
      </c>
      <c r="C72" s="447" t="s">
        <v>868</v>
      </c>
      <c r="D72" s="447" t="s">
        <v>848</v>
      </c>
      <c r="E72" s="447" t="s">
        <v>197</v>
      </c>
      <c r="F72" s="447" t="s">
        <v>869</v>
      </c>
      <c r="G72" s="447" t="s">
        <v>870</v>
      </c>
      <c r="H72" s="447" t="s">
        <v>871</v>
      </c>
      <c r="I72" s="448" t="s">
        <v>647</v>
      </c>
      <c r="J72" s="447" t="s">
        <v>872</v>
      </c>
      <c r="K72" s="447" t="s">
        <v>873</v>
      </c>
      <c r="L72" s="449" t="s">
        <v>874</v>
      </c>
      <c r="M72" s="449" t="s">
        <v>674</v>
      </c>
      <c r="N72" s="449" t="s">
        <v>875</v>
      </c>
      <c r="O72" s="451" t="s">
        <v>661</v>
      </c>
      <c r="P72" s="455"/>
      <c r="Q72" s="456" t="s">
        <v>663</v>
      </c>
      <c r="R72" s="457" t="s">
        <v>663</v>
      </c>
      <c r="S72" s="457" t="s">
        <v>663</v>
      </c>
      <c r="T72" s="457" t="s">
        <v>663</v>
      </c>
      <c r="U72" s="457" t="s">
        <v>662</v>
      </c>
      <c r="V72" s="457" t="str">
        <f t="shared" si="7"/>
        <v>phy</v>
      </c>
      <c r="W72" s="457"/>
      <c r="X72" s="457" t="str">
        <f t="shared" si="8"/>
        <v>SBx908 Gen 2</v>
      </c>
      <c r="Y72" s="457" t="str">
        <f t="shared" si="9"/>
        <v xml:space="preserve">100G phy </v>
      </c>
      <c r="Z72" s="457"/>
    </row>
    <row r="73" spans="1:26">
      <c r="A73" s="447">
        <v>71</v>
      </c>
      <c r="B73" s="447" t="s">
        <v>591</v>
      </c>
      <c r="C73" s="447" t="s">
        <v>876</v>
      </c>
      <c r="D73" s="447" t="s">
        <v>848</v>
      </c>
      <c r="E73" s="447" t="s">
        <v>197</v>
      </c>
      <c r="F73" s="447" t="s">
        <v>877</v>
      </c>
      <c r="G73" s="447" t="s">
        <v>878</v>
      </c>
      <c r="H73" s="447"/>
      <c r="I73" s="448" t="s">
        <v>756</v>
      </c>
      <c r="J73" s="447" t="s">
        <v>879</v>
      </c>
      <c r="K73" s="447" t="s">
        <v>780</v>
      </c>
      <c r="L73" s="449" t="s">
        <v>880</v>
      </c>
      <c r="M73" s="449" t="s">
        <v>734</v>
      </c>
      <c r="N73" s="449" t="s">
        <v>881</v>
      </c>
      <c r="O73" s="451" t="s">
        <v>661</v>
      </c>
      <c r="P73" s="455"/>
      <c r="Q73" s="456" t="s">
        <v>663</v>
      </c>
      <c r="R73" s="457" t="s">
        <v>662</v>
      </c>
      <c r="S73" s="457" t="s">
        <v>662</v>
      </c>
      <c r="T73" s="457" t="s">
        <v>663</v>
      </c>
      <c r="U73" s="457" t="s">
        <v>663</v>
      </c>
      <c r="V73" s="457" t="str">
        <f t="shared" si="7"/>
        <v>phy</v>
      </c>
      <c r="W73" s="457"/>
      <c r="X73" s="457" t="str">
        <f t="shared" si="8"/>
        <v>SBx908 Gen 2</v>
      </c>
      <c r="Y73" s="457" t="str">
        <f t="shared" si="9"/>
        <v xml:space="preserve">10G phy </v>
      </c>
      <c r="Z73" s="457"/>
    </row>
    <row r="74" spans="1:26">
      <c r="A74" s="447">
        <v>72</v>
      </c>
      <c r="B74" s="447" t="s">
        <v>591</v>
      </c>
      <c r="C74" s="447" t="s">
        <v>882</v>
      </c>
      <c r="D74" s="447" t="s">
        <v>848</v>
      </c>
      <c r="E74" s="447" t="s">
        <v>197</v>
      </c>
      <c r="F74" s="447" t="s">
        <v>877</v>
      </c>
      <c r="G74" s="447" t="s">
        <v>878</v>
      </c>
      <c r="H74" s="447"/>
      <c r="I74" s="448" t="s">
        <v>756</v>
      </c>
      <c r="J74" s="447" t="s">
        <v>879</v>
      </c>
      <c r="K74" s="447" t="s">
        <v>883</v>
      </c>
      <c r="L74" s="449" t="str">
        <f>C74</f>
        <v>XEM2-8XSTm</v>
      </c>
      <c r="M74" s="449" t="s">
        <v>734</v>
      </c>
      <c r="N74" s="449" t="s">
        <v>884</v>
      </c>
      <c r="O74" s="451" t="s">
        <v>661</v>
      </c>
      <c r="P74" s="455"/>
      <c r="Q74" s="456" t="s">
        <v>663</v>
      </c>
      <c r="R74" s="457" t="s">
        <v>662</v>
      </c>
      <c r="S74" s="457" t="s">
        <v>662</v>
      </c>
      <c r="T74" s="457" t="s">
        <v>663</v>
      </c>
      <c r="U74" s="457" t="s">
        <v>663</v>
      </c>
      <c r="V74" s="457" t="str">
        <f t="shared" si="7"/>
        <v>phy</v>
      </c>
      <c r="W74" s="457"/>
      <c r="X74" s="457" t="str">
        <f t="shared" si="8"/>
        <v>SBx908 Gen 2</v>
      </c>
      <c r="Y74" s="457" t="str">
        <f t="shared" si="9"/>
        <v xml:space="preserve">10G phy </v>
      </c>
      <c r="Z74" s="457"/>
    </row>
    <row r="75" spans="1:26">
      <c r="A75" s="458">
        <v>73</v>
      </c>
      <c r="B75" s="458" t="s">
        <v>885</v>
      </c>
      <c r="C75" s="458" t="s">
        <v>886</v>
      </c>
      <c r="D75" s="458" t="s">
        <v>885</v>
      </c>
      <c r="E75" s="458" t="s">
        <v>887</v>
      </c>
      <c r="F75" s="458" t="s">
        <v>654</v>
      </c>
      <c r="G75" s="458" t="s">
        <v>671</v>
      </c>
      <c r="H75" s="458"/>
      <c r="I75" s="459" t="s">
        <v>656</v>
      </c>
      <c r="J75" s="458" t="s">
        <v>888</v>
      </c>
      <c r="K75" s="458" t="s">
        <v>889</v>
      </c>
      <c r="L75" s="466" t="s">
        <v>197</v>
      </c>
      <c r="M75" s="466" t="s">
        <v>197</v>
      </c>
      <c r="N75" s="466" t="s">
        <v>197</v>
      </c>
      <c r="O75" s="462" t="s">
        <v>661</v>
      </c>
      <c r="P75" s="463"/>
      <c r="Q75" s="464" t="s">
        <v>662</v>
      </c>
      <c r="R75" s="465" t="s">
        <v>662</v>
      </c>
      <c r="S75" s="465" t="s">
        <v>663</v>
      </c>
      <c r="T75" s="465" t="s">
        <v>663</v>
      </c>
      <c r="U75" s="458" t="s">
        <v>663</v>
      </c>
      <c r="V75" s="458" t="str">
        <f t="shared" si="7"/>
        <v>phy</v>
      </c>
      <c r="W75" s="458" t="s">
        <v>676</v>
      </c>
      <c r="X75" s="458" t="str">
        <f t="shared" si="8"/>
        <v>x220</v>
      </c>
      <c r="Y75" s="458" t="str">
        <f t="shared" si="9"/>
        <v>1G phy uplink</v>
      </c>
      <c r="Z75" s="465"/>
    </row>
    <row r="76" spans="1:26">
      <c r="A76" s="458">
        <v>74</v>
      </c>
      <c r="B76" s="458" t="s">
        <v>885</v>
      </c>
      <c r="C76" s="458" t="s">
        <v>890</v>
      </c>
      <c r="D76" s="458" t="s">
        <v>885</v>
      </c>
      <c r="E76" s="458" t="s">
        <v>891</v>
      </c>
      <c r="F76" s="458" t="s">
        <v>654</v>
      </c>
      <c r="G76" s="458" t="s">
        <v>671</v>
      </c>
      <c r="H76" s="458"/>
      <c r="I76" s="459" t="s">
        <v>656</v>
      </c>
      <c r="J76" s="458" t="s">
        <v>888</v>
      </c>
      <c r="K76" s="458" t="s">
        <v>889</v>
      </c>
      <c r="L76" s="466" t="s">
        <v>197</v>
      </c>
      <c r="M76" s="466" t="s">
        <v>197</v>
      </c>
      <c r="N76" s="466" t="s">
        <v>197</v>
      </c>
      <c r="O76" s="462" t="s">
        <v>661</v>
      </c>
      <c r="P76" s="463"/>
      <c r="Q76" s="464" t="s">
        <v>662</v>
      </c>
      <c r="R76" s="465" t="s">
        <v>662</v>
      </c>
      <c r="S76" s="465" t="s">
        <v>663</v>
      </c>
      <c r="T76" s="465" t="s">
        <v>663</v>
      </c>
      <c r="U76" s="458" t="s">
        <v>663</v>
      </c>
      <c r="V76" s="458" t="str">
        <f t="shared" si="7"/>
        <v>phy</v>
      </c>
      <c r="W76" s="458" t="s">
        <v>676</v>
      </c>
      <c r="X76" s="458" t="str">
        <f t="shared" si="8"/>
        <v>x220</v>
      </c>
      <c r="Y76" s="458" t="str">
        <f t="shared" si="9"/>
        <v>1G phy uplink</v>
      </c>
      <c r="Z76" s="465"/>
    </row>
    <row r="77" spans="1:26">
      <c r="A77" s="458">
        <v>75</v>
      </c>
      <c r="B77" s="458" t="s">
        <v>885</v>
      </c>
      <c r="C77" s="458" t="s">
        <v>892</v>
      </c>
      <c r="D77" s="458" t="s">
        <v>885</v>
      </c>
      <c r="E77" s="458" t="s">
        <v>893</v>
      </c>
      <c r="F77" s="458" t="s">
        <v>654</v>
      </c>
      <c r="G77" s="458" t="s">
        <v>671</v>
      </c>
      <c r="H77" s="458"/>
      <c r="I77" s="459" t="s">
        <v>656</v>
      </c>
      <c r="J77" s="458" t="s">
        <v>888</v>
      </c>
      <c r="K77" s="458" t="s">
        <v>889</v>
      </c>
      <c r="L77" s="466" t="s">
        <v>894</v>
      </c>
      <c r="M77" s="466" t="s">
        <v>674</v>
      </c>
      <c r="N77" s="466" t="s">
        <v>895</v>
      </c>
      <c r="O77" s="462" t="s">
        <v>661</v>
      </c>
      <c r="P77" s="463"/>
      <c r="Q77" s="464" t="s">
        <v>662</v>
      </c>
      <c r="R77" s="465" t="s">
        <v>662</v>
      </c>
      <c r="S77" s="465" t="s">
        <v>663</v>
      </c>
      <c r="T77" s="465" t="s">
        <v>663</v>
      </c>
      <c r="U77" s="458" t="s">
        <v>663</v>
      </c>
      <c r="V77" s="458" t="str">
        <f t="shared" si="7"/>
        <v>phy</v>
      </c>
      <c r="W77" s="458" t="s">
        <v>676</v>
      </c>
      <c r="X77" s="458" t="str">
        <f t="shared" si="8"/>
        <v>x220</v>
      </c>
      <c r="Y77" s="458" t="str">
        <f t="shared" si="9"/>
        <v>1G phy uplink</v>
      </c>
      <c r="Z77" s="465"/>
    </row>
    <row r="78" spans="1:26">
      <c r="A78" s="458">
        <v>76</v>
      </c>
      <c r="B78" s="458" t="s">
        <v>885</v>
      </c>
      <c r="C78" s="458" t="s">
        <v>892</v>
      </c>
      <c r="D78" s="458" t="s">
        <v>885</v>
      </c>
      <c r="E78" s="458" t="s">
        <v>896</v>
      </c>
      <c r="F78" s="458" t="s">
        <v>897</v>
      </c>
      <c r="G78" s="458" t="s">
        <v>671</v>
      </c>
      <c r="H78" s="458"/>
      <c r="I78" s="459" t="s">
        <v>656</v>
      </c>
      <c r="J78" s="458" t="s">
        <v>898</v>
      </c>
      <c r="K78" s="458" t="s">
        <v>899</v>
      </c>
      <c r="L78" s="466" t="s">
        <v>894</v>
      </c>
      <c r="M78" s="466" t="s">
        <v>674</v>
      </c>
      <c r="N78" s="466" t="s">
        <v>895</v>
      </c>
      <c r="O78" s="462" t="s">
        <v>661</v>
      </c>
      <c r="P78" s="463"/>
      <c r="Q78" s="464" t="s">
        <v>662</v>
      </c>
      <c r="R78" s="465" t="s">
        <v>662</v>
      </c>
      <c r="S78" s="465" t="s">
        <v>663</v>
      </c>
      <c r="T78" s="465" t="s">
        <v>663</v>
      </c>
      <c r="U78" s="458" t="s">
        <v>663</v>
      </c>
      <c r="V78" s="458" t="str">
        <f t="shared" si="7"/>
        <v>phy</v>
      </c>
      <c r="W78" s="458"/>
      <c r="X78" s="458" t="str">
        <f t="shared" si="8"/>
        <v>x220</v>
      </c>
      <c r="Y78" s="458" t="str">
        <f t="shared" si="9"/>
        <v xml:space="preserve">1G phy </v>
      </c>
      <c r="Z78" s="465"/>
    </row>
    <row r="79" spans="1:26">
      <c r="A79" s="458">
        <v>77</v>
      </c>
      <c r="B79" s="458" t="s">
        <v>885</v>
      </c>
      <c r="C79" s="458" t="s">
        <v>900</v>
      </c>
      <c r="D79" s="458" t="s">
        <v>885</v>
      </c>
      <c r="E79" s="458" t="s">
        <v>901</v>
      </c>
      <c r="F79" s="458" t="s">
        <v>654</v>
      </c>
      <c r="G79" s="458" t="s">
        <v>671</v>
      </c>
      <c r="H79" s="458"/>
      <c r="I79" s="459" t="s">
        <v>656</v>
      </c>
      <c r="J79" s="458" t="s">
        <v>888</v>
      </c>
      <c r="K79" s="458" t="s">
        <v>902</v>
      </c>
      <c r="L79" s="466" t="s">
        <v>197</v>
      </c>
      <c r="M79" s="466" t="s">
        <v>197</v>
      </c>
      <c r="N79" s="466" t="s">
        <v>197</v>
      </c>
      <c r="O79" s="462" t="s">
        <v>661</v>
      </c>
      <c r="P79" s="463"/>
      <c r="Q79" s="464" t="s">
        <v>662</v>
      </c>
      <c r="R79" s="465" t="s">
        <v>662</v>
      </c>
      <c r="S79" s="465" t="s">
        <v>663</v>
      </c>
      <c r="T79" s="465" t="s">
        <v>663</v>
      </c>
      <c r="U79" s="458" t="s">
        <v>663</v>
      </c>
      <c r="V79" s="458" t="str">
        <f t="shared" si="7"/>
        <v>phy</v>
      </c>
      <c r="W79" s="458" t="s">
        <v>676</v>
      </c>
      <c r="X79" s="458" t="str">
        <f t="shared" si="8"/>
        <v>x220</v>
      </c>
      <c r="Y79" s="458" t="str">
        <f t="shared" si="9"/>
        <v>1G phy uplink</v>
      </c>
      <c r="Z79" s="465"/>
    </row>
    <row r="80" spans="1:26">
      <c r="A80" s="458">
        <v>78</v>
      </c>
      <c r="B80" s="458" t="s">
        <v>885</v>
      </c>
      <c r="C80" s="458" t="s">
        <v>903</v>
      </c>
      <c r="D80" s="458" t="s">
        <v>885</v>
      </c>
      <c r="E80" s="458" t="s">
        <v>904</v>
      </c>
      <c r="F80" s="458" t="s">
        <v>654</v>
      </c>
      <c r="G80" s="458" t="s">
        <v>671</v>
      </c>
      <c r="H80" s="458"/>
      <c r="I80" s="459" t="s">
        <v>656</v>
      </c>
      <c r="J80" s="458" t="s">
        <v>888</v>
      </c>
      <c r="K80" s="458" t="s">
        <v>902</v>
      </c>
      <c r="L80" s="466" t="s">
        <v>197</v>
      </c>
      <c r="M80" s="466" t="s">
        <v>197</v>
      </c>
      <c r="N80" s="466" t="s">
        <v>197</v>
      </c>
      <c r="O80" s="462" t="s">
        <v>661</v>
      </c>
      <c r="P80" s="463"/>
      <c r="Q80" s="464" t="s">
        <v>662</v>
      </c>
      <c r="R80" s="465" t="s">
        <v>662</v>
      </c>
      <c r="S80" s="465" t="s">
        <v>663</v>
      </c>
      <c r="T80" s="465" t="s">
        <v>663</v>
      </c>
      <c r="U80" s="458" t="s">
        <v>663</v>
      </c>
      <c r="V80" s="458" t="str">
        <f t="shared" si="7"/>
        <v>phy</v>
      </c>
      <c r="W80" s="458" t="s">
        <v>676</v>
      </c>
      <c r="X80" s="458" t="str">
        <f t="shared" si="8"/>
        <v>x220</v>
      </c>
      <c r="Y80" s="458" t="str">
        <f t="shared" si="9"/>
        <v>1G phy uplink</v>
      </c>
      <c r="Z80" s="465"/>
    </row>
    <row r="81" spans="1:26">
      <c r="A81" s="447">
        <v>79</v>
      </c>
      <c r="B81" s="447" t="s">
        <v>905</v>
      </c>
      <c r="C81" s="447" t="s">
        <v>906</v>
      </c>
      <c r="D81" s="447" t="s">
        <v>885</v>
      </c>
      <c r="E81" s="447" t="s">
        <v>907</v>
      </c>
      <c r="F81" s="447" t="s">
        <v>654</v>
      </c>
      <c r="G81" s="447" t="s">
        <v>671</v>
      </c>
      <c r="H81" s="447"/>
      <c r="I81" s="448" t="s">
        <v>656</v>
      </c>
      <c r="J81" s="447" t="s">
        <v>908</v>
      </c>
      <c r="K81" s="447" t="s">
        <v>889</v>
      </c>
      <c r="L81" s="449" t="s">
        <v>197</v>
      </c>
      <c r="M81" s="449" t="s">
        <v>197</v>
      </c>
      <c r="N81" s="449" t="s">
        <v>197</v>
      </c>
      <c r="O81" s="451" t="s">
        <v>661</v>
      </c>
      <c r="P81" s="455"/>
      <c r="Q81" s="456" t="s">
        <v>662</v>
      </c>
      <c r="R81" s="457" t="s">
        <v>662</v>
      </c>
      <c r="S81" s="457" t="s">
        <v>663</v>
      </c>
      <c r="T81" s="457" t="s">
        <v>663</v>
      </c>
      <c r="U81" s="457" t="s">
        <v>663</v>
      </c>
      <c r="V81" s="457" t="str">
        <f t="shared" si="7"/>
        <v>phy</v>
      </c>
      <c r="W81" s="457" t="s">
        <v>676</v>
      </c>
      <c r="X81" s="457" t="str">
        <f t="shared" si="8"/>
        <v>GS980M</v>
      </c>
      <c r="Y81" s="457" t="str">
        <f t="shared" si="9"/>
        <v>1G phy uplink</v>
      </c>
      <c r="Z81" s="457"/>
    </row>
    <row r="82" spans="1:26">
      <c r="A82" s="447">
        <v>80</v>
      </c>
      <c r="B82" s="447" t="s">
        <v>905</v>
      </c>
      <c r="C82" s="447" t="s">
        <v>909</v>
      </c>
      <c r="D82" s="447" t="s">
        <v>885</v>
      </c>
      <c r="E82" s="447" t="s">
        <v>910</v>
      </c>
      <c r="F82" s="447" t="s">
        <v>654</v>
      </c>
      <c r="G82" s="447" t="s">
        <v>671</v>
      </c>
      <c r="H82" s="447"/>
      <c r="I82" s="448" t="s">
        <v>656</v>
      </c>
      <c r="J82" s="447" t="s">
        <v>908</v>
      </c>
      <c r="K82" s="447" t="s">
        <v>889</v>
      </c>
      <c r="L82" s="449" t="s">
        <v>197</v>
      </c>
      <c r="M82" s="449" t="s">
        <v>197</v>
      </c>
      <c r="N82" s="449" t="s">
        <v>197</v>
      </c>
      <c r="O82" s="451" t="s">
        <v>661</v>
      </c>
      <c r="P82" s="455"/>
      <c r="Q82" s="456" t="s">
        <v>662</v>
      </c>
      <c r="R82" s="457" t="s">
        <v>662</v>
      </c>
      <c r="S82" s="457" t="s">
        <v>663</v>
      </c>
      <c r="T82" s="457" t="s">
        <v>663</v>
      </c>
      <c r="U82" s="457" t="s">
        <v>663</v>
      </c>
      <c r="V82" s="457" t="str">
        <f t="shared" si="7"/>
        <v>phy</v>
      </c>
      <c r="W82" s="457" t="s">
        <v>676</v>
      </c>
      <c r="X82" s="457" t="str">
        <f t="shared" si="8"/>
        <v>GS980M</v>
      </c>
      <c r="Y82" s="457" t="str">
        <f t="shared" si="9"/>
        <v>1G phy uplink</v>
      </c>
      <c r="Z82" s="457"/>
    </row>
    <row r="83" spans="1:26">
      <c r="A83" s="447">
        <v>81</v>
      </c>
      <c r="B83" s="447" t="s">
        <v>905</v>
      </c>
      <c r="C83" s="447" t="s">
        <v>911</v>
      </c>
      <c r="D83" s="447" t="s">
        <v>885</v>
      </c>
      <c r="E83" s="447" t="s">
        <v>912</v>
      </c>
      <c r="F83" s="447" t="s">
        <v>654</v>
      </c>
      <c r="G83" s="447" t="s">
        <v>671</v>
      </c>
      <c r="H83" s="447"/>
      <c r="I83" s="448" t="s">
        <v>656</v>
      </c>
      <c r="J83" s="447" t="s">
        <v>908</v>
      </c>
      <c r="K83" s="447" t="s">
        <v>902</v>
      </c>
      <c r="L83" s="449" t="s">
        <v>197</v>
      </c>
      <c r="M83" s="449" t="s">
        <v>197</v>
      </c>
      <c r="N83" s="449" t="s">
        <v>197</v>
      </c>
      <c r="O83" s="451" t="s">
        <v>661</v>
      </c>
      <c r="P83" s="455"/>
      <c r="Q83" s="456" t="s">
        <v>662</v>
      </c>
      <c r="R83" s="457" t="s">
        <v>662</v>
      </c>
      <c r="S83" s="457" t="s">
        <v>663</v>
      </c>
      <c r="T83" s="457" t="s">
        <v>663</v>
      </c>
      <c r="U83" s="457" t="s">
        <v>663</v>
      </c>
      <c r="V83" s="457" t="str">
        <f t="shared" si="7"/>
        <v>phy</v>
      </c>
      <c r="W83" s="457" t="s">
        <v>676</v>
      </c>
      <c r="X83" s="457" t="str">
        <f t="shared" si="8"/>
        <v>GS980M</v>
      </c>
      <c r="Y83" s="457" t="str">
        <f t="shared" si="9"/>
        <v>1G phy uplink</v>
      </c>
      <c r="Z83" s="457"/>
    </row>
    <row r="84" spans="1:26">
      <c r="A84" s="447">
        <v>82</v>
      </c>
      <c r="B84" s="447" t="s">
        <v>905</v>
      </c>
      <c r="C84" s="447" t="s">
        <v>913</v>
      </c>
      <c r="D84" s="447" t="s">
        <v>885</v>
      </c>
      <c r="E84" s="447" t="s">
        <v>914</v>
      </c>
      <c r="F84" s="447" t="s">
        <v>654</v>
      </c>
      <c r="G84" s="447" t="s">
        <v>671</v>
      </c>
      <c r="H84" s="447"/>
      <c r="I84" s="448" t="s">
        <v>656</v>
      </c>
      <c r="J84" s="447" t="s">
        <v>908</v>
      </c>
      <c r="K84" s="447" t="s">
        <v>902</v>
      </c>
      <c r="L84" s="449" t="s">
        <v>197</v>
      </c>
      <c r="M84" s="449" t="s">
        <v>197</v>
      </c>
      <c r="N84" s="449" t="s">
        <v>197</v>
      </c>
      <c r="O84" s="451" t="s">
        <v>661</v>
      </c>
      <c r="P84" s="455"/>
      <c r="Q84" s="456" t="s">
        <v>662</v>
      </c>
      <c r="R84" s="457" t="s">
        <v>662</v>
      </c>
      <c r="S84" s="457" t="s">
        <v>663</v>
      </c>
      <c r="T84" s="457" t="s">
        <v>663</v>
      </c>
      <c r="U84" s="457" t="s">
        <v>663</v>
      </c>
      <c r="V84" s="457" t="str">
        <f t="shared" si="7"/>
        <v>phy</v>
      </c>
      <c r="W84" s="457" t="s">
        <v>676</v>
      </c>
      <c r="X84" s="457" t="str">
        <f t="shared" si="8"/>
        <v>GS980M</v>
      </c>
      <c r="Y84" s="457" t="str">
        <f t="shared" si="9"/>
        <v>1G phy uplink</v>
      </c>
      <c r="Z84" s="457"/>
    </row>
    <row r="85" spans="1:26">
      <c r="A85" s="458">
        <v>83</v>
      </c>
      <c r="B85" s="458" t="s">
        <v>105</v>
      </c>
      <c r="C85" s="458" t="s">
        <v>915</v>
      </c>
      <c r="D85" s="458" t="s">
        <v>105</v>
      </c>
      <c r="E85" s="458" t="s">
        <v>916</v>
      </c>
      <c r="F85" s="458" t="s">
        <v>730</v>
      </c>
      <c r="G85" s="458" t="s">
        <v>671</v>
      </c>
      <c r="H85" s="458"/>
      <c r="I85" s="459" t="s">
        <v>656</v>
      </c>
      <c r="J85" s="458" t="s">
        <v>917</v>
      </c>
      <c r="K85" s="458"/>
      <c r="L85" s="466" t="s">
        <v>918</v>
      </c>
      <c r="M85" s="466" t="s">
        <v>674</v>
      </c>
      <c r="N85" s="466" t="s">
        <v>919</v>
      </c>
      <c r="O85" s="462" t="s">
        <v>661</v>
      </c>
      <c r="P85" s="462"/>
      <c r="Q85" s="458" t="s">
        <v>662</v>
      </c>
      <c r="R85" s="458" t="s">
        <v>662</v>
      </c>
      <c r="S85" s="458" t="s">
        <v>663</v>
      </c>
      <c r="T85" s="458" t="s">
        <v>663</v>
      </c>
      <c r="U85" s="458" t="s">
        <v>663</v>
      </c>
      <c r="V85" s="458" t="str">
        <f t="shared" si="7"/>
        <v>phy</v>
      </c>
      <c r="W85" s="458"/>
      <c r="X85" s="458" t="str">
        <f t="shared" si="8"/>
        <v>x230</v>
      </c>
      <c r="Y85" s="458" t="str">
        <f t="shared" si="9"/>
        <v xml:space="preserve">1G phy </v>
      </c>
      <c r="Z85" s="465"/>
    </row>
    <row r="86" spans="1:26">
      <c r="A86" s="458">
        <v>84</v>
      </c>
      <c r="B86" s="458" t="s">
        <v>105</v>
      </c>
      <c r="C86" s="458" t="s">
        <v>920</v>
      </c>
      <c r="D86" s="458" t="s">
        <v>105</v>
      </c>
      <c r="E86" s="458" t="s">
        <v>921</v>
      </c>
      <c r="F86" s="458" t="s">
        <v>712</v>
      </c>
      <c r="G86" s="458" t="s">
        <v>671</v>
      </c>
      <c r="H86" s="458"/>
      <c r="I86" s="459" t="s">
        <v>656</v>
      </c>
      <c r="J86" s="458" t="s">
        <v>922</v>
      </c>
      <c r="K86" s="458"/>
      <c r="L86" s="466" t="s">
        <v>197</v>
      </c>
      <c r="M86" s="466" t="s">
        <v>197</v>
      </c>
      <c r="N86" s="466" t="s">
        <v>197</v>
      </c>
      <c r="O86" s="462" t="s">
        <v>661</v>
      </c>
      <c r="P86" s="462"/>
      <c r="Q86" s="458" t="s">
        <v>662</v>
      </c>
      <c r="R86" s="458" t="s">
        <v>662</v>
      </c>
      <c r="S86" s="458" t="s">
        <v>663</v>
      </c>
      <c r="T86" s="458" t="s">
        <v>663</v>
      </c>
      <c r="U86" s="458" t="s">
        <v>663</v>
      </c>
      <c r="V86" s="458" t="str">
        <f t="shared" si="7"/>
        <v>phy</v>
      </c>
      <c r="W86" s="458"/>
      <c r="X86" s="458" t="str">
        <f t="shared" si="8"/>
        <v>x230</v>
      </c>
      <c r="Y86" s="458" t="str">
        <f t="shared" si="9"/>
        <v xml:space="preserve">1G phy </v>
      </c>
      <c r="Z86" s="465"/>
    </row>
    <row r="87" spans="1:26">
      <c r="A87" s="458">
        <v>85</v>
      </c>
      <c r="B87" s="458" t="s">
        <v>105</v>
      </c>
      <c r="C87" s="458" t="s">
        <v>923</v>
      </c>
      <c r="D87" s="458" t="s">
        <v>105</v>
      </c>
      <c r="E87" s="458" t="s">
        <v>916</v>
      </c>
      <c r="F87" s="458" t="s">
        <v>712</v>
      </c>
      <c r="G87" s="458" t="s">
        <v>671</v>
      </c>
      <c r="H87" s="458"/>
      <c r="I87" s="459" t="s">
        <v>656</v>
      </c>
      <c r="J87" s="458" t="s">
        <v>922</v>
      </c>
      <c r="K87" s="458"/>
      <c r="L87" s="466" t="s">
        <v>197</v>
      </c>
      <c r="M87" s="466" t="s">
        <v>197</v>
      </c>
      <c r="N87" s="466" t="s">
        <v>197</v>
      </c>
      <c r="O87" s="462" t="s">
        <v>661</v>
      </c>
      <c r="P87" s="462"/>
      <c r="Q87" s="458" t="s">
        <v>662</v>
      </c>
      <c r="R87" s="458" t="s">
        <v>662</v>
      </c>
      <c r="S87" s="458" t="s">
        <v>663</v>
      </c>
      <c r="T87" s="458" t="s">
        <v>663</v>
      </c>
      <c r="U87" s="458" t="s">
        <v>663</v>
      </c>
      <c r="V87" s="458" t="str">
        <f t="shared" si="7"/>
        <v>phy</v>
      </c>
      <c r="W87" s="458"/>
      <c r="X87" s="458" t="str">
        <f t="shared" si="8"/>
        <v>x230</v>
      </c>
      <c r="Y87" s="458" t="str">
        <f t="shared" si="9"/>
        <v xml:space="preserve">1G phy </v>
      </c>
      <c r="Z87" s="465"/>
    </row>
    <row r="88" spans="1:26">
      <c r="A88" s="458">
        <v>86</v>
      </c>
      <c r="B88" s="458" t="s">
        <v>105</v>
      </c>
      <c r="C88" s="458" t="s">
        <v>924</v>
      </c>
      <c r="D88" s="458" t="s">
        <v>105</v>
      </c>
      <c r="E88" s="458" t="s">
        <v>916</v>
      </c>
      <c r="F88" s="458" t="s">
        <v>712</v>
      </c>
      <c r="G88" s="458" t="s">
        <v>671</v>
      </c>
      <c r="H88" s="458"/>
      <c r="I88" s="459" t="s">
        <v>656</v>
      </c>
      <c r="J88" s="458" t="s">
        <v>922</v>
      </c>
      <c r="K88" s="458"/>
      <c r="L88" s="466" t="s">
        <v>197</v>
      </c>
      <c r="M88" s="466" t="s">
        <v>197</v>
      </c>
      <c r="N88" s="466" t="s">
        <v>197</v>
      </c>
      <c r="O88" s="462" t="s">
        <v>661</v>
      </c>
      <c r="P88" s="462"/>
      <c r="Q88" s="458" t="s">
        <v>662</v>
      </c>
      <c r="R88" s="458" t="s">
        <v>662</v>
      </c>
      <c r="S88" s="458" t="s">
        <v>663</v>
      </c>
      <c r="T88" s="458" t="s">
        <v>663</v>
      </c>
      <c r="U88" s="458" t="s">
        <v>663</v>
      </c>
      <c r="V88" s="458" t="str">
        <f t="shared" si="7"/>
        <v>phy</v>
      </c>
      <c r="W88" s="458"/>
      <c r="X88" s="458" t="str">
        <f t="shared" si="8"/>
        <v>x230</v>
      </c>
      <c r="Y88" s="458" t="str">
        <f t="shared" si="9"/>
        <v xml:space="preserve">1G phy </v>
      </c>
      <c r="Z88" s="465"/>
    </row>
    <row r="89" spans="1:26">
      <c r="A89" s="458">
        <v>87</v>
      </c>
      <c r="B89" s="458" t="s">
        <v>105</v>
      </c>
      <c r="C89" s="458" t="s">
        <v>925</v>
      </c>
      <c r="D89" s="458" t="s">
        <v>105</v>
      </c>
      <c r="E89" s="458" t="s">
        <v>921</v>
      </c>
      <c r="F89" s="458" t="s">
        <v>712</v>
      </c>
      <c r="G89" s="458" t="s">
        <v>671</v>
      </c>
      <c r="H89" s="458"/>
      <c r="I89" s="459" t="s">
        <v>656</v>
      </c>
      <c r="J89" s="458" t="s">
        <v>922</v>
      </c>
      <c r="K89" s="458"/>
      <c r="L89" s="466" t="s">
        <v>926</v>
      </c>
      <c r="M89" s="450" t="s">
        <v>659</v>
      </c>
      <c r="N89" s="466" t="s">
        <v>927</v>
      </c>
      <c r="O89" s="462" t="s">
        <v>661</v>
      </c>
      <c r="P89" s="462"/>
      <c r="Q89" s="458" t="s">
        <v>662</v>
      </c>
      <c r="R89" s="458" t="s">
        <v>662</v>
      </c>
      <c r="S89" s="458" t="s">
        <v>663</v>
      </c>
      <c r="T89" s="458" t="s">
        <v>663</v>
      </c>
      <c r="U89" s="458" t="s">
        <v>663</v>
      </c>
      <c r="V89" s="458" t="str">
        <f t="shared" si="7"/>
        <v>phy</v>
      </c>
      <c r="W89" s="458"/>
      <c r="X89" s="458" t="str">
        <f t="shared" si="8"/>
        <v>x230</v>
      </c>
      <c r="Y89" s="458" t="str">
        <f t="shared" si="9"/>
        <v xml:space="preserve">1G phy </v>
      </c>
      <c r="Z89" s="465"/>
    </row>
    <row r="90" spans="1:26">
      <c r="A90" s="458">
        <v>88</v>
      </c>
      <c r="B90" s="458" t="s">
        <v>105</v>
      </c>
      <c r="C90" s="458" t="s">
        <v>928</v>
      </c>
      <c r="D90" s="458" t="s">
        <v>105</v>
      </c>
      <c r="E90" s="458" t="s">
        <v>929</v>
      </c>
      <c r="F90" s="458" t="s">
        <v>712</v>
      </c>
      <c r="G90" s="458" t="s">
        <v>671</v>
      </c>
      <c r="H90" s="458"/>
      <c r="I90" s="459" t="s">
        <v>656</v>
      </c>
      <c r="J90" s="458" t="s">
        <v>922</v>
      </c>
      <c r="K90" s="458"/>
      <c r="L90" s="466" t="s">
        <v>197</v>
      </c>
      <c r="M90" s="466" t="s">
        <v>197</v>
      </c>
      <c r="N90" s="466" t="s">
        <v>197</v>
      </c>
      <c r="O90" s="462" t="s">
        <v>661</v>
      </c>
      <c r="P90" s="462"/>
      <c r="Q90" s="458" t="s">
        <v>662</v>
      </c>
      <c r="R90" s="458" t="s">
        <v>662</v>
      </c>
      <c r="S90" s="458" t="s">
        <v>663</v>
      </c>
      <c r="T90" s="458" t="s">
        <v>663</v>
      </c>
      <c r="U90" s="458" t="s">
        <v>663</v>
      </c>
      <c r="V90" s="458" t="str">
        <f t="shared" si="7"/>
        <v>phy</v>
      </c>
      <c r="W90" s="458"/>
      <c r="X90" s="458" t="str">
        <f t="shared" si="8"/>
        <v>x230</v>
      </c>
      <c r="Y90" s="458" t="str">
        <f t="shared" si="9"/>
        <v xml:space="preserve">1G phy </v>
      </c>
      <c r="Z90" s="465"/>
    </row>
    <row r="91" spans="1:26">
      <c r="A91" s="458">
        <v>89</v>
      </c>
      <c r="B91" s="458" t="s">
        <v>105</v>
      </c>
      <c r="C91" s="458" t="s">
        <v>930</v>
      </c>
      <c r="D91" s="458" t="s">
        <v>105</v>
      </c>
      <c r="E91" s="458" t="s">
        <v>929</v>
      </c>
      <c r="F91" s="458" t="s">
        <v>712</v>
      </c>
      <c r="G91" s="458" t="s">
        <v>671</v>
      </c>
      <c r="H91" s="458"/>
      <c r="I91" s="459" t="s">
        <v>656</v>
      </c>
      <c r="J91" s="458" t="s">
        <v>922</v>
      </c>
      <c r="K91" s="458"/>
      <c r="L91" s="466" t="s">
        <v>197</v>
      </c>
      <c r="M91" s="466" t="s">
        <v>197</v>
      </c>
      <c r="N91" s="466" t="s">
        <v>197</v>
      </c>
      <c r="O91" s="462" t="s">
        <v>661</v>
      </c>
      <c r="P91" s="462"/>
      <c r="Q91" s="458" t="s">
        <v>662</v>
      </c>
      <c r="R91" s="458" t="s">
        <v>662</v>
      </c>
      <c r="S91" s="458" t="s">
        <v>663</v>
      </c>
      <c r="T91" s="458" t="s">
        <v>663</v>
      </c>
      <c r="U91" s="458" t="s">
        <v>663</v>
      </c>
      <c r="V91" s="458" t="str">
        <f t="shared" si="7"/>
        <v>phy</v>
      </c>
      <c r="W91" s="458"/>
      <c r="X91" s="458" t="str">
        <f t="shared" si="8"/>
        <v>x230</v>
      </c>
      <c r="Y91" s="458" t="str">
        <f t="shared" si="9"/>
        <v xml:space="preserve">1G phy </v>
      </c>
      <c r="Z91" s="465"/>
    </row>
    <row r="92" spans="1:26">
      <c r="A92" s="458">
        <v>90</v>
      </c>
      <c r="B92" s="458" t="s">
        <v>105</v>
      </c>
      <c r="C92" s="458" t="s">
        <v>931</v>
      </c>
      <c r="D92" s="458" t="s">
        <v>105</v>
      </c>
      <c r="E92" s="458" t="s">
        <v>929</v>
      </c>
      <c r="F92" s="458" t="s">
        <v>712</v>
      </c>
      <c r="G92" s="458" t="s">
        <v>671</v>
      </c>
      <c r="H92" s="458"/>
      <c r="I92" s="459" t="s">
        <v>656</v>
      </c>
      <c r="J92" s="458" t="s">
        <v>922</v>
      </c>
      <c r="K92" s="458"/>
      <c r="L92" s="466" t="s">
        <v>197</v>
      </c>
      <c r="M92" s="466" t="s">
        <v>197</v>
      </c>
      <c r="N92" s="466" t="s">
        <v>197</v>
      </c>
      <c r="O92" s="462" t="s">
        <v>661</v>
      </c>
      <c r="P92" s="462"/>
      <c r="Q92" s="458" t="s">
        <v>662</v>
      </c>
      <c r="R92" s="458" t="s">
        <v>662</v>
      </c>
      <c r="S92" s="458" t="s">
        <v>663</v>
      </c>
      <c r="T92" s="458" t="s">
        <v>663</v>
      </c>
      <c r="U92" s="458" t="s">
        <v>663</v>
      </c>
      <c r="V92" s="458" t="str">
        <f t="shared" si="7"/>
        <v>phy</v>
      </c>
      <c r="W92" s="458"/>
      <c r="X92" s="458" t="str">
        <f t="shared" si="8"/>
        <v>x230</v>
      </c>
      <c r="Y92" s="458" t="str">
        <f t="shared" si="9"/>
        <v xml:space="preserve">1G phy </v>
      </c>
      <c r="Z92" s="465"/>
    </row>
    <row r="93" spans="1:26">
      <c r="A93" s="447">
        <v>91</v>
      </c>
      <c r="B93" s="447" t="s">
        <v>932</v>
      </c>
      <c r="C93" s="447" t="s">
        <v>933</v>
      </c>
      <c r="D93" s="447" t="s">
        <v>105</v>
      </c>
      <c r="E93" s="447" t="s">
        <v>916</v>
      </c>
      <c r="F93" s="447" t="s">
        <v>730</v>
      </c>
      <c r="G93" s="447" t="s">
        <v>671</v>
      </c>
      <c r="H93" s="447"/>
      <c r="I93" s="448" t="s">
        <v>656</v>
      </c>
      <c r="J93" s="447" t="s">
        <v>934</v>
      </c>
      <c r="K93" s="447"/>
      <c r="L93" s="449" t="s">
        <v>197</v>
      </c>
      <c r="M93" s="449" t="s">
        <v>197</v>
      </c>
      <c r="N93" s="449" t="s">
        <v>197</v>
      </c>
      <c r="O93" s="451" t="s">
        <v>661</v>
      </c>
      <c r="P93" s="455"/>
      <c r="Q93" s="456" t="s">
        <v>662</v>
      </c>
      <c r="R93" s="457" t="s">
        <v>662</v>
      </c>
      <c r="S93" s="457" t="s">
        <v>663</v>
      </c>
      <c r="T93" s="457" t="s">
        <v>663</v>
      </c>
      <c r="U93" s="457" t="s">
        <v>663</v>
      </c>
      <c r="V93" s="457" t="str">
        <f t="shared" si="7"/>
        <v>phy</v>
      </c>
      <c r="W93" s="457"/>
      <c r="X93" s="457" t="str">
        <f t="shared" si="8"/>
        <v>SH230</v>
      </c>
      <c r="Y93" s="457" t="str">
        <f t="shared" si="9"/>
        <v xml:space="preserve">1G phy </v>
      </c>
      <c r="Z93" s="457"/>
    </row>
    <row r="94" spans="1:26">
      <c r="A94" s="447">
        <v>92</v>
      </c>
      <c r="B94" s="447" t="s">
        <v>932</v>
      </c>
      <c r="C94" s="447" t="s">
        <v>935</v>
      </c>
      <c r="D94" s="447" t="s">
        <v>105</v>
      </c>
      <c r="E94" s="447" t="s">
        <v>921</v>
      </c>
      <c r="F94" s="447" t="s">
        <v>712</v>
      </c>
      <c r="G94" s="447" t="s">
        <v>671</v>
      </c>
      <c r="H94" s="447"/>
      <c r="I94" s="448" t="s">
        <v>656</v>
      </c>
      <c r="J94" s="447" t="s">
        <v>922</v>
      </c>
      <c r="K94" s="447"/>
      <c r="L94" s="449" t="s">
        <v>197</v>
      </c>
      <c r="M94" s="449" t="s">
        <v>197</v>
      </c>
      <c r="N94" s="449" t="s">
        <v>197</v>
      </c>
      <c r="O94" s="451" t="s">
        <v>661</v>
      </c>
      <c r="P94" s="455"/>
      <c r="Q94" s="456" t="s">
        <v>662</v>
      </c>
      <c r="R94" s="457" t="s">
        <v>662</v>
      </c>
      <c r="S94" s="457" t="s">
        <v>663</v>
      </c>
      <c r="T94" s="457" t="s">
        <v>663</v>
      </c>
      <c r="U94" s="457" t="s">
        <v>663</v>
      </c>
      <c r="V94" s="457" t="str">
        <f t="shared" si="7"/>
        <v>phy</v>
      </c>
      <c r="W94" s="457"/>
      <c r="X94" s="457" t="str">
        <f t="shared" si="8"/>
        <v>SH230</v>
      </c>
      <c r="Y94" s="457" t="str">
        <f t="shared" si="9"/>
        <v xml:space="preserve">1G phy </v>
      </c>
      <c r="Z94" s="457"/>
    </row>
    <row r="95" spans="1:26">
      <c r="A95" s="447">
        <v>93</v>
      </c>
      <c r="B95" s="447" t="s">
        <v>932</v>
      </c>
      <c r="C95" s="447" t="s">
        <v>936</v>
      </c>
      <c r="D95" s="447" t="s">
        <v>105</v>
      </c>
      <c r="E95" s="447" t="s">
        <v>916</v>
      </c>
      <c r="F95" s="447" t="s">
        <v>712</v>
      </c>
      <c r="G95" s="447" t="s">
        <v>671</v>
      </c>
      <c r="H95" s="447"/>
      <c r="I95" s="448" t="s">
        <v>656</v>
      </c>
      <c r="J95" s="447" t="s">
        <v>922</v>
      </c>
      <c r="K95" s="447"/>
      <c r="L95" s="449" t="s">
        <v>197</v>
      </c>
      <c r="M95" s="449" t="s">
        <v>197</v>
      </c>
      <c r="N95" s="449" t="s">
        <v>197</v>
      </c>
      <c r="O95" s="451" t="s">
        <v>661</v>
      </c>
      <c r="P95" s="455"/>
      <c r="Q95" s="456" t="s">
        <v>662</v>
      </c>
      <c r="R95" s="457" t="s">
        <v>662</v>
      </c>
      <c r="S95" s="457" t="s">
        <v>663</v>
      </c>
      <c r="T95" s="457" t="s">
        <v>663</v>
      </c>
      <c r="U95" s="457" t="s">
        <v>663</v>
      </c>
      <c r="V95" s="457" t="str">
        <f t="shared" si="7"/>
        <v>phy</v>
      </c>
      <c r="W95" s="457"/>
      <c r="X95" s="457" t="str">
        <f t="shared" si="8"/>
        <v>SH230</v>
      </c>
      <c r="Y95" s="457" t="str">
        <f t="shared" si="9"/>
        <v xml:space="preserve">1G phy </v>
      </c>
      <c r="Z95" s="457"/>
    </row>
    <row r="96" spans="1:26">
      <c r="A96" s="447">
        <v>94</v>
      </c>
      <c r="B96" s="447" t="s">
        <v>932</v>
      </c>
      <c r="C96" s="447" t="s">
        <v>937</v>
      </c>
      <c r="D96" s="447" t="s">
        <v>105</v>
      </c>
      <c r="E96" s="447" t="s">
        <v>921</v>
      </c>
      <c r="F96" s="447" t="s">
        <v>712</v>
      </c>
      <c r="G96" s="447" t="s">
        <v>671</v>
      </c>
      <c r="H96" s="447"/>
      <c r="I96" s="448" t="s">
        <v>656</v>
      </c>
      <c r="J96" s="447" t="s">
        <v>922</v>
      </c>
      <c r="K96" s="447"/>
      <c r="L96" s="449" t="s">
        <v>197</v>
      </c>
      <c r="M96" s="449" t="s">
        <v>197</v>
      </c>
      <c r="N96" s="449" t="s">
        <v>197</v>
      </c>
      <c r="O96" s="451" t="s">
        <v>661</v>
      </c>
      <c r="P96" s="455"/>
      <c r="Q96" s="456" t="s">
        <v>662</v>
      </c>
      <c r="R96" s="457" t="s">
        <v>662</v>
      </c>
      <c r="S96" s="457" t="s">
        <v>663</v>
      </c>
      <c r="T96" s="457" t="s">
        <v>663</v>
      </c>
      <c r="U96" s="457" t="s">
        <v>663</v>
      </c>
      <c r="V96" s="457" t="str">
        <f t="shared" si="7"/>
        <v>phy</v>
      </c>
      <c r="W96" s="457"/>
      <c r="X96" s="457" t="str">
        <f t="shared" si="8"/>
        <v>SH230</v>
      </c>
      <c r="Y96" s="457" t="str">
        <f t="shared" si="9"/>
        <v xml:space="preserve">1G phy </v>
      </c>
      <c r="Z96" s="457"/>
    </row>
    <row r="97" spans="1:26">
      <c r="A97" s="447">
        <v>95</v>
      </c>
      <c r="B97" s="447" t="s">
        <v>932</v>
      </c>
      <c r="C97" s="447" t="s">
        <v>938</v>
      </c>
      <c r="D97" s="447" t="s">
        <v>105</v>
      </c>
      <c r="E97" s="447" t="s">
        <v>929</v>
      </c>
      <c r="F97" s="447" t="s">
        <v>712</v>
      </c>
      <c r="G97" s="447" t="s">
        <v>671</v>
      </c>
      <c r="H97" s="447"/>
      <c r="I97" s="448" t="s">
        <v>656</v>
      </c>
      <c r="J97" s="447" t="s">
        <v>922</v>
      </c>
      <c r="K97" s="447"/>
      <c r="L97" s="449" t="s">
        <v>197</v>
      </c>
      <c r="M97" s="449" t="s">
        <v>197</v>
      </c>
      <c r="N97" s="449" t="s">
        <v>197</v>
      </c>
      <c r="O97" s="451" t="s">
        <v>661</v>
      </c>
      <c r="P97" s="455"/>
      <c r="Q97" s="456" t="s">
        <v>662</v>
      </c>
      <c r="R97" s="457" t="s">
        <v>662</v>
      </c>
      <c r="S97" s="457" t="s">
        <v>663</v>
      </c>
      <c r="T97" s="457" t="s">
        <v>663</v>
      </c>
      <c r="U97" s="457" t="s">
        <v>663</v>
      </c>
      <c r="V97" s="457" t="str">
        <f t="shared" si="7"/>
        <v>phy</v>
      </c>
      <c r="W97" s="457"/>
      <c r="X97" s="457" t="str">
        <f t="shared" si="8"/>
        <v>SH230</v>
      </c>
      <c r="Y97" s="457" t="str">
        <f t="shared" si="9"/>
        <v xml:space="preserve">1G phy </v>
      </c>
      <c r="Z97" s="457"/>
    </row>
    <row r="98" spans="1:26">
      <c r="A98" s="447">
        <v>96</v>
      </c>
      <c r="B98" s="447" t="s">
        <v>932</v>
      </c>
      <c r="C98" s="447" t="s">
        <v>939</v>
      </c>
      <c r="D98" s="447" t="s">
        <v>105</v>
      </c>
      <c r="E98" s="447" t="s">
        <v>929</v>
      </c>
      <c r="F98" s="447" t="s">
        <v>712</v>
      </c>
      <c r="G98" s="447" t="s">
        <v>671</v>
      </c>
      <c r="H98" s="447"/>
      <c r="I98" s="448" t="s">
        <v>656</v>
      </c>
      <c r="J98" s="447" t="s">
        <v>922</v>
      </c>
      <c r="K98" s="447"/>
      <c r="L98" s="449" t="s">
        <v>197</v>
      </c>
      <c r="M98" s="449" t="s">
        <v>197</v>
      </c>
      <c r="N98" s="449" t="s">
        <v>197</v>
      </c>
      <c r="O98" s="451" t="s">
        <v>661</v>
      </c>
      <c r="P98" s="455"/>
      <c r="Q98" s="456" t="s">
        <v>662</v>
      </c>
      <c r="R98" s="457" t="s">
        <v>662</v>
      </c>
      <c r="S98" s="457" t="s">
        <v>663</v>
      </c>
      <c r="T98" s="457" t="s">
        <v>663</v>
      </c>
      <c r="U98" s="457" t="s">
        <v>663</v>
      </c>
      <c r="V98" s="457" t="str">
        <f t="shared" si="7"/>
        <v>phy</v>
      </c>
      <c r="W98" s="457"/>
      <c r="X98" s="457" t="str">
        <f t="shared" si="8"/>
        <v>SH230</v>
      </c>
      <c r="Y98" s="457" t="str">
        <f t="shared" si="9"/>
        <v xml:space="preserve">1G phy </v>
      </c>
      <c r="Z98" s="457"/>
    </row>
    <row r="99" spans="1:26">
      <c r="A99" s="458">
        <v>97</v>
      </c>
      <c r="B99" s="458" t="s">
        <v>940</v>
      </c>
      <c r="C99" s="458" t="s">
        <v>941</v>
      </c>
      <c r="D99" s="458" t="s">
        <v>105</v>
      </c>
      <c r="E99" s="458" t="s">
        <v>916</v>
      </c>
      <c r="F99" s="458" t="s">
        <v>730</v>
      </c>
      <c r="G99" s="458" t="s">
        <v>671</v>
      </c>
      <c r="H99" s="458"/>
      <c r="I99" s="459" t="s">
        <v>656</v>
      </c>
      <c r="J99" s="458" t="s">
        <v>934</v>
      </c>
      <c r="K99" s="458"/>
      <c r="L99" s="466" t="s">
        <v>197</v>
      </c>
      <c r="M99" s="466" t="s">
        <v>197</v>
      </c>
      <c r="N99" s="466" t="s">
        <v>197</v>
      </c>
      <c r="O99" s="462" t="s">
        <v>661</v>
      </c>
      <c r="P99" s="462"/>
      <c r="Q99" s="458" t="s">
        <v>662</v>
      </c>
      <c r="R99" s="458" t="s">
        <v>662</v>
      </c>
      <c r="S99" s="458" t="s">
        <v>663</v>
      </c>
      <c r="T99" s="458" t="s">
        <v>663</v>
      </c>
      <c r="U99" s="458" t="s">
        <v>663</v>
      </c>
      <c r="V99" s="458" t="str">
        <f t="shared" si="7"/>
        <v>phy</v>
      </c>
      <c r="W99" s="458"/>
      <c r="X99" s="458" t="str">
        <f t="shared" si="8"/>
        <v>GS970M</v>
      </c>
      <c r="Y99" s="458" t="str">
        <f t="shared" si="9"/>
        <v xml:space="preserve">1G phy </v>
      </c>
      <c r="Z99" s="465"/>
    </row>
    <row r="100" spans="1:26">
      <c r="A100" s="458">
        <v>98</v>
      </c>
      <c r="B100" s="458" t="s">
        <v>940</v>
      </c>
      <c r="C100" s="458" t="s">
        <v>942</v>
      </c>
      <c r="D100" s="458" t="s">
        <v>105</v>
      </c>
      <c r="E100" s="458" t="s">
        <v>921</v>
      </c>
      <c r="F100" s="458" t="s">
        <v>712</v>
      </c>
      <c r="G100" s="458" t="s">
        <v>671</v>
      </c>
      <c r="H100" s="458"/>
      <c r="I100" s="459" t="s">
        <v>656</v>
      </c>
      <c r="J100" s="458" t="s">
        <v>922</v>
      </c>
      <c r="K100" s="458"/>
      <c r="L100" s="466" t="s">
        <v>197</v>
      </c>
      <c r="M100" s="466" t="s">
        <v>197</v>
      </c>
      <c r="N100" s="466" t="s">
        <v>197</v>
      </c>
      <c r="O100" s="462" t="s">
        <v>661</v>
      </c>
      <c r="P100" s="462"/>
      <c r="Q100" s="458" t="s">
        <v>662</v>
      </c>
      <c r="R100" s="458" t="s">
        <v>662</v>
      </c>
      <c r="S100" s="458" t="s">
        <v>663</v>
      </c>
      <c r="T100" s="458" t="s">
        <v>663</v>
      </c>
      <c r="U100" s="458" t="s">
        <v>663</v>
      </c>
      <c r="V100" s="458" t="str">
        <f t="shared" si="7"/>
        <v>phy</v>
      </c>
      <c r="W100" s="458"/>
      <c r="X100" s="458" t="str">
        <f t="shared" si="8"/>
        <v>GS970M</v>
      </c>
      <c r="Y100" s="458" t="str">
        <f t="shared" si="9"/>
        <v xml:space="preserve">1G phy </v>
      </c>
      <c r="Z100" s="465"/>
    </row>
    <row r="101" spans="1:26">
      <c r="A101" s="458">
        <v>99</v>
      </c>
      <c r="B101" s="458" t="s">
        <v>940</v>
      </c>
      <c r="C101" s="458" t="s">
        <v>943</v>
      </c>
      <c r="D101" s="458" t="s">
        <v>105</v>
      </c>
      <c r="E101" s="458" t="s">
        <v>916</v>
      </c>
      <c r="F101" s="458" t="s">
        <v>712</v>
      </c>
      <c r="G101" s="458" t="s">
        <v>671</v>
      </c>
      <c r="H101" s="458"/>
      <c r="I101" s="459" t="s">
        <v>656</v>
      </c>
      <c r="J101" s="458" t="s">
        <v>922</v>
      </c>
      <c r="K101" s="458"/>
      <c r="L101" s="466" t="s">
        <v>197</v>
      </c>
      <c r="M101" s="466" t="s">
        <v>197</v>
      </c>
      <c r="N101" s="466" t="s">
        <v>197</v>
      </c>
      <c r="O101" s="462" t="s">
        <v>661</v>
      </c>
      <c r="P101" s="462"/>
      <c r="Q101" s="458" t="s">
        <v>662</v>
      </c>
      <c r="R101" s="458" t="s">
        <v>662</v>
      </c>
      <c r="S101" s="458" t="s">
        <v>663</v>
      </c>
      <c r="T101" s="458" t="s">
        <v>663</v>
      </c>
      <c r="U101" s="458" t="s">
        <v>663</v>
      </c>
      <c r="V101" s="458" t="str">
        <f t="shared" si="7"/>
        <v>phy</v>
      </c>
      <c r="W101" s="458"/>
      <c r="X101" s="458" t="str">
        <f t="shared" si="8"/>
        <v>GS970M</v>
      </c>
      <c r="Y101" s="458" t="str">
        <f t="shared" si="9"/>
        <v xml:space="preserve">1G phy </v>
      </c>
      <c r="Z101" s="465"/>
    </row>
    <row r="102" spans="1:26">
      <c r="A102" s="458">
        <v>100</v>
      </c>
      <c r="B102" s="458" t="s">
        <v>940</v>
      </c>
      <c r="C102" s="458" t="s">
        <v>944</v>
      </c>
      <c r="D102" s="458" t="s">
        <v>105</v>
      </c>
      <c r="E102" s="458" t="s">
        <v>921</v>
      </c>
      <c r="F102" s="458" t="s">
        <v>712</v>
      </c>
      <c r="G102" s="458" t="s">
        <v>671</v>
      </c>
      <c r="H102" s="458"/>
      <c r="I102" s="459" t="s">
        <v>656</v>
      </c>
      <c r="J102" s="458" t="s">
        <v>922</v>
      </c>
      <c r="K102" s="458"/>
      <c r="L102" s="466" t="s">
        <v>197</v>
      </c>
      <c r="M102" s="466" t="s">
        <v>197</v>
      </c>
      <c r="N102" s="466" t="s">
        <v>197</v>
      </c>
      <c r="O102" s="462" t="s">
        <v>661</v>
      </c>
      <c r="P102" s="462"/>
      <c r="Q102" s="458" t="s">
        <v>662</v>
      </c>
      <c r="R102" s="458" t="s">
        <v>662</v>
      </c>
      <c r="S102" s="458" t="s">
        <v>663</v>
      </c>
      <c r="T102" s="458" t="s">
        <v>663</v>
      </c>
      <c r="U102" s="458" t="s">
        <v>663</v>
      </c>
      <c r="V102" s="458" t="str">
        <f t="shared" si="7"/>
        <v>phy</v>
      </c>
      <c r="W102" s="458"/>
      <c r="X102" s="458" t="str">
        <f t="shared" si="8"/>
        <v>GS970M</v>
      </c>
      <c r="Y102" s="458" t="str">
        <f t="shared" si="9"/>
        <v xml:space="preserve">1G phy </v>
      </c>
      <c r="Z102" s="465"/>
    </row>
    <row r="103" spans="1:26">
      <c r="A103" s="458">
        <v>101</v>
      </c>
      <c r="B103" s="458" t="s">
        <v>940</v>
      </c>
      <c r="C103" s="458" t="s">
        <v>945</v>
      </c>
      <c r="D103" s="458" t="s">
        <v>105</v>
      </c>
      <c r="E103" s="458" t="s">
        <v>929</v>
      </c>
      <c r="F103" s="458" t="s">
        <v>712</v>
      </c>
      <c r="G103" s="458" t="s">
        <v>671</v>
      </c>
      <c r="H103" s="458"/>
      <c r="I103" s="459" t="s">
        <v>656</v>
      </c>
      <c r="J103" s="458" t="s">
        <v>922</v>
      </c>
      <c r="K103" s="458"/>
      <c r="L103" s="466" t="s">
        <v>197</v>
      </c>
      <c r="M103" s="466" t="s">
        <v>197</v>
      </c>
      <c r="N103" s="466" t="s">
        <v>197</v>
      </c>
      <c r="O103" s="462" t="s">
        <v>661</v>
      </c>
      <c r="P103" s="462"/>
      <c r="Q103" s="458" t="s">
        <v>662</v>
      </c>
      <c r="R103" s="458" t="s">
        <v>662</v>
      </c>
      <c r="S103" s="458" t="s">
        <v>663</v>
      </c>
      <c r="T103" s="458" t="s">
        <v>663</v>
      </c>
      <c r="U103" s="458" t="s">
        <v>663</v>
      </c>
      <c r="V103" s="458" t="str">
        <f t="shared" si="7"/>
        <v>phy</v>
      </c>
      <c r="W103" s="458"/>
      <c r="X103" s="458" t="str">
        <f t="shared" si="8"/>
        <v>GS970M</v>
      </c>
      <c r="Y103" s="458" t="str">
        <f t="shared" si="9"/>
        <v xml:space="preserve">1G phy </v>
      </c>
      <c r="Z103" s="465"/>
    </row>
    <row r="104" spans="1:26">
      <c r="A104" s="458">
        <v>102</v>
      </c>
      <c r="B104" s="458" t="s">
        <v>940</v>
      </c>
      <c r="C104" s="458" t="s">
        <v>946</v>
      </c>
      <c r="D104" s="458" t="s">
        <v>105</v>
      </c>
      <c r="E104" s="458" t="s">
        <v>929</v>
      </c>
      <c r="F104" s="458" t="s">
        <v>712</v>
      </c>
      <c r="G104" s="458" t="s">
        <v>671</v>
      </c>
      <c r="H104" s="458"/>
      <c r="I104" s="459" t="s">
        <v>656</v>
      </c>
      <c r="J104" s="458" t="s">
        <v>922</v>
      </c>
      <c r="K104" s="458"/>
      <c r="L104" s="466" t="s">
        <v>197</v>
      </c>
      <c r="M104" s="466" t="s">
        <v>197</v>
      </c>
      <c r="N104" s="466" t="s">
        <v>197</v>
      </c>
      <c r="O104" s="462" t="s">
        <v>661</v>
      </c>
      <c r="P104" s="462"/>
      <c r="Q104" s="458" t="s">
        <v>662</v>
      </c>
      <c r="R104" s="458" t="s">
        <v>662</v>
      </c>
      <c r="S104" s="458" t="s">
        <v>663</v>
      </c>
      <c r="T104" s="458" t="s">
        <v>663</v>
      </c>
      <c r="U104" s="458" t="s">
        <v>663</v>
      </c>
      <c r="V104" s="458" t="str">
        <f t="shared" si="7"/>
        <v>phy</v>
      </c>
      <c r="W104" s="458"/>
      <c r="X104" s="458" t="str">
        <f t="shared" si="8"/>
        <v>GS970M</v>
      </c>
      <c r="Y104" s="458" t="str">
        <f t="shared" si="9"/>
        <v xml:space="preserve">1G phy </v>
      </c>
      <c r="Z104" s="465"/>
    </row>
    <row r="105" spans="1:26">
      <c r="A105" s="447">
        <v>103</v>
      </c>
      <c r="B105" s="447" t="s">
        <v>681</v>
      </c>
      <c r="C105" s="447" t="s">
        <v>947</v>
      </c>
      <c r="D105" s="447" t="s">
        <v>681</v>
      </c>
      <c r="E105" s="447" t="s">
        <v>711</v>
      </c>
      <c r="F105" s="447" t="s">
        <v>948</v>
      </c>
      <c r="G105" s="447" t="s">
        <v>671</v>
      </c>
      <c r="H105" s="447"/>
      <c r="I105" s="448" t="s">
        <v>656</v>
      </c>
      <c r="J105" s="447" t="s">
        <v>949</v>
      </c>
      <c r="K105" s="447"/>
      <c r="L105" s="449" t="s">
        <v>197</v>
      </c>
      <c r="M105" s="449" t="s">
        <v>197</v>
      </c>
      <c r="N105" s="449" t="s">
        <v>197</v>
      </c>
      <c r="O105" s="451" t="s">
        <v>661</v>
      </c>
      <c r="P105" s="455"/>
      <c r="Q105" s="456" t="s">
        <v>662</v>
      </c>
      <c r="R105" s="457" t="s">
        <v>662</v>
      </c>
      <c r="S105" s="457" t="s">
        <v>663</v>
      </c>
      <c r="T105" s="457" t="s">
        <v>663</v>
      </c>
      <c r="U105" s="457" t="s">
        <v>663</v>
      </c>
      <c r="V105" s="457" t="str">
        <f t="shared" si="7"/>
        <v>phy</v>
      </c>
      <c r="W105" s="457"/>
      <c r="X105" s="457" t="str">
        <f t="shared" si="8"/>
        <v>x310</v>
      </c>
      <c r="Y105" s="457" t="str">
        <f t="shared" si="9"/>
        <v xml:space="preserve">1G phy </v>
      </c>
      <c r="Z105" s="457"/>
    </row>
    <row r="106" spans="1:26">
      <c r="A106" s="447">
        <v>104</v>
      </c>
      <c r="B106" s="447" t="s">
        <v>681</v>
      </c>
      <c r="C106" s="447" t="s">
        <v>950</v>
      </c>
      <c r="D106" s="447" t="s">
        <v>681</v>
      </c>
      <c r="E106" s="447" t="s">
        <v>711</v>
      </c>
      <c r="F106" s="447" t="s">
        <v>948</v>
      </c>
      <c r="G106" s="447" t="s">
        <v>671</v>
      </c>
      <c r="H106" s="447"/>
      <c r="I106" s="448" t="s">
        <v>656</v>
      </c>
      <c r="J106" s="447" t="s">
        <v>949</v>
      </c>
      <c r="K106" s="447"/>
      <c r="L106" s="449" t="s">
        <v>197</v>
      </c>
      <c r="M106" s="449" t="s">
        <v>197</v>
      </c>
      <c r="N106" s="449" t="s">
        <v>197</v>
      </c>
      <c r="O106" s="451" t="s">
        <v>661</v>
      </c>
      <c r="P106" s="455"/>
      <c r="Q106" s="456" t="s">
        <v>662</v>
      </c>
      <c r="R106" s="457" t="s">
        <v>662</v>
      </c>
      <c r="S106" s="457" t="s">
        <v>663</v>
      </c>
      <c r="T106" s="457" t="s">
        <v>663</v>
      </c>
      <c r="U106" s="457" t="s">
        <v>663</v>
      </c>
      <c r="V106" s="457" t="str">
        <f t="shared" si="7"/>
        <v>phy</v>
      </c>
      <c r="W106" s="457"/>
      <c r="X106" s="457" t="str">
        <f t="shared" si="8"/>
        <v>x310</v>
      </c>
      <c r="Y106" s="457" t="str">
        <f t="shared" si="9"/>
        <v xml:space="preserve">1G phy </v>
      </c>
      <c r="Z106" s="457"/>
    </row>
    <row r="107" spans="1:26">
      <c r="A107" s="447">
        <v>105</v>
      </c>
      <c r="B107" s="447" t="s">
        <v>681</v>
      </c>
      <c r="C107" s="447" t="s">
        <v>951</v>
      </c>
      <c r="D107" s="447" t="s">
        <v>681</v>
      </c>
      <c r="E107" s="447" t="s">
        <v>711</v>
      </c>
      <c r="F107" s="447" t="s">
        <v>948</v>
      </c>
      <c r="G107" s="447" t="s">
        <v>671</v>
      </c>
      <c r="H107" s="447"/>
      <c r="I107" s="448" t="s">
        <v>656</v>
      </c>
      <c r="J107" s="447" t="s">
        <v>949</v>
      </c>
      <c r="K107" s="447"/>
      <c r="L107" s="449" t="s">
        <v>952</v>
      </c>
      <c r="M107" s="449" t="s">
        <v>674</v>
      </c>
      <c r="N107" s="449" t="s">
        <v>953</v>
      </c>
      <c r="O107" s="451" t="s">
        <v>661</v>
      </c>
      <c r="P107" s="455"/>
      <c r="Q107" s="456" t="s">
        <v>662</v>
      </c>
      <c r="R107" s="457" t="s">
        <v>662</v>
      </c>
      <c r="S107" s="457" t="s">
        <v>663</v>
      </c>
      <c r="T107" s="457" t="s">
        <v>663</v>
      </c>
      <c r="U107" s="457" t="s">
        <v>663</v>
      </c>
      <c r="V107" s="457" t="str">
        <f t="shared" si="7"/>
        <v>phy</v>
      </c>
      <c r="W107" s="457"/>
      <c r="X107" s="457" t="str">
        <f t="shared" si="8"/>
        <v>x310</v>
      </c>
      <c r="Y107" s="457" t="str">
        <f t="shared" si="9"/>
        <v xml:space="preserve">1G phy </v>
      </c>
      <c r="Z107" s="457"/>
    </row>
    <row r="108" spans="1:26">
      <c r="A108" s="447">
        <v>106</v>
      </c>
      <c r="B108" s="447" t="s">
        <v>681</v>
      </c>
      <c r="C108" s="447" t="s">
        <v>954</v>
      </c>
      <c r="D108" s="447" t="s">
        <v>681</v>
      </c>
      <c r="E108" s="447" t="s">
        <v>711</v>
      </c>
      <c r="F108" s="447" t="s">
        <v>948</v>
      </c>
      <c r="G108" s="447" t="s">
        <v>671</v>
      </c>
      <c r="H108" s="447"/>
      <c r="I108" s="448" t="s">
        <v>656</v>
      </c>
      <c r="J108" s="447" t="s">
        <v>949</v>
      </c>
      <c r="K108" s="447"/>
      <c r="L108" s="449" t="s">
        <v>197</v>
      </c>
      <c r="M108" s="449" t="s">
        <v>197</v>
      </c>
      <c r="N108" s="449" t="s">
        <v>197</v>
      </c>
      <c r="O108" s="451" t="s">
        <v>661</v>
      </c>
      <c r="P108" s="455"/>
      <c r="Q108" s="456" t="s">
        <v>662</v>
      </c>
      <c r="R108" s="457" t="s">
        <v>662</v>
      </c>
      <c r="S108" s="457" t="s">
        <v>663</v>
      </c>
      <c r="T108" s="457" t="s">
        <v>663</v>
      </c>
      <c r="U108" s="457" t="s">
        <v>663</v>
      </c>
      <c r="V108" s="457" t="str">
        <f t="shared" si="7"/>
        <v>phy</v>
      </c>
      <c r="W108" s="457"/>
      <c r="X108" s="457" t="str">
        <f t="shared" si="8"/>
        <v>x310</v>
      </c>
      <c r="Y108" s="457" t="str">
        <f t="shared" si="9"/>
        <v xml:space="preserve">1G phy </v>
      </c>
      <c r="Z108" s="457"/>
    </row>
    <row r="109" spans="1:26">
      <c r="A109" s="447">
        <v>107</v>
      </c>
      <c r="B109" s="447" t="s">
        <v>681</v>
      </c>
      <c r="C109" s="447" t="s">
        <v>955</v>
      </c>
      <c r="D109" s="447" t="s">
        <v>681</v>
      </c>
      <c r="E109" s="447" t="s">
        <v>682</v>
      </c>
      <c r="F109" s="447" t="s">
        <v>197</v>
      </c>
      <c r="G109" s="447" t="s">
        <v>746</v>
      </c>
      <c r="H109" s="447"/>
      <c r="I109" s="448" t="s">
        <v>197</v>
      </c>
      <c r="J109" s="447" t="s">
        <v>724</v>
      </c>
      <c r="K109" s="447"/>
      <c r="L109" s="449" t="s">
        <v>197</v>
      </c>
      <c r="M109" s="449" t="s">
        <v>197</v>
      </c>
      <c r="N109" s="449" t="s">
        <v>197</v>
      </c>
      <c r="O109" s="451" t="s">
        <v>661</v>
      </c>
      <c r="P109" s="455"/>
      <c r="Q109" s="456" t="s">
        <v>663</v>
      </c>
      <c r="R109" s="457" t="s">
        <v>663</v>
      </c>
      <c r="S109" s="457" t="s">
        <v>663</v>
      </c>
      <c r="T109" s="457" t="s">
        <v>663</v>
      </c>
      <c r="U109" s="457" t="s">
        <v>663</v>
      </c>
      <c r="V109" s="457"/>
      <c r="W109" s="457"/>
      <c r="X109" s="457" t="str">
        <f t="shared" si="8"/>
        <v>x310</v>
      </c>
      <c r="Y109" s="457" t="str">
        <f t="shared" si="9"/>
        <v xml:space="preserve">0  </v>
      </c>
      <c r="Z109" s="457"/>
    </row>
    <row r="110" spans="1:26">
      <c r="A110" s="447">
        <v>108</v>
      </c>
      <c r="B110" s="447" t="s">
        <v>681</v>
      </c>
      <c r="C110" s="447" t="s">
        <v>956</v>
      </c>
      <c r="D110" s="447" t="s">
        <v>681</v>
      </c>
      <c r="E110" s="447" t="s">
        <v>682</v>
      </c>
      <c r="F110" s="447" t="s">
        <v>197</v>
      </c>
      <c r="G110" s="447" t="s">
        <v>746</v>
      </c>
      <c r="H110" s="447"/>
      <c r="I110" s="448" t="s">
        <v>197</v>
      </c>
      <c r="J110" s="447" t="s">
        <v>724</v>
      </c>
      <c r="K110" s="447"/>
      <c r="L110" s="449" t="s">
        <v>197</v>
      </c>
      <c r="M110" s="449" t="s">
        <v>197</v>
      </c>
      <c r="N110" s="449" t="s">
        <v>197</v>
      </c>
      <c r="O110" s="451" t="s">
        <v>661</v>
      </c>
      <c r="P110" s="455"/>
      <c r="Q110" s="456" t="s">
        <v>663</v>
      </c>
      <c r="R110" s="457" t="s">
        <v>663</v>
      </c>
      <c r="S110" s="457" t="s">
        <v>663</v>
      </c>
      <c r="T110" s="457" t="s">
        <v>663</v>
      </c>
      <c r="U110" s="457" t="s">
        <v>663</v>
      </c>
      <c r="V110" s="457"/>
      <c r="W110" s="457"/>
      <c r="X110" s="457" t="str">
        <f t="shared" si="8"/>
        <v>x310</v>
      </c>
      <c r="Y110" s="457" t="str">
        <f t="shared" si="9"/>
        <v xml:space="preserve">0  </v>
      </c>
      <c r="Z110" s="457"/>
    </row>
    <row r="111" spans="1:26">
      <c r="A111" s="447">
        <v>109</v>
      </c>
      <c r="B111" s="447" t="s">
        <v>681</v>
      </c>
      <c r="C111" s="447" t="s">
        <v>957</v>
      </c>
      <c r="D111" s="447" t="s">
        <v>681</v>
      </c>
      <c r="E111" s="447" t="s">
        <v>682</v>
      </c>
      <c r="F111" s="447" t="s">
        <v>197</v>
      </c>
      <c r="G111" s="447" t="s">
        <v>746</v>
      </c>
      <c r="H111" s="447"/>
      <c r="I111" s="448" t="s">
        <v>197</v>
      </c>
      <c r="J111" s="447" t="s">
        <v>724</v>
      </c>
      <c r="K111" s="447"/>
      <c r="L111" s="449" t="s">
        <v>197</v>
      </c>
      <c r="M111" s="449" t="s">
        <v>197</v>
      </c>
      <c r="N111" s="449" t="s">
        <v>197</v>
      </c>
      <c r="O111" s="451" t="s">
        <v>661</v>
      </c>
      <c r="P111" s="455"/>
      <c r="Q111" s="456" t="s">
        <v>663</v>
      </c>
      <c r="R111" s="457" t="s">
        <v>663</v>
      </c>
      <c r="S111" s="457" t="s">
        <v>663</v>
      </c>
      <c r="T111" s="457" t="s">
        <v>663</v>
      </c>
      <c r="U111" s="457" t="s">
        <v>663</v>
      </c>
      <c r="V111" s="457"/>
      <c r="W111" s="457"/>
      <c r="X111" s="457" t="str">
        <f t="shared" si="8"/>
        <v>x310</v>
      </c>
      <c r="Y111" s="457" t="str">
        <f t="shared" si="9"/>
        <v xml:space="preserve">0  </v>
      </c>
      <c r="Z111" s="457"/>
    </row>
    <row r="112" spans="1:26">
      <c r="A112" s="447">
        <v>110</v>
      </c>
      <c r="B112" s="447" t="s">
        <v>681</v>
      </c>
      <c r="C112" s="447" t="s">
        <v>958</v>
      </c>
      <c r="D112" s="447" t="s">
        <v>681</v>
      </c>
      <c r="E112" s="447" t="s">
        <v>682</v>
      </c>
      <c r="F112" s="447" t="s">
        <v>197</v>
      </c>
      <c r="G112" s="447" t="s">
        <v>746</v>
      </c>
      <c r="H112" s="447"/>
      <c r="I112" s="448" t="s">
        <v>197</v>
      </c>
      <c r="J112" s="447" t="s">
        <v>724</v>
      </c>
      <c r="K112" s="447"/>
      <c r="L112" s="449" t="s">
        <v>197</v>
      </c>
      <c r="M112" s="449" t="s">
        <v>197</v>
      </c>
      <c r="N112" s="449" t="s">
        <v>197</v>
      </c>
      <c r="O112" s="451" t="s">
        <v>661</v>
      </c>
      <c r="P112" s="455"/>
      <c r="Q112" s="456" t="s">
        <v>663</v>
      </c>
      <c r="R112" s="457" t="s">
        <v>663</v>
      </c>
      <c r="S112" s="457" t="s">
        <v>663</v>
      </c>
      <c r="T112" s="457" t="s">
        <v>663</v>
      </c>
      <c r="U112" s="457" t="s">
        <v>663</v>
      </c>
      <c r="V112" s="457"/>
      <c r="W112" s="457"/>
      <c r="X112" s="457" t="str">
        <f t="shared" si="8"/>
        <v>x310</v>
      </c>
      <c r="Y112" s="457" t="str">
        <f t="shared" si="9"/>
        <v xml:space="preserve">0  </v>
      </c>
      <c r="Z112" s="457"/>
    </row>
    <row r="113" spans="1:26">
      <c r="A113" s="458">
        <v>111</v>
      </c>
      <c r="B113" s="458" t="s">
        <v>959</v>
      </c>
      <c r="C113" s="458" t="s">
        <v>960</v>
      </c>
      <c r="D113" s="458" t="s">
        <v>681</v>
      </c>
      <c r="E113" s="458" t="s">
        <v>711</v>
      </c>
      <c r="F113" s="458" t="s">
        <v>948</v>
      </c>
      <c r="G113" s="458" t="s">
        <v>671</v>
      </c>
      <c r="H113" s="458"/>
      <c r="I113" s="459" t="s">
        <v>656</v>
      </c>
      <c r="J113" s="458" t="s">
        <v>949</v>
      </c>
      <c r="K113" s="458"/>
      <c r="L113" s="466" t="s">
        <v>197</v>
      </c>
      <c r="M113" s="466" t="s">
        <v>197</v>
      </c>
      <c r="N113" s="466" t="s">
        <v>197</v>
      </c>
      <c r="O113" s="462" t="s">
        <v>661</v>
      </c>
      <c r="P113" s="462"/>
      <c r="Q113" s="458" t="s">
        <v>662</v>
      </c>
      <c r="R113" s="458" t="s">
        <v>662</v>
      </c>
      <c r="S113" s="458" t="s">
        <v>663</v>
      </c>
      <c r="T113" s="458" t="s">
        <v>663</v>
      </c>
      <c r="U113" s="458" t="s">
        <v>663</v>
      </c>
      <c r="V113" s="458" t="str">
        <f>IF(F113="DC","DC","phy")</f>
        <v>phy</v>
      </c>
      <c r="W113" s="458"/>
      <c r="X113" s="458" t="str">
        <f t="shared" si="8"/>
        <v>SH310</v>
      </c>
      <c r="Y113" s="458" t="str">
        <f t="shared" si="9"/>
        <v xml:space="preserve">1G phy </v>
      </c>
      <c r="Z113" s="465"/>
    </row>
    <row r="114" spans="1:26">
      <c r="A114" s="458">
        <v>112</v>
      </c>
      <c r="B114" s="458" t="s">
        <v>959</v>
      </c>
      <c r="C114" s="458" t="s">
        <v>961</v>
      </c>
      <c r="D114" s="458" t="s">
        <v>681</v>
      </c>
      <c r="E114" s="458" t="s">
        <v>711</v>
      </c>
      <c r="F114" s="458" t="s">
        <v>948</v>
      </c>
      <c r="G114" s="458" t="s">
        <v>671</v>
      </c>
      <c r="H114" s="458"/>
      <c r="I114" s="459" t="s">
        <v>656</v>
      </c>
      <c r="J114" s="458" t="s">
        <v>949</v>
      </c>
      <c r="K114" s="458"/>
      <c r="L114" s="466" t="s">
        <v>197</v>
      </c>
      <c r="M114" s="466" t="s">
        <v>197</v>
      </c>
      <c r="N114" s="466" t="s">
        <v>197</v>
      </c>
      <c r="O114" s="462" t="s">
        <v>661</v>
      </c>
      <c r="P114" s="462"/>
      <c r="Q114" s="458" t="s">
        <v>662</v>
      </c>
      <c r="R114" s="458" t="s">
        <v>662</v>
      </c>
      <c r="S114" s="458" t="s">
        <v>663</v>
      </c>
      <c r="T114" s="458" t="s">
        <v>663</v>
      </c>
      <c r="U114" s="458" t="s">
        <v>663</v>
      </c>
      <c r="V114" s="458" t="str">
        <f>IF(F114="DC","DC","phy")</f>
        <v>phy</v>
      </c>
      <c r="W114" s="458"/>
      <c r="X114" s="458" t="str">
        <f t="shared" si="8"/>
        <v>SH310</v>
      </c>
      <c r="Y114" s="458" t="str">
        <f t="shared" si="9"/>
        <v xml:space="preserve">1G phy </v>
      </c>
      <c r="Z114" s="465"/>
    </row>
    <row r="115" spans="1:26">
      <c r="A115" s="458">
        <v>113</v>
      </c>
      <c r="B115" s="458" t="s">
        <v>959</v>
      </c>
      <c r="C115" s="458" t="s">
        <v>962</v>
      </c>
      <c r="D115" s="458" t="s">
        <v>681</v>
      </c>
      <c r="E115" s="458" t="s">
        <v>711</v>
      </c>
      <c r="F115" s="458" t="s">
        <v>948</v>
      </c>
      <c r="G115" s="458" t="s">
        <v>671</v>
      </c>
      <c r="H115" s="458"/>
      <c r="I115" s="459" t="s">
        <v>656</v>
      </c>
      <c r="J115" s="458" t="s">
        <v>949</v>
      </c>
      <c r="K115" s="458"/>
      <c r="L115" s="466" t="s">
        <v>197</v>
      </c>
      <c r="M115" s="466" t="s">
        <v>197</v>
      </c>
      <c r="N115" s="466" t="s">
        <v>197</v>
      </c>
      <c r="O115" s="462" t="s">
        <v>661</v>
      </c>
      <c r="P115" s="462"/>
      <c r="Q115" s="458" t="s">
        <v>662</v>
      </c>
      <c r="R115" s="458" t="s">
        <v>662</v>
      </c>
      <c r="S115" s="458" t="s">
        <v>663</v>
      </c>
      <c r="T115" s="458" t="s">
        <v>663</v>
      </c>
      <c r="U115" s="458" t="s">
        <v>663</v>
      </c>
      <c r="V115" s="458" t="str">
        <f>IF(F115="DC","DC","phy")</f>
        <v>phy</v>
      </c>
      <c r="W115" s="458"/>
      <c r="X115" s="458" t="str">
        <f t="shared" si="8"/>
        <v>SH310</v>
      </c>
      <c r="Y115" s="458" t="str">
        <f t="shared" si="9"/>
        <v xml:space="preserve">1G phy </v>
      </c>
      <c r="Z115" s="465"/>
    </row>
    <row r="116" spans="1:26">
      <c r="A116" s="458">
        <v>114</v>
      </c>
      <c r="B116" s="458" t="s">
        <v>959</v>
      </c>
      <c r="C116" s="458" t="s">
        <v>963</v>
      </c>
      <c r="D116" s="458" t="s">
        <v>681</v>
      </c>
      <c r="E116" s="458" t="s">
        <v>711</v>
      </c>
      <c r="F116" s="458" t="s">
        <v>948</v>
      </c>
      <c r="G116" s="458" t="s">
        <v>671</v>
      </c>
      <c r="H116" s="458"/>
      <c r="I116" s="459" t="s">
        <v>656</v>
      </c>
      <c r="J116" s="458" t="s">
        <v>949</v>
      </c>
      <c r="K116" s="458"/>
      <c r="L116" s="466" t="s">
        <v>197</v>
      </c>
      <c r="M116" s="466" t="s">
        <v>197</v>
      </c>
      <c r="N116" s="466" t="s">
        <v>197</v>
      </c>
      <c r="O116" s="462" t="s">
        <v>661</v>
      </c>
      <c r="P116" s="462"/>
      <c r="Q116" s="458" t="s">
        <v>662</v>
      </c>
      <c r="R116" s="458" t="s">
        <v>662</v>
      </c>
      <c r="S116" s="458" t="s">
        <v>663</v>
      </c>
      <c r="T116" s="458" t="s">
        <v>663</v>
      </c>
      <c r="U116" s="458" t="s">
        <v>663</v>
      </c>
      <c r="V116" s="458" t="str">
        <f>IF(F116="DC","DC","phy")</f>
        <v>phy</v>
      </c>
      <c r="W116" s="458"/>
      <c r="X116" s="458" t="str">
        <f t="shared" si="8"/>
        <v>SH310</v>
      </c>
      <c r="Y116" s="458" t="str">
        <f t="shared" si="9"/>
        <v xml:space="preserve">1G phy </v>
      </c>
      <c r="Z116" s="465"/>
    </row>
    <row r="117" spans="1:26" s="471" customFormat="1">
      <c r="A117" s="447">
        <v>115</v>
      </c>
      <c r="B117" s="447" t="s">
        <v>964</v>
      </c>
      <c r="C117" s="468" t="s">
        <v>965</v>
      </c>
      <c r="D117" s="468" t="s">
        <v>50</v>
      </c>
      <c r="E117" s="447" t="s">
        <v>966</v>
      </c>
      <c r="F117" s="447" t="s">
        <v>197</v>
      </c>
      <c r="G117" s="447" t="s">
        <v>967</v>
      </c>
      <c r="H117" s="447"/>
      <c r="I117" s="448" t="s">
        <v>644</v>
      </c>
      <c r="J117" s="447" t="s">
        <v>968</v>
      </c>
      <c r="K117" s="447" t="s">
        <v>969</v>
      </c>
      <c r="L117" s="449" t="s">
        <v>197</v>
      </c>
      <c r="M117" s="449" t="s">
        <v>197</v>
      </c>
      <c r="N117" s="449" t="s">
        <v>197</v>
      </c>
      <c r="O117" s="451"/>
      <c r="P117" s="455"/>
      <c r="Q117" s="469"/>
      <c r="R117" s="470"/>
      <c r="S117" s="470"/>
      <c r="T117" s="470"/>
      <c r="U117" s="470"/>
      <c r="V117" s="470" t="str">
        <f>IF(F117="DC","DC","phy")</f>
        <v>phy</v>
      </c>
      <c r="W117" s="470"/>
      <c r="X117" s="470" t="str">
        <f t="shared" si="8"/>
        <v>x320</v>
      </c>
      <c r="Y117" s="470"/>
      <c r="Z117" s="457" t="s">
        <v>970</v>
      </c>
    </row>
    <row r="118" spans="1:26" s="471" customFormat="1">
      <c r="A118" s="447">
        <v>117</v>
      </c>
      <c r="B118" s="447" t="s">
        <v>964</v>
      </c>
      <c r="C118" s="468" t="s">
        <v>971</v>
      </c>
      <c r="D118" s="468" t="s">
        <v>50</v>
      </c>
      <c r="E118" s="447" t="s">
        <v>966</v>
      </c>
      <c r="F118" s="447" t="s">
        <v>197</v>
      </c>
      <c r="G118" s="447" t="s">
        <v>967</v>
      </c>
      <c r="H118" s="447"/>
      <c r="I118" s="448" t="s">
        <v>644</v>
      </c>
      <c r="J118" s="447" t="s">
        <v>968</v>
      </c>
      <c r="K118" s="447" t="s">
        <v>969</v>
      </c>
      <c r="L118" s="449" t="s">
        <v>197</v>
      </c>
      <c r="M118" s="449" t="s">
        <v>197</v>
      </c>
      <c r="N118" s="449" t="s">
        <v>197</v>
      </c>
      <c r="O118" s="451"/>
      <c r="P118" s="455"/>
      <c r="Q118" s="469"/>
      <c r="R118" s="470"/>
      <c r="S118" s="470"/>
      <c r="T118" s="470"/>
      <c r="U118" s="470"/>
      <c r="V118" s="470"/>
      <c r="W118" s="470"/>
      <c r="X118" s="470"/>
      <c r="Y118" s="470"/>
      <c r="Z118" s="457"/>
    </row>
    <row r="119" spans="1:26" s="471" customFormat="1">
      <c r="A119" s="447">
        <v>116</v>
      </c>
      <c r="B119" s="447" t="s">
        <v>964</v>
      </c>
      <c r="C119" s="468" t="s">
        <v>972</v>
      </c>
      <c r="D119" s="468" t="s">
        <v>50</v>
      </c>
      <c r="E119" s="447" t="s">
        <v>966</v>
      </c>
      <c r="F119" s="447" t="s">
        <v>197</v>
      </c>
      <c r="G119" s="447" t="s">
        <v>967</v>
      </c>
      <c r="H119" s="447"/>
      <c r="I119" s="448" t="s">
        <v>644</v>
      </c>
      <c r="J119" s="447" t="s">
        <v>968</v>
      </c>
      <c r="K119" s="447" t="s">
        <v>969</v>
      </c>
      <c r="L119" s="449" t="s">
        <v>972</v>
      </c>
      <c r="M119" s="449" t="s">
        <v>859</v>
      </c>
      <c r="N119" s="449" t="s">
        <v>973</v>
      </c>
      <c r="O119" s="451"/>
      <c r="P119" s="455"/>
      <c r="Q119" s="469"/>
      <c r="R119" s="470"/>
      <c r="S119" s="470"/>
      <c r="T119" s="470"/>
      <c r="U119" s="470"/>
      <c r="V119" s="470"/>
      <c r="W119" s="470"/>
      <c r="X119" s="470"/>
      <c r="Y119" s="470"/>
      <c r="Z119" s="457"/>
    </row>
    <row r="120" spans="1:26" s="471" customFormat="1">
      <c r="A120" s="447">
        <v>118</v>
      </c>
      <c r="B120" s="447" t="s">
        <v>964</v>
      </c>
      <c r="C120" s="468" t="s">
        <v>974</v>
      </c>
      <c r="D120" s="468" t="s">
        <v>50</v>
      </c>
      <c r="E120" s="447" t="s">
        <v>966</v>
      </c>
      <c r="F120" s="447" t="s">
        <v>197</v>
      </c>
      <c r="G120" s="447" t="s">
        <v>967</v>
      </c>
      <c r="H120" s="447"/>
      <c r="I120" s="448" t="s">
        <v>644</v>
      </c>
      <c r="J120" s="447" t="s">
        <v>968</v>
      </c>
      <c r="K120" s="447" t="s">
        <v>969</v>
      </c>
      <c r="L120" s="449" t="s">
        <v>197</v>
      </c>
      <c r="M120" s="449" t="s">
        <v>197</v>
      </c>
      <c r="N120" s="449" t="s">
        <v>197</v>
      </c>
      <c r="O120" s="451"/>
      <c r="P120" s="455"/>
      <c r="Q120" s="469"/>
      <c r="R120" s="470"/>
      <c r="S120" s="470"/>
      <c r="T120" s="470"/>
      <c r="U120" s="470"/>
      <c r="V120" s="470"/>
      <c r="W120" s="470"/>
      <c r="X120" s="470"/>
      <c r="Y120" s="470"/>
      <c r="Z120" s="457"/>
    </row>
    <row r="121" spans="1:26" s="479" customFormat="1">
      <c r="A121" s="472">
        <v>119</v>
      </c>
      <c r="B121" s="472" t="s">
        <v>59</v>
      </c>
      <c r="C121" s="472" t="s">
        <v>975</v>
      </c>
      <c r="D121" s="472" t="s">
        <v>59</v>
      </c>
      <c r="E121" s="472" t="s">
        <v>976</v>
      </c>
      <c r="F121" s="472" t="s">
        <v>977</v>
      </c>
      <c r="G121" s="472" t="s">
        <v>740</v>
      </c>
      <c r="H121" s="472"/>
      <c r="I121" s="473" t="s">
        <v>756</v>
      </c>
      <c r="J121" s="472" t="s">
        <v>978</v>
      </c>
      <c r="K121" s="472"/>
      <c r="L121" s="474" t="s">
        <v>197</v>
      </c>
      <c r="M121" s="474" t="s">
        <v>197</v>
      </c>
      <c r="N121" s="474" t="s">
        <v>197</v>
      </c>
      <c r="O121" s="475" t="s">
        <v>661</v>
      </c>
      <c r="P121" s="476"/>
      <c r="Q121" s="477" t="s">
        <v>663</v>
      </c>
      <c r="R121" s="478" t="s">
        <v>662</v>
      </c>
      <c r="S121" s="478" t="s">
        <v>662</v>
      </c>
      <c r="T121" s="478" t="s">
        <v>663</v>
      </c>
      <c r="U121" s="478" t="s">
        <v>663</v>
      </c>
      <c r="V121" s="478" t="str">
        <f t="shared" ref="V121:V129" si="10">IF(F121="DC","DC","phy")</f>
        <v>phy</v>
      </c>
      <c r="W121" s="478"/>
      <c r="X121" s="478" t="str">
        <f t="shared" ref="X121:X147" si="11">B121</f>
        <v>x510</v>
      </c>
      <c r="Y121" s="478" t="str">
        <f t="shared" ref="Y121:Y147" si="12">IF(U121="y","100G",IF(T121="y","10G",IF(S121="y","10G",IF(R121="y","1G",IF(Q121="y","100M",0)))))&amp;" "&amp;V121&amp;" "&amp;W121</f>
        <v xml:space="preserve">10G phy </v>
      </c>
      <c r="Z121" s="478" t="s">
        <v>979</v>
      </c>
    </row>
    <row r="122" spans="1:26" s="479" customFormat="1">
      <c r="A122" s="472">
        <v>120</v>
      </c>
      <c r="B122" s="472" t="s">
        <v>59</v>
      </c>
      <c r="C122" s="472" t="s">
        <v>980</v>
      </c>
      <c r="D122" s="472" t="s">
        <v>59</v>
      </c>
      <c r="E122" s="472" t="s">
        <v>976</v>
      </c>
      <c r="F122" s="472" t="s">
        <v>977</v>
      </c>
      <c r="G122" s="472" t="s">
        <v>740</v>
      </c>
      <c r="H122" s="472"/>
      <c r="I122" s="473" t="s">
        <v>756</v>
      </c>
      <c r="J122" s="472" t="s">
        <v>978</v>
      </c>
      <c r="K122" s="472"/>
      <c r="L122" s="474" t="s">
        <v>197</v>
      </c>
      <c r="M122" s="474" t="s">
        <v>197</v>
      </c>
      <c r="N122" s="474" t="s">
        <v>197</v>
      </c>
      <c r="O122" s="475" t="s">
        <v>661</v>
      </c>
      <c r="P122" s="476"/>
      <c r="Q122" s="477" t="s">
        <v>663</v>
      </c>
      <c r="R122" s="478" t="s">
        <v>662</v>
      </c>
      <c r="S122" s="478" t="s">
        <v>662</v>
      </c>
      <c r="T122" s="478" t="s">
        <v>663</v>
      </c>
      <c r="U122" s="478" t="s">
        <v>663</v>
      </c>
      <c r="V122" s="478" t="str">
        <f t="shared" si="10"/>
        <v>phy</v>
      </c>
      <c r="W122" s="478"/>
      <c r="X122" s="478" t="str">
        <f t="shared" si="11"/>
        <v>x510</v>
      </c>
      <c r="Y122" s="478" t="str">
        <f t="shared" si="12"/>
        <v xml:space="preserve">10G phy </v>
      </c>
      <c r="Z122" s="478" t="s">
        <v>979</v>
      </c>
    </row>
    <row r="123" spans="1:26" s="479" customFormat="1">
      <c r="A123" s="472">
        <v>120</v>
      </c>
      <c r="B123" s="472" t="s">
        <v>59</v>
      </c>
      <c r="C123" s="472" t="s">
        <v>981</v>
      </c>
      <c r="D123" s="472" t="s">
        <v>59</v>
      </c>
      <c r="E123" s="472" t="s">
        <v>976</v>
      </c>
      <c r="F123" s="472" t="s">
        <v>977</v>
      </c>
      <c r="G123" s="472" t="s">
        <v>740</v>
      </c>
      <c r="H123" s="472"/>
      <c r="I123" s="473" t="s">
        <v>756</v>
      </c>
      <c r="J123" s="472" t="s">
        <v>978</v>
      </c>
      <c r="K123" s="472"/>
      <c r="L123" s="474" t="s">
        <v>197</v>
      </c>
      <c r="M123" s="474" t="s">
        <v>197</v>
      </c>
      <c r="N123" s="474" t="s">
        <v>197</v>
      </c>
      <c r="O123" s="475" t="s">
        <v>661</v>
      </c>
      <c r="P123" s="476"/>
      <c r="Q123" s="477" t="s">
        <v>663</v>
      </c>
      <c r="R123" s="478" t="s">
        <v>662</v>
      </c>
      <c r="S123" s="478" t="s">
        <v>662</v>
      </c>
      <c r="T123" s="478" t="s">
        <v>663</v>
      </c>
      <c r="U123" s="478" t="s">
        <v>663</v>
      </c>
      <c r="V123" s="478" t="str">
        <f t="shared" si="10"/>
        <v>phy</v>
      </c>
      <c r="W123" s="478"/>
      <c r="X123" s="478" t="str">
        <f t="shared" si="11"/>
        <v>x510</v>
      </c>
      <c r="Y123" s="478" t="str">
        <f t="shared" si="12"/>
        <v xml:space="preserve">10G phy </v>
      </c>
      <c r="Z123" s="478" t="s">
        <v>979</v>
      </c>
    </row>
    <row r="124" spans="1:26" s="479" customFormat="1">
      <c r="A124" s="472">
        <v>121</v>
      </c>
      <c r="B124" s="472" t="s">
        <v>59</v>
      </c>
      <c r="C124" s="472" t="s">
        <v>982</v>
      </c>
      <c r="D124" s="472" t="s">
        <v>59</v>
      </c>
      <c r="E124" s="472" t="s">
        <v>976</v>
      </c>
      <c r="F124" s="472" t="s">
        <v>977</v>
      </c>
      <c r="G124" s="472" t="s">
        <v>740</v>
      </c>
      <c r="H124" s="472"/>
      <c r="I124" s="473" t="s">
        <v>756</v>
      </c>
      <c r="J124" s="472" t="s">
        <v>978</v>
      </c>
      <c r="K124" s="472"/>
      <c r="L124" s="474" t="s">
        <v>197</v>
      </c>
      <c r="M124" s="474" t="s">
        <v>197</v>
      </c>
      <c r="N124" s="474" t="s">
        <v>197</v>
      </c>
      <c r="O124" s="475" t="s">
        <v>661</v>
      </c>
      <c r="P124" s="476"/>
      <c r="Q124" s="477" t="s">
        <v>663</v>
      </c>
      <c r="R124" s="478" t="s">
        <v>662</v>
      </c>
      <c r="S124" s="478" t="s">
        <v>662</v>
      </c>
      <c r="T124" s="478" t="s">
        <v>663</v>
      </c>
      <c r="U124" s="478" t="s">
        <v>663</v>
      </c>
      <c r="V124" s="478" t="str">
        <f t="shared" si="10"/>
        <v>phy</v>
      </c>
      <c r="W124" s="478"/>
      <c r="X124" s="478" t="str">
        <f t="shared" si="11"/>
        <v>x510</v>
      </c>
      <c r="Y124" s="478" t="str">
        <f t="shared" si="12"/>
        <v xml:space="preserve">10G phy </v>
      </c>
      <c r="Z124" s="478" t="s">
        <v>979</v>
      </c>
    </row>
    <row r="125" spans="1:26" s="479" customFormat="1">
      <c r="A125" s="472">
        <v>122</v>
      </c>
      <c r="B125" s="472" t="s">
        <v>59</v>
      </c>
      <c r="C125" s="472" t="s">
        <v>983</v>
      </c>
      <c r="D125" s="472" t="s">
        <v>59</v>
      </c>
      <c r="E125" s="472" t="s">
        <v>976</v>
      </c>
      <c r="F125" s="472" t="s">
        <v>977</v>
      </c>
      <c r="G125" s="472" t="s">
        <v>740</v>
      </c>
      <c r="H125" s="472"/>
      <c r="I125" s="473" t="s">
        <v>756</v>
      </c>
      <c r="J125" s="472" t="s">
        <v>978</v>
      </c>
      <c r="K125" s="472"/>
      <c r="L125" s="474" t="s">
        <v>197</v>
      </c>
      <c r="M125" s="474" t="s">
        <v>197</v>
      </c>
      <c r="N125" s="474" t="s">
        <v>197</v>
      </c>
      <c r="O125" s="475" t="s">
        <v>661</v>
      </c>
      <c r="P125" s="476"/>
      <c r="Q125" s="477" t="s">
        <v>663</v>
      </c>
      <c r="R125" s="478" t="s">
        <v>662</v>
      </c>
      <c r="S125" s="478" t="s">
        <v>662</v>
      </c>
      <c r="T125" s="478" t="s">
        <v>663</v>
      </c>
      <c r="U125" s="478" t="s">
        <v>663</v>
      </c>
      <c r="V125" s="478" t="str">
        <f t="shared" si="10"/>
        <v>phy</v>
      </c>
      <c r="W125" s="478"/>
      <c r="X125" s="478" t="str">
        <f t="shared" si="11"/>
        <v>x510</v>
      </c>
      <c r="Y125" s="478" t="str">
        <f t="shared" si="12"/>
        <v xml:space="preserve">10G phy </v>
      </c>
      <c r="Z125" s="478" t="s">
        <v>979</v>
      </c>
    </row>
    <row r="126" spans="1:26" s="479" customFormat="1">
      <c r="A126" s="472">
        <v>122</v>
      </c>
      <c r="B126" s="472" t="s">
        <v>59</v>
      </c>
      <c r="C126" s="472" t="s">
        <v>984</v>
      </c>
      <c r="D126" s="472" t="s">
        <v>59</v>
      </c>
      <c r="E126" s="472" t="s">
        <v>976</v>
      </c>
      <c r="F126" s="472" t="s">
        <v>977</v>
      </c>
      <c r="G126" s="472" t="s">
        <v>740</v>
      </c>
      <c r="H126" s="472"/>
      <c r="I126" s="473" t="s">
        <v>756</v>
      </c>
      <c r="J126" s="472" t="s">
        <v>978</v>
      </c>
      <c r="K126" s="472"/>
      <c r="L126" s="474" t="s">
        <v>197</v>
      </c>
      <c r="M126" s="474" t="s">
        <v>197</v>
      </c>
      <c r="N126" s="474" t="s">
        <v>197</v>
      </c>
      <c r="O126" s="475" t="s">
        <v>661</v>
      </c>
      <c r="P126" s="476"/>
      <c r="Q126" s="477" t="s">
        <v>663</v>
      </c>
      <c r="R126" s="478" t="s">
        <v>662</v>
      </c>
      <c r="S126" s="478" t="s">
        <v>662</v>
      </c>
      <c r="T126" s="478" t="s">
        <v>663</v>
      </c>
      <c r="U126" s="478" t="s">
        <v>663</v>
      </c>
      <c r="V126" s="478" t="str">
        <f t="shared" si="10"/>
        <v>phy</v>
      </c>
      <c r="W126" s="478"/>
      <c r="X126" s="478" t="str">
        <f t="shared" si="11"/>
        <v>x510</v>
      </c>
      <c r="Y126" s="478" t="str">
        <f t="shared" si="12"/>
        <v xml:space="preserve">10G phy </v>
      </c>
      <c r="Z126" s="478" t="s">
        <v>979</v>
      </c>
    </row>
    <row r="127" spans="1:26" s="479" customFormat="1">
      <c r="A127" s="472">
        <v>123</v>
      </c>
      <c r="B127" s="472" t="s">
        <v>59</v>
      </c>
      <c r="C127" s="472" t="s">
        <v>985</v>
      </c>
      <c r="D127" s="472" t="s">
        <v>59</v>
      </c>
      <c r="E127" s="472" t="s">
        <v>976</v>
      </c>
      <c r="F127" s="472" t="s">
        <v>977</v>
      </c>
      <c r="G127" s="472" t="s">
        <v>740</v>
      </c>
      <c r="H127" s="472"/>
      <c r="I127" s="473" t="s">
        <v>756</v>
      </c>
      <c r="J127" s="472" t="s">
        <v>978</v>
      </c>
      <c r="K127" s="472"/>
      <c r="L127" s="474" t="s">
        <v>197</v>
      </c>
      <c r="M127" s="474" t="s">
        <v>197</v>
      </c>
      <c r="N127" s="474" t="s">
        <v>197</v>
      </c>
      <c r="O127" s="475" t="s">
        <v>661</v>
      </c>
      <c r="P127" s="476"/>
      <c r="Q127" s="477" t="s">
        <v>663</v>
      </c>
      <c r="R127" s="478" t="s">
        <v>662</v>
      </c>
      <c r="S127" s="478" t="s">
        <v>662</v>
      </c>
      <c r="T127" s="478" t="s">
        <v>663</v>
      </c>
      <c r="U127" s="478" t="s">
        <v>663</v>
      </c>
      <c r="V127" s="478" t="str">
        <f t="shared" si="10"/>
        <v>phy</v>
      </c>
      <c r="W127" s="478"/>
      <c r="X127" s="478" t="str">
        <f t="shared" si="11"/>
        <v>x510</v>
      </c>
      <c r="Y127" s="478" t="str">
        <f t="shared" si="12"/>
        <v xml:space="preserve">10G phy </v>
      </c>
      <c r="Z127" s="478" t="s">
        <v>979</v>
      </c>
    </row>
    <row r="128" spans="1:26" s="479" customFormat="1">
      <c r="A128" s="472">
        <v>124</v>
      </c>
      <c r="B128" s="472" t="s">
        <v>59</v>
      </c>
      <c r="C128" s="472" t="s">
        <v>986</v>
      </c>
      <c r="D128" s="472" t="s">
        <v>59</v>
      </c>
      <c r="E128" s="472" t="s">
        <v>976</v>
      </c>
      <c r="F128" s="472" t="s">
        <v>977</v>
      </c>
      <c r="G128" s="472" t="s">
        <v>740</v>
      </c>
      <c r="H128" s="472"/>
      <c r="I128" s="473" t="s">
        <v>756</v>
      </c>
      <c r="J128" s="472" t="s">
        <v>978</v>
      </c>
      <c r="K128" s="472"/>
      <c r="L128" s="474" t="s">
        <v>197</v>
      </c>
      <c r="M128" s="474" t="s">
        <v>197</v>
      </c>
      <c r="N128" s="474" t="s">
        <v>197</v>
      </c>
      <c r="O128" s="475" t="s">
        <v>661</v>
      </c>
      <c r="P128" s="476"/>
      <c r="Q128" s="477" t="s">
        <v>663</v>
      </c>
      <c r="R128" s="478" t="s">
        <v>662</v>
      </c>
      <c r="S128" s="478" t="s">
        <v>662</v>
      </c>
      <c r="T128" s="478" t="s">
        <v>663</v>
      </c>
      <c r="U128" s="478" t="s">
        <v>663</v>
      </c>
      <c r="V128" s="478" t="str">
        <f t="shared" si="10"/>
        <v>phy</v>
      </c>
      <c r="W128" s="478"/>
      <c r="X128" s="478" t="str">
        <f t="shared" si="11"/>
        <v>x510</v>
      </c>
      <c r="Y128" s="478" t="str">
        <f t="shared" si="12"/>
        <v xml:space="preserve">10G phy </v>
      </c>
      <c r="Z128" s="478" t="s">
        <v>979</v>
      </c>
    </row>
    <row r="129" spans="1:26" s="479" customFormat="1">
      <c r="A129" s="472">
        <v>125</v>
      </c>
      <c r="B129" s="472" t="s">
        <v>59</v>
      </c>
      <c r="C129" s="472" t="s">
        <v>987</v>
      </c>
      <c r="D129" s="472" t="s">
        <v>59</v>
      </c>
      <c r="E129" s="472" t="s">
        <v>976</v>
      </c>
      <c r="F129" s="472" t="s">
        <v>977</v>
      </c>
      <c r="G129" s="472" t="s">
        <v>740</v>
      </c>
      <c r="H129" s="472"/>
      <c r="I129" s="473" t="s">
        <v>756</v>
      </c>
      <c r="J129" s="472" t="s">
        <v>978</v>
      </c>
      <c r="K129" s="472" t="s">
        <v>889</v>
      </c>
      <c r="L129" s="474" t="s">
        <v>988</v>
      </c>
      <c r="M129" s="474" t="s">
        <v>674</v>
      </c>
      <c r="N129" s="474" t="s">
        <v>989</v>
      </c>
      <c r="O129" s="475" t="s">
        <v>661</v>
      </c>
      <c r="P129" s="476"/>
      <c r="Q129" s="477" t="s">
        <v>663</v>
      </c>
      <c r="R129" s="478" t="s">
        <v>662</v>
      </c>
      <c r="S129" s="478" t="s">
        <v>662</v>
      </c>
      <c r="T129" s="478" t="s">
        <v>663</v>
      </c>
      <c r="U129" s="478" t="s">
        <v>663</v>
      </c>
      <c r="V129" s="478" t="str">
        <f t="shared" si="10"/>
        <v>phy</v>
      </c>
      <c r="W129" s="478"/>
      <c r="X129" s="478" t="str">
        <f t="shared" si="11"/>
        <v>x510</v>
      </c>
      <c r="Y129" s="478" t="str">
        <f t="shared" si="12"/>
        <v xml:space="preserve">10G phy </v>
      </c>
      <c r="Z129" s="478" t="s">
        <v>979</v>
      </c>
    </row>
    <row r="130" spans="1:26" s="479" customFormat="1">
      <c r="A130" s="472">
        <v>126</v>
      </c>
      <c r="B130" s="472" t="s">
        <v>59</v>
      </c>
      <c r="C130" s="472" t="s">
        <v>987</v>
      </c>
      <c r="D130" s="472" t="s">
        <v>59</v>
      </c>
      <c r="E130" s="472" t="s">
        <v>976</v>
      </c>
      <c r="F130" s="472" t="s">
        <v>688</v>
      </c>
      <c r="G130" s="472" t="s">
        <v>827</v>
      </c>
      <c r="H130" s="472"/>
      <c r="I130" s="473" t="s">
        <v>656</v>
      </c>
      <c r="J130" s="472" t="s">
        <v>990</v>
      </c>
      <c r="K130" s="472" t="s">
        <v>899</v>
      </c>
      <c r="L130" s="474" t="s">
        <v>988</v>
      </c>
      <c r="M130" s="474" t="s">
        <v>674</v>
      </c>
      <c r="N130" s="474" t="s">
        <v>989</v>
      </c>
      <c r="O130" s="475" t="s">
        <v>661</v>
      </c>
      <c r="P130" s="476"/>
      <c r="Q130" s="477" t="s">
        <v>662</v>
      </c>
      <c r="R130" s="478" t="s">
        <v>662</v>
      </c>
      <c r="S130" s="478" t="s">
        <v>663</v>
      </c>
      <c r="T130" s="478" t="s">
        <v>663</v>
      </c>
      <c r="U130" s="478" t="s">
        <v>663</v>
      </c>
      <c r="V130" s="478"/>
      <c r="W130" s="478"/>
      <c r="X130" s="478" t="str">
        <f t="shared" si="11"/>
        <v>x510</v>
      </c>
      <c r="Y130" s="478" t="str">
        <f t="shared" si="12"/>
        <v xml:space="preserve">1G  </v>
      </c>
      <c r="Z130" s="478" t="s">
        <v>979</v>
      </c>
    </row>
    <row r="131" spans="1:26" s="479" customFormat="1">
      <c r="A131" s="472">
        <v>127</v>
      </c>
      <c r="B131" s="472" t="s">
        <v>59</v>
      </c>
      <c r="C131" s="472" t="s">
        <v>991</v>
      </c>
      <c r="D131" s="472" t="s">
        <v>59</v>
      </c>
      <c r="E131" s="472" t="s">
        <v>976</v>
      </c>
      <c r="F131" s="472" t="s">
        <v>977</v>
      </c>
      <c r="G131" s="472" t="s">
        <v>740</v>
      </c>
      <c r="H131" s="472"/>
      <c r="I131" s="473" t="s">
        <v>756</v>
      </c>
      <c r="J131" s="472" t="s">
        <v>978</v>
      </c>
      <c r="K131" s="472"/>
      <c r="L131" s="474" t="s">
        <v>197</v>
      </c>
      <c r="M131" s="474" t="s">
        <v>197</v>
      </c>
      <c r="N131" s="474" t="s">
        <v>197</v>
      </c>
      <c r="O131" s="475" t="s">
        <v>661</v>
      </c>
      <c r="P131" s="476"/>
      <c r="Q131" s="477" t="s">
        <v>663</v>
      </c>
      <c r="R131" s="478" t="s">
        <v>662</v>
      </c>
      <c r="S131" s="478" t="s">
        <v>662</v>
      </c>
      <c r="T131" s="478" t="s">
        <v>663</v>
      </c>
      <c r="U131" s="478" t="s">
        <v>663</v>
      </c>
      <c r="V131" s="478" t="str">
        <f>IF(F131="DC","DC","phy")</f>
        <v>phy</v>
      </c>
      <c r="W131" s="478"/>
      <c r="X131" s="478" t="str">
        <f t="shared" si="11"/>
        <v>x510</v>
      </c>
      <c r="Y131" s="478" t="str">
        <f t="shared" si="12"/>
        <v xml:space="preserve">10G phy </v>
      </c>
      <c r="Z131" s="478" t="s">
        <v>979</v>
      </c>
    </row>
    <row r="132" spans="1:26" s="479" customFormat="1">
      <c r="A132" s="472">
        <v>128</v>
      </c>
      <c r="B132" s="472" t="s">
        <v>59</v>
      </c>
      <c r="C132" s="472" t="s">
        <v>992</v>
      </c>
      <c r="D132" s="472" t="s">
        <v>59</v>
      </c>
      <c r="E132" s="472" t="s">
        <v>976</v>
      </c>
      <c r="F132" s="472" t="s">
        <v>977</v>
      </c>
      <c r="G132" s="472" t="s">
        <v>740</v>
      </c>
      <c r="H132" s="472"/>
      <c r="I132" s="473" t="s">
        <v>756</v>
      </c>
      <c r="J132" s="472" t="s">
        <v>978</v>
      </c>
      <c r="K132" s="472"/>
      <c r="L132" s="474" t="s">
        <v>197</v>
      </c>
      <c r="M132" s="474" t="s">
        <v>197</v>
      </c>
      <c r="N132" s="474" t="s">
        <v>197</v>
      </c>
      <c r="O132" s="475" t="s">
        <v>661</v>
      </c>
      <c r="P132" s="476"/>
      <c r="Q132" s="477" t="s">
        <v>663</v>
      </c>
      <c r="R132" s="478" t="s">
        <v>662</v>
      </c>
      <c r="S132" s="478" t="s">
        <v>662</v>
      </c>
      <c r="T132" s="478" t="s">
        <v>663</v>
      </c>
      <c r="U132" s="478" t="s">
        <v>663</v>
      </c>
      <c r="V132" s="478" t="str">
        <f>IF(F132="DC","DC","phy")</f>
        <v>phy</v>
      </c>
      <c r="W132" s="478"/>
      <c r="X132" s="478" t="str">
        <f t="shared" si="11"/>
        <v>x510</v>
      </c>
      <c r="Y132" s="478" t="str">
        <f t="shared" si="12"/>
        <v xml:space="preserve">10G phy </v>
      </c>
      <c r="Z132" s="478" t="s">
        <v>993</v>
      </c>
    </row>
    <row r="133" spans="1:26" s="479" customFormat="1">
      <c r="A133" s="472">
        <v>128</v>
      </c>
      <c r="B133" s="472" t="s">
        <v>59</v>
      </c>
      <c r="C133" s="472" t="s">
        <v>994</v>
      </c>
      <c r="D133" s="472" t="s">
        <v>59</v>
      </c>
      <c r="E133" s="472" t="s">
        <v>976</v>
      </c>
      <c r="F133" s="472" t="s">
        <v>977</v>
      </c>
      <c r="G133" s="472" t="s">
        <v>740</v>
      </c>
      <c r="H133" s="472"/>
      <c r="I133" s="473" t="s">
        <v>756</v>
      </c>
      <c r="J133" s="472" t="s">
        <v>978</v>
      </c>
      <c r="K133" s="472"/>
      <c r="L133" s="474" t="s">
        <v>197</v>
      </c>
      <c r="M133" s="474" t="s">
        <v>197</v>
      </c>
      <c r="N133" s="474" t="s">
        <v>197</v>
      </c>
      <c r="O133" s="475" t="s">
        <v>661</v>
      </c>
      <c r="P133" s="476"/>
      <c r="Q133" s="477" t="s">
        <v>663</v>
      </c>
      <c r="R133" s="478" t="s">
        <v>662</v>
      </c>
      <c r="S133" s="478" t="s">
        <v>662</v>
      </c>
      <c r="T133" s="478" t="s">
        <v>663</v>
      </c>
      <c r="U133" s="478" t="s">
        <v>663</v>
      </c>
      <c r="V133" s="478" t="str">
        <f>IF(F133="DC","DC","phy")</f>
        <v>phy</v>
      </c>
      <c r="W133" s="478"/>
      <c r="X133" s="478" t="str">
        <f t="shared" si="11"/>
        <v>x510</v>
      </c>
      <c r="Y133" s="478" t="str">
        <f t="shared" si="12"/>
        <v xml:space="preserve">10G phy </v>
      </c>
      <c r="Z133" s="478" t="s">
        <v>993</v>
      </c>
    </row>
    <row r="134" spans="1:26" s="479" customFormat="1">
      <c r="A134" s="472">
        <v>129</v>
      </c>
      <c r="B134" s="472" t="s">
        <v>57</v>
      </c>
      <c r="C134" s="472" t="s">
        <v>995</v>
      </c>
      <c r="D134" s="472" t="s">
        <v>59</v>
      </c>
      <c r="E134" s="472" t="s">
        <v>976</v>
      </c>
      <c r="F134" s="472" t="s">
        <v>996</v>
      </c>
      <c r="G134" s="472" t="s">
        <v>740</v>
      </c>
      <c r="H134" s="472"/>
      <c r="I134" s="473" t="s">
        <v>756</v>
      </c>
      <c r="J134" s="472" t="s">
        <v>997</v>
      </c>
      <c r="K134" s="472"/>
      <c r="L134" s="474" t="s">
        <v>197</v>
      </c>
      <c r="M134" s="474" t="s">
        <v>197</v>
      </c>
      <c r="N134" s="474" t="s">
        <v>197</v>
      </c>
      <c r="O134" s="475" t="s">
        <v>661</v>
      </c>
      <c r="P134" s="476"/>
      <c r="Q134" s="477" t="s">
        <v>663</v>
      </c>
      <c r="R134" s="478" t="s">
        <v>662</v>
      </c>
      <c r="S134" s="478" t="s">
        <v>662</v>
      </c>
      <c r="T134" s="478" t="s">
        <v>663</v>
      </c>
      <c r="U134" s="478" t="s">
        <v>663</v>
      </c>
      <c r="V134" s="478" t="str">
        <f>IF(F134="DC","DC","phy")</f>
        <v>phy</v>
      </c>
      <c r="W134" s="478"/>
      <c r="X134" s="478" t="str">
        <f t="shared" si="11"/>
        <v>IE510</v>
      </c>
      <c r="Y134" s="478" t="str">
        <f t="shared" si="12"/>
        <v xml:space="preserve">10G phy </v>
      </c>
      <c r="Z134" s="478" t="s">
        <v>662</v>
      </c>
    </row>
    <row r="135" spans="1:26" s="479" customFormat="1">
      <c r="A135" s="472">
        <v>130</v>
      </c>
      <c r="B135" s="472" t="s">
        <v>57</v>
      </c>
      <c r="C135" s="472" t="s">
        <v>995</v>
      </c>
      <c r="D135" s="472" t="s">
        <v>59</v>
      </c>
      <c r="E135" s="472" t="s">
        <v>976</v>
      </c>
      <c r="F135" s="472" t="s">
        <v>688</v>
      </c>
      <c r="G135" s="472" t="s">
        <v>827</v>
      </c>
      <c r="H135" s="472"/>
      <c r="I135" s="473" t="s">
        <v>656</v>
      </c>
      <c r="J135" s="472" t="s">
        <v>998</v>
      </c>
      <c r="K135" s="472"/>
      <c r="L135" s="474" t="s">
        <v>197</v>
      </c>
      <c r="M135" s="474" t="s">
        <v>197</v>
      </c>
      <c r="N135" s="474" t="s">
        <v>197</v>
      </c>
      <c r="O135" s="475" t="s">
        <v>661</v>
      </c>
      <c r="P135" s="476"/>
      <c r="Q135" s="477" t="s">
        <v>663</v>
      </c>
      <c r="R135" s="478" t="s">
        <v>662</v>
      </c>
      <c r="S135" s="478" t="s">
        <v>663</v>
      </c>
      <c r="T135" s="478" t="s">
        <v>663</v>
      </c>
      <c r="U135" s="478" t="s">
        <v>663</v>
      </c>
      <c r="V135" s="478"/>
      <c r="W135" s="478"/>
      <c r="X135" s="478" t="str">
        <f t="shared" si="11"/>
        <v>IE510</v>
      </c>
      <c r="Y135" s="478" t="str">
        <f t="shared" si="12"/>
        <v xml:space="preserve">1G  </v>
      </c>
      <c r="Z135" s="478" t="s">
        <v>979</v>
      </c>
    </row>
    <row r="136" spans="1:26" s="479" customFormat="1">
      <c r="A136" s="472">
        <v>131</v>
      </c>
      <c r="B136" s="472" t="s">
        <v>999</v>
      </c>
      <c r="C136" s="472" t="s">
        <v>1000</v>
      </c>
      <c r="D136" s="472" t="s">
        <v>59</v>
      </c>
      <c r="E136" s="472" t="s">
        <v>976</v>
      </c>
      <c r="F136" s="472" t="s">
        <v>977</v>
      </c>
      <c r="G136" s="472" t="s">
        <v>740</v>
      </c>
      <c r="H136" s="472"/>
      <c r="I136" s="473" t="s">
        <v>756</v>
      </c>
      <c r="J136" s="472" t="s">
        <v>978</v>
      </c>
      <c r="K136" s="472"/>
      <c r="L136" s="474" t="s">
        <v>197</v>
      </c>
      <c r="M136" s="474" t="s">
        <v>197</v>
      </c>
      <c r="N136" s="474" t="s">
        <v>197</v>
      </c>
      <c r="O136" s="475" t="s">
        <v>661</v>
      </c>
      <c r="P136" s="475"/>
      <c r="Q136" s="472" t="s">
        <v>663</v>
      </c>
      <c r="R136" s="472" t="s">
        <v>662</v>
      </c>
      <c r="S136" s="472" t="s">
        <v>662</v>
      </c>
      <c r="T136" s="472" t="s">
        <v>663</v>
      </c>
      <c r="U136" s="472" t="s">
        <v>663</v>
      </c>
      <c r="V136" s="472" t="str">
        <f>IF(F136="DC","DC","phy")</f>
        <v>phy</v>
      </c>
      <c r="W136" s="472"/>
      <c r="X136" s="472" t="str">
        <f t="shared" si="11"/>
        <v>SH510</v>
      </c>
      <c r="Y136" s="472" t="str">
        <f t="shared" si="12"/>
        <v xml:space="preserve">10G phy </v>
      </c>
      <c r="Z136" s="472" t="s">
        <v>979</v>
      </c>
    </row>
    <row r="137" spans="1:26" s="479" customFormat="1">
      <c r="A137" s="472">
        <v>132</v>
      </c>
      <c r="B137" s="472" t="s">
        <v>999</v>
      </c>
      <c r="C137" s="472" t="s">
        <v>1001</v>
      </c>
      <c r="D137" s="472" t="s">
        <v>59</v>
      </c>
      <c r="E137" s="472" t="s">
        <v>976</v>
      </c>
      <c r="F137" s="472" t="s">
        <v>977</v>
      </c>
      <c r="G137" s="472" t="s">
        <v>740</v>
      </c>
      <c r="H137" s="472"/>
      <c r="I137" s="473" t="s">
        <v>756</v>
      </c>
      <c r="J137" s="472" t="s">
        <v>978</v>
      </c>
      <c r="K137" s="472"/>
      <c r="L137" s="474" t="s">
        <v>197</v>
      </c>
      <c r="M137" s="474" t="s">
        <v>197</v>
      </c>
      <c r="N137" s="474" t="s">
        <v>197</v>
      </c>
      <c r="O137" s="475" t="s">
        <v>661</v>
      </c>
      <c r="P137" s="475"/>
      <c r="Q137" s="472" t="s">
        <v>663</v>
      </c>
      <c r="R137" s="472" t="s">
        <v>662</v>
      </c>
      <c r="S137" s="472" t="s">
        <v>662</v>
      </c>
      <c r="T137" s="472" t="s">
        <v>663</v>
      </c>
      <c r="U137" s="472" t="s">
        <v>663</v>
      </c>
      <c r="V137" s="472" t="str">
        <f>IF(F137="DC","DC","phy")</f>
        <v>phy</v>
      </c>
      <c r="W137" s="472"/>
      <c r="X137" s="472" t="str">
        <f t="shared" si="11"/>
        <v>SH510</v>
      </c>
      <c r="Y137" s="472" t="str">
        <f t="shared" si="12"/>
        <v xml:space="preserve">10G phy </v>
      </c>
      <c r="Z137" s="472" t="s">
        <v>979</v>
      </c>
    </row>
    <row r="138" spans="1:26" s="479" customFormat="1">
      <c r="A138" s="472">
        <v>133</v>
      </c>
      <c r="B138" s="472" t="s">
        <v>999</v>
      </c>
      <c r="C138" s="472" t="s">
        <v>1002</v>
      </c>
      <c r="D138" s="472" t="s">
        <v>59</v>
      </c>
      <c r="E138" s="472" t="s">
        <v>976</v>
      </c>
      <c r="F138" s="472" t="s">
        <v>977</v>
      </c>
      <c r="G138" s="472" t="s">
        <v>740</v>
      </c>
      <c r="H138" s="472"/>
      <c r="I138" s="473" t="s">
        <v>756</v>
      </c>
      <c r="J138" s="472" t="s">
        <v>978</v>
      </c>
      <c r="K138" s="472"/>
      <c r="L138" s="474" t="s">
        <v>197</v>
      </c>
      <c r="M138" s="474" t="s">
        <v>197</v>
      </c>
      <c r="N138" s="474" t="s">
        <v>197</v>
      </c>
      <c r="O138" s="475" t="s">
        <v>661</v>
      </c>
      <c r="P138" s="475"/>
      <c r="Q138" s="472" t="s">
        <v>663</v>
      </c>
      <c r="R138" s="472" t="s">
        <v>662</v>
      </c>
      <c r="S138" s="472" t="s">
        <v>662</v>
      </c>
      <c r="T138" s="472" t="s">
        <v>663</v>
      </c>
      <c r="U138" s="472" t="s">
        <v>663</v>
      </c>
      <c r="V138" s="472" t="str">
        <f>IF(F138="DC","DC","phy")</f>
        <v>phy</v>
      </c>
      <c r="W138" s="472"/>
      <c r="X138" s="472" t="str">
        <f t="shared" si="11"/>
        <v>SH510</v>
      </c>
      <c r="Y138" s="472" t="str">
        <f t="shared" si="12"/>
        <v xml:space="preserve">10G phy </v>
      </c>
      <c r="Z138" s="472" t="s">
        <v>979</v>
      </c>
    </row>
    <row r="139" spans="1:26" s="479" customFormat="1">
      <c r="A139" s="472">
        <v>134</v>
      </c>
      <c r="B139" s="472" t="s">
        <v>999</v>
      </c>
      <c r="C139" s="472" t="s">
        <v>1003</v>
      </c>
      <c r="D139" s="472" t="s">
        <v>59</v>
      </c>
      <c r="E139" s="472" t="s">
        <v>976</v>
      </c>
      <c r="F139" s="472" t="s">
        <v>977</v>
      </c>
      <c r="G139" s="472" t="s">
        <v>740</v>
      </c>
      <c r="H139" s="472"/>
      <c r="I139" s="473" t="s">
        <v>756</v>
      </c>
      <c r="J139" s="472" t="s">
        <v>978</v>
      </c>
      <c r="K139" s="472"/>
      <c r="L139" s="474" t="s">
        <v>197</v>
      </c>
      <c r="M139" s="474" t="s">
        <v>197</v>
      </c>
      <c r="N139" s="474" t="s">
        <v>197</v>
      </c>
      <c r="O139" s="475" t="s">
        <v>661</v>
      </c>
      <c r="P139" s="475"/>
      <c r="Q139" s="472" t="s">
        <v>663</v>
      </c>
      <c r="R139" s="472" t="s">
        <v>662</v>
      </c>
      <c r="S139" s="472" t="s">
        <v>662</v>
      </c>
      <c r="T139" s="472" t="s">
        <v>663</v>
      </c>
      <c r="U139" s="472" t="s">
        <v>663</v>
      </c>
      <c r="V139" s="472" t="str">
        <f>IF(F139="DC","DC","phy")</f>
        <v>phy</v>
      </c>
      <c r="W139" s="472"/>
      <c r="X139" s="472" t="str">
        <f t="shared" si="11"/>
        <v>SH510</v>
      </c>
      <c r="Y139" s="472" t="str">
        <f t="shared" si="12"/>
        <v xml:space="preserve">10G phy </v>
      </c>
      <c r="Z139" s="472"/>
    </row>
    <row r="140" spans="1:26" s="471" customFormat="1">
      <c r="A140" s="447">
        <v>135</v>
      </c>
      <c r="B140" s="447" t="s">
        <v>50</v>
      </c>
      <c r="C140" s="447" t="s">
        <v>1004</v>
      </c>
      <c r="D140" s="447" t="s">
        <v>50</v>
      </c>
      <c r="E140" s="447" t="s">
        <v>1005</v>
      </c>
      <c r="F140" s="447" t="s">
        <v>688</v>
      </c>
      <c r="G140" s="447" t="s">
        <v>689</v>
      </c>
      <c r="H140" s="447"/>
      <c r="I140" s="448" t="s">
        <v>756</v>
      </c>
      <c r="J140" s="447" t="s">
        <v>1006</v>
      </c>
      <c r="K140" s="447"/>
      <c r="L140" s="449" t="s">
        <v>197</v>
      </c>
      <c r="M140" s="449" t="s">
        <v>197</v>
      </c>
      <c r="N140" s="449" t="s">
        <v>197</v>
      </c>
      <c r="O140" s="451" t="s">
        <v>661</v>
      </c>
      <c r="P140" s="455"/>
      <c r="Q140" s="456" t="s">
        <v>663</v>
      </c>
      <c r="R140" s="457" t="s">
        <v>662</v>
      </c>
      <c r="S140" s="457" t="s">
        <v>662</v>
      </c>
      <c r="T140" s="457" t="s">
        <v>663</v>
      </c>
      <c r="U140" s="457" t="s">
        <v>663</v>
      </c>
      <c r="V140" s="457"/>
      <c r="W140" s="457" t="s">
        <v>676</v>
      </c>
      <c r="X140" s="457" t="str">
        <f t="shared" si="11"/>
        <v>x530</v>
      </c>
      <c r="Y140" s="457" t="str">
        <f t="shared" si="12"/>
        <v>10G  uplink</v>
      </c>
      <c r="Z140" s="457"/>
    </row>
    <row r="141" spans="1:26" s="471" customFormat="1">
      <c r="A141" s="447">
        <v>136</v>
      </c>
      <c r="B141" s="447" t="s">
        <v>50</v>
      </c>
      <c r="C141" s="447" t="s">
        <v>1007</v>
      </c>
      <c r="D141" s="447" t="s">
        <v>50</v>
      </c>
      <c r="E141" s="447" t="s">
        <v>1005</v>
      </c>
      <c r="F141" s="447" t="s">
        <v>688</v>
      </c>
      <c r="G141" s="447" t="s">
        <v>689</v>
      </c>
      <c r="H141" s="447"/>
      <c r="I141" s="448" t="s">
        <v>756</v>
      </c>
      <c r="J141" s="447" t="s">
        <v>1006</v>
      </c>
      <c r="K141" s="447"/>
      <c r="L141" s="449" t="s">
        <v>197</v>
      </c>
      <c r="M141" s="449" t="s">
        <v>197</v>
      </c>
      <c r="N141" s="449" t="s">
        <v>197</v>
      </c>
      <c r="O141" s="451" t="s">
        <v>661</v>
      </c>
      <c r="P141" s="455"/>
      <c r="Q141" s="456" t="s">
        <v>663</v>
      </c>
      <c r="R141" s="457" t="s">
        <v>662</v>
      </c>
      <c r="S141" s="457" t="s">
        <v>662</v>
      </c>
      <c r="T141" s="457" t="s">
        <v>663</v>
      </c>
      <c r="U141" s="457" t="s">
        <v>663</v>
      </c>
      <c r="V141" s="457"/>
      <c r="W141" s="457" t="s">
        <v>676</v>
      </c>
      <c r="X141" s="457" t="str">
        <f t="shared" si="11"/>
        <v>x530</v>
      </c>
      <c r="Y141" s="457" t="str">
        <f t="shared" si="12"/>
        <v>10G  uplink</v>
      </c>
      <c r="Z141" s="457"/>
    </row>
    <row r="142" spans="1:26" s="471" customFormat="1">
      <c r="A142" s="447">
        <v>137</v>
      </c>
      <c r="B142" s="447" t="s">
        <v>50</v>
      </c>
      <c r="C142" s="447" t="s">
        <v>1008</v>
      </c>
      <c r="D142" s="447" t="s">
        <v>50</v>
      </c>
      <c r="E142" s="447" t="s">
        <v>1009</v>
      </c>
      <c r="F142" s="447" t="s">
        <v>1010</v>
      </c>
      <c r="G142" s="447" t="s">
        <v>671</v>
      </c>
      <c r="H142" s="447"/>
      <c r="I142" s="448" t="s">
        <v>656</v>
      </c>
      <c r="J142" s="447" t="s">
        <v>1011</v>
      </c>
      <c r="K142" s="447"/>
      <c r="L142" s="449" t="s">
        <v>197</v>
      </c>
      <c r="M142" s="449" t="s">
        <v>197</v>
      </c>
      <c r="N142" s="449" t="s">
        <v>197</v>
      </c>
      <c r="O142" s="451" t="s">
        <v>739</v>
      </c>
      <c r="P142" s="455"/>
      <c r="Q142" s="456" t="s">
        <v>662</v>
      </c>
      <c r="R142" s="457" t="s">
        <v>662</v>
      </c>
      <c r="S142" s="457" t="s">
        <v>663</v>
      </c>
      <c r="T142" s="457" t="s">
        <v>663</v>
      </c>
      <c r="U142" s="457" t="s">
        <v>663</v>
      </c>
      <c r="V142" s="457" t="str">
        <f>IF(F142="DC","DC","phy")</f>
        <v>phy</v>
      </c>
      <c r="W142" s="457"/>
      <c r="X142" s="457" t="str">
        <f t="shared" si="11"/>
        <v>x530</v>
      </c>
      <c r="Y142" s="457" t="str">
        <f t="shared" si="12"/>
        <v xml:space="preserve">1G phy </v>
      </c>
      <c r="Z142" s="457"/>
    </row>
    <row r="143" spans="1:26" s="471" customFormat="1">
      <c r="A143" s="447">
        <v>138</v>
      </c>
      <c r="B143" s="447" t="s">
        <v>50</v>
      </c>
      <c r="C143" s="447" t="s">
        <v>1008</v>
      </c>
      <c r="D143" s="447" t="s">
        <v>50</v>
      </c>
      <c r="E143" s="447" t="s">
        <v>1005</v>
      </c>
      <c r="F143" s="447" t="s">
        <v>1012</v>
      </c>
      <c r="G143" s="447" t="s">
        <v>740</v>
      </c>
      <c r="H143" s="447"/>
      <c r="I143" s="448" t="s">
        <v>756</v>
      </c>
      <c r="J143" s="447" t="s">
        <v>1013</v>
      </c>
      <c r="K143" s="447"/>
      <c r="L143" s="449" t="s">
        <v>197</v>
      </c>
      <c r="M143" s="449" t="s">
        <v>197</v>
      </c>
      <c r="N143" s="449" t="s">
        <v>197</v>
      </c>
      <c r="O143" s="451" t="s">
        <v>739</v>
      </c>
      <c r="P143" s="455"/>
      <c r="Q143" s="456" t="s">
        <v>663</v>
      </c>
      <c r="R143" s="457" t="s">
        <v>662</v>
      </c>
      <c r="S143" s="457" t="s">
        <v>662</v>
      </c>
      <c r="T143" s="457" t="s">
        <v>663</v>
      </c>
      <c r="U143" s="457" t="s">
        <v>663</v>
      </c>
      <c r="V143" s="457" t="str">
        <f>IF(F143="DC","DC","phy")</f>
        <v>phy</v>
      </c>
      <c r="W143" s="457" t="s">
        <v>676</v>
      </c>
      <c r="X143" s="457" t="str">
        <f t="shared" si="11"/>
        <v>x530</v>
      </c>
      <c r="Y143" s="457" t="str">
        <f t="shared" si="12"/>
        <v>10G phy uplink</v>
      </c>
      <c r="Z143" s="457"/>
    </row>
    <row r="144" spans="1:26" s="471" customFormat="1">
      <c r="A144" s="447">
        <v>139</v>
      </c>
      <c r="B144" s="447" t="s">
        <v>50</v>
      </c>
      <c r="C144" s="447" t="s">
        <v>1014</v>
      </c>
      <c r="D144" s="447" t="s">
        <v>50</v>
      </c>
      <c r="E144" s="447" t="s">
        <v>1005</v>
      </c>
      <c r="F144" s="447" t="s">
        <v>688</v>
      </c>
      <c r="G144" s="447" t="s">
        <v>689</v>
      </c>
      <c r="H144" s="447"/>
      <c r="I144" s="448" t="s">
        <v>756</v>
      </c>
      <c r="J144" s="447" t="s">
        <v>1006</v>
      </c>
      <c r="K144" s="447"/>
      <c r="L144" s="449" t="s">
        <v>197</v>
      </c>
      <c r="M144" s="449" t="s">
        <v>197</v>
      </c>
      <c r="N144" s="449" t="s">
        <v>197</v>
      </c>
      <c r="O144" s="451" t="s">
        <v>661</v>
      </c>
      <c r="P144" s="455"/>
      <c r="Q144" s="456" t="s">
        <v>663</v>
      </c>
      <c r="R144" s="457" t="s">
        <v>662</v>
      </c>
      <c r="S144" s="457" t="s">
        <v>662</v>
      </c>
      <c r="T144" s="457" t="s">
        <v>663</v>
      </c>
      <c r="U144" s="457" t="s">
        <v>663</v>
      </c>
      <c r="V144" s="457"/>
      <c r="W144" s="457" t="s">
        <v>676</v>
      </c>
      <c r="X144" s="457" t="str">
        <f t="shared" si="11"/>
        <v>x530</v>
      </c>
      <c r="Y144" s="457" t="str">
        <f t="shared" si="12"/>
        <v>10G  uplink</v>
      </c>
      <c r="Z144" s="457"/>
    </row>
    <row r="145" spans="1:26" s="471" customFormat="1">
      <c r="A145" s="447">
        <v>140</v>
      </c>
      <c r="B145" s="447" t="s">
        <v>50</v>
      </c>
      <c r="C145" s="447" t="s">
        <v>1015</v>
      </c>
      <c r="D145" s="447" t="s">
        <v>50</v>
      </c>
      <c r="E145" s="447" t="s">
        <v>1016</v>
      </c>
      <c r="F145" s="447" t="s">
        <v>688</v>
      </c>
      <c r="G145" s="447" t="s">
        <v>689</v>
      </c>
      <c r="H145" s="447"/>
      <c r="I145" s="448" t="s">
        <v>756</v>
      </c>
      <c r="J145" s="447" t="s">
        <v>1006</v>
      </c>
      <c r="K145" s="447"/>
      <c r="L145" s="449" t="s">
        <v>197</v>
      </c>
      <c r="M145" s="449" t="s">
        <v>197</v>
      </c>
      <c r="N145" s="449" t="s">
        <v>197</v>
      </c>
      <c r="O145" s="451" t="s">
        <v>661</v>
      </c>
      <c r="P145" s="455"/>
      <c r="Q145" s="456" t="s">
        <v>663</v>
      </c>
      <c r="R145" s="457" t="s">
        <v>662</v>
      </c>
      <c r="S145" s="457" t="s">
        <v>662</v>
      </c>
      <c r="T145" s="457" t="s">
        <v>663</v>
      </c>
      <c r="U145" s="457" t="s">
        <v>663</v>
      </c>
      <c r="V145" s="457"/>
      <c r="W145" s="457" t="s">
        <v>676</v>
      </c>
      <c r="X145" s="457" t="str">
        <f t="shared" si="11"/>
        <v>x530</v>
      </c>
      <c r="Y145" s="457" t="str">
        <f t="shared" si="12"/>
        <v>10G  uplink</v>
      </c>
      <c r="Z145" s="457"/>
    </row>
    <row r="146" spans="1:26" s="471" customFormat="1">
      <c r="A146" s="447">
        <v>141</v>
      </c>
      <c r="B146" s="447" t="s">
        <v>50</v>
      </c>
      <c r="C146" s="447" t="s">
        <v>1017</v>
      </c>
      <c r="D146" s="447" t="s">
        <v>50</v>
      </c>
      <c r="E146" s="447" t="s">
        <v>1016</v>
      </c>
      <c r="F146" s="447" t="s">
        <v>688</v>
      </c>
      <c r="G146" s="447" t="s">
        <v>689</v>
      </c>
      <c r="H146" s="447"/>
      <c r="I146" s="448" t="s">
        <v>756</v>
      </c>
      <c r="J146" s="449" t="s">
        <v>1006</v>
      </c>
      <c r="K146" s="449"/>
      <c r="L146" s="449" t="s">
        <v>197</v>
      </c>
      <c r="M146" s="449" t="s">
        <v>197</v>
      </c>
      <c r="N146" s="449" t="s">
        <v>197</v>
      </c>
      <c r="O146" s="451" t="s">
        <v>661</v>
      </c>
      <c r="P146" s="451"/>
      <c r="Q146" s="451" t="s">
        <v>663</v>
      </c>
      <c r="R146" s="451" t="s">
        <v>662</v>
      </c>
      <c r="S146" s="451" t="s">
        <v>662</v>
      </c>
      <c r="T146" s="451" t="s">
        <v>663</v>
      </c>
      <c r="U146" s="451" t="s">
        <v>663</v>
      </c>
      <c r="V146" s="451"/>
      <c r="W146" s="451" t="s">
        <v>676</v>
      </c>
      <c r="X146" s="451" t="str">
        <f t="shared" si="11"/>
        <v>x530</v>
      </c>
      <c r="Y146" s="451" t="str">
        <f t="shared" si="12"/>
        <v>10G  uplink</v>
      </c>
      <c r="Z146" s="457"/>
    </row>
    <row r="147" spans="1:26" s="471" customFormat="1">
      <c r="A147" s="447">
        <v>142</v>
      </c>
      <c r="B147" s="447" t="s">
        <v>50</v>
      </c>
      <c r="C147" s="447" t="s">
        <v>1018</v>
      </c>
      <c r="D147" s="447" t="s">
        <v>50</v>
      </c>
      <c r="E147" s="447" t="s">
        <v>1016</v>
      </c>
      <c r="F147" s="447" t="s">
        <v>688</v>
      </c>
      <c r="G147" s="447" t="s">
        <v>689</v>
      </c>
      <c r="H147" s="447"/>
      <c r="I147" s="448" t="s">
        <v>756</v>
      </c>
      <c r="J147" s="449" t="s">
        <v>1006</v>
      </c>
      <c r="K147" s="449" t="s">
        <v>902</v>
      </c>
      <c r="L147" s="468" t="s">
        <v>1019</v>
      </c>
      <c r="M147" s="471" t="s">
        <v>734</v>
      </c>
      <c r="N147" s="468" t="s">
        <v>1020</v>
      </c>
      <c r="O147" s="451" t="s">
        <v>661</v>
      </c>
      <c r="P147" s="451"/>
      <c r="Q147" s="451" t="s">
        <v>663</v>
      </c>
      <c r="R147" s="451" t="s">
        <v>662</v>
      </c>
      <c r="S147" s="451" t="s">
        <v>662</v>
      </c>
      <c r="T147" s="451" t="s">
        <v>663</v>
      </c>
      <c r="U147" s="451" t="s">
        <v>663</v>
      </c>
      <c r="V147" s="451"/>
      <c r="W147" s="451" t="s">
        <v>676</v>
      </c>
      <c r="X147" s="451" t="str">
        <f t="shared" si="11"/>
        <v>x530</v>
      </c>
      <c r="Y147" s="451" t="str">
        <f t="shared" si="12"/>
        <v>10G  uplink</v>
      </c>
      <c r="Z147" s="457"/>
    </row>
    <row r="148" spans="1:26" s="471" customFormat="1">
      <c r="A148" s="447">
        <v>143</v>
      </c>
      <c r="B148" s="447" t="s">
        <v>50</v>
      </c>
      <c r="C148" s="447" t="s">
        <v>1021</v>
      </c>
      <c r="D148" s="447" t="s">
        <v>50</v>
      </c>
      <c r="E148" s="447" t="s">
        <v>1009</v>
      </c>
      <c r="F148" s="447" t="s">
        <v>688</v>
      </c>
      <c r="G148" s="447" t="s">
        <v>689</v>
      </c>
      <c r="H148" s="447"/>
      <c r="I148" s="448" t="s">
        <v>756</v>
      </c>
      <c r="J148" s="449" t="s">
        <v>1006</v>
      </c>
      <c r="K148" s="449"/>
      <c r="L148" s="449" t="s">
        <v>197</v>
      </c>
      <c r="M148" s="449" t="s">
        <v>197</v>
      </c>
      <c r="N148" s="449" t="s">
        <v>197</v>
      </c>
      <c r="O148" s="451" t="s">
        <v>661</v>
      </c>
      <c r="P148" s="451"/>
      <c r="Q148" s="451"/>
      <c r="R148" s="451"/>
      <c r="S148" s="451"/>
      <c r="T148" s="451"/>
      <c r="U148" s="451"/>
      <c r="V148" s="451"/>
      <c r="W148" s="451"/>
      <c r="X148" s="451"/>
      <c r="Y148" s="451"/>
      <c r="Z148" s="457"/>
    </row>
    <row r="149" spans="1:26" s="471" customFormat="1">
      <c r="A149" s="447">
        <v>144</v>
      </c>
      <c r="B149" s="447" t="s">
        <v>50</v>
      </c>
      <c r="C149" s="447" t="s">
        <v>1022</v>
      </c>
      <c r="D149" s="447" t="s">
        <v>50</v>
      </c>
      <c r="E149" s="447" t="s">
        <v>1009</v>
      </c>
      <c r="F149" s="447" t="s">
        <v>688</v>
      </c>
      <c r="G149" s="447" t="s">
        <v>689</v>
      </c>
      <c r="H149" s="447"/>
      <c r="I149" s="448" t="s">
        <v>756</v>
      </c>
      <c r="J149" s="449" t="s">
        <v>1006</v>
      </c>
      <c r="K149" s="449"/>
      <c r="L149" s="449" t="s">
        <v>197</v>
      </c>
      <c r="M149" s="449" t="s">
        <v>197</v>
      </c>
      <c r="N149" s="449" t="s">
        <v>197</v>
      </c>
      <c r="O149" s="451" t="s">
        <v>661</v>
      </c>
      <c r="P149" s="451"/>
      <c r="Q149" s="451"/>
      <c r="R149" s="451"/>
      <c r="S149" s="451"/>
      <c r="T149" s="451"/>
      <c r="U149" s="451"/>
      <c r="V149" s="451"/>
      <c r="W149" s="451"/>
      <c r="X149" s="451"/>
      <c r="Y149" s="451"/>
      <c r="Z149" s="457"/>
    </row>
    <row r="150" spans="1:26" s="471" customFormat="1">
      <c r="A150" s="447">
        <v>145</v>
      </c>
      <c r="B150" s="447" t="s">
        <v>50</v>
      </c>
      <c r="C150" s="447" t="s">
        <v>1023</v>
      </c>
      <c r="D150" s="447" t="s">
        <v>50</v>
      </c>
      <c r="E150" s="447" t="s">
        <v>1009</v>
      </c>
      <c r="F150" s="447" t="s">
        <v>688</v>
      </c>
      <c r="G150" s="447" t="s">
        <v>689</v>
      </c>
      <c r="H150" s="447"/>
      <c r="I150" s="448" t="s">
        <v>756</v>
      </c>
      <c r="J150" s="449" t="s">
        <v>1006</v>
      </c>
      <c r="K150" s="449"/>
      <c r="L150" s="449" t="s">
        <v>197</v>
      </c>
      <c r="M150" s="449" t="s">
        <v>197</v>
      </c>
      <c r="N150" s="449" t="s">
        <v>197</v>
      </c>
      <c r="O150" s="451" t="s">
        <v>661</v>
      </c>
      <c r="P150" s="451"/>
      <c r="Q150" s="451" t="s">
        <v>663</v>
      </c>
      <c r="R150" s="451" t="s">
        <v>662</v>
      </c>
      <c r="S150" s="451" t="s">
        <v>662</v>
      </c>
      <c r="T150" s="451" t="s">
        <v>663</v>
      </c>
      <c r="U150" s="451" t="s">
        <v>663</v>
      </c>
      <c r="V150" s="451"/>
      <c r="W150" s="451" t="s">
        <v>676</v>
      </c>
      <c r="X150" s="451" t="str">
        <f t="shared" ref="X150:X181" si="13">B150</f>
        <v>x530</v>
      </c>
      <c r="Y150" s="451" t="str">
        <f t="shared" ref="Y150:Y181" si="14">IF(U150="y","100G",IF(T150="y","10G",IF(S150="y","10G",IF(R150="y","1G",IF(Q150="y","100M",0)))))&amp;" "&amp;V150&amp;" "&amp;W150</f>
        <v>10G  uplink</v>
      </c>
      <c r="Z150" s="457"/>
    </row>
    <row r="151" spans="1:26" s="471" customFormat="1">
      <c r="A151" s="447">
        <v>146</v>
      </c>
      <c r="B151" s="447" t="s">
        <v>50</v>
      </c>
      <c r="C151" s="447" t="s">
        <v>1024</v>
      </c>
      <c r="D151" s="447" t="s">
        <v>50</v>
      </c>
      <c r="E151" s="447" t="s">
        <v>1009</v>
      </c>
      <c r="F151" s="447" t="s">
        <v>688</v>
      </c>
      <c r="G151" s="447" t="s">
        <v>689</v>
      </c>
      <c r="H151" s="447"/>
      <c r="I151" s="448" t="s">
        <v>756</v>
      </c>
      <c r="J151" s="449" t="s">
        <v>1006</v>
      </c>
      <c r="K151" s="449"/>
      <c r="L151" s="449" t="s">
        <v>197</v>
      </c>
      <c r="M151" s="449" t="s">
        <v>197</v>
      </c>
      <c r="N151" s="449" t="s">
        <v>197</v>
      </c>
      <c r="O151" s="451" t="s">
        <v>661</v>
      </c>
      <c r="P151" s="451"/>
      <c r="Q151" s="451" t="s">
        <v>663</v>
      </c>
      <c r="R151" s="451" t="s">
        <v>662</v>
      </c>
      <c r="S151" s="451" t="s">
        <v>662</v>
      </c>
      <c r="T151" s="451" t="s">
        <v>663</v>
      </c>
      <c r="U151" s="451" t="s">
        <v>663</v>
      </c>
      <c r="V151" s="451"/>
      <c r="W151" s="451" t="s">
        <v>676</v>
      </c>
      <c r="X151" s="451" t="str">
        <f t="shared" si="13"/>
        <v>x530</v>
      </c>
      <c r="Y151" s="451" t="str">
        <f t="shared" si="14"/>
        <v>10G  uplink</v>
      </c>
      <c r="Z151" s="457"/>
    </row>
    <row r="152" spans="1:26" s="484" customFormat="1">
      <c r="A152" s="480">
        <v>147</v>
      </c>
      <c r="B152" s="480" t="s">
        <v>50</v>
      </c>
      <c r="C152" s="480" t="s">
        <v>1025</v>
      </c>
      <c r="D152" s="480" t="s">
        <v>50</v>
      </c>
      <c r="E152" s="480" t="s">
        <v>1026</v>
      </c>
      <c r="F152" s="480" t="s">
        <v>688</v>
      </c>
      <c r="G152" s="480" t="s">
        <v>689</v>
      </c>
      <c r="H152" s="480"/>
      <c r="I152" s="481" t="s">
        <v>756</v>
      </c>
      <c r="J152" s="450" t="s">
        <v>1027</v>
      </c>
      <c r="K152" s="450" t="s">
        <v>969</v>
      </c>
      <c r="L152" s="450" t="s">
        <v>197</v>
      </c>
      <c r="M152" s="450" t="s">
        <v>197</v>
      </c>
      <c r="N152" s="450" t="s">
        <v>197</v>
      </c>
      <c r="O152" s="482" t="s">
        <v>739</v>
      </c>
      <c r="P152" s="482"/>
      <c r="Q152" s="482" t="s">
        <v>663</v>
      </c>
      <c r="R152" s="482" t="s">
        <v>662</v>
      </c>
      <c r="S152" s="482" t="s">
        <v>662</v>
      </c>
      <c r="T152" s="482" t="s">
        <v>663</v>
      </c>
      <c r="U152" s="482" t="s">
        <v>663</v>
      </c>
      <c r="V152" s="482"/>
      <c r="W152" s="482" t="s">
        <v>676</v>
      </c>
      <c r="X152" s="482" t="str">
        <f t="shared" si="13"/>
        <v>x530</v>
      </c>
      <c r="Y152" s="482" t="str">
        <f t="shared" si="14"/>
        <v>10G  uplink</v>
      </c>
      <c r="Z152" s="483"/>
    </row>
    <row r="153" spans="1:26" s="484" customFormat="1">
      <c r="A153" s="480">
        <v>148</v>
      </c>
      <c r="B153" s="480" t="s">
        <v>50</v>
      </c>
      <c r="C153" s="480" t="s">
        <v>1028</v>
      </c>
      <c r="D153" s="480" t="s">
        <v>50</v>
      </c>
      <c r="E153" s="480" t="s">
        <v>1026</v>
      </c>
      <c r="F153" s="480" t="s">
        <v>688</v>
      </c>
      <c r="G153" s="480" t="s">
        <v>689</v>
      </c>
      <c r="H153" s="480"/>
      <c r="I153" s="481" t="s">
        <v>756</v>
      </c>
      <c r="J153" s="450" t="s">
        <v>1027</v>
      </c>
      <c r="K153" s="450" t="s">
        <v>969</v>
      </c>
      <c r="L153" s="450" t="s">
        <v>197</v>
      </c>
      <c r="M153" s="450" t="s">
        <v>197</v>
      </c>
      <c r="N153" s="450" t="s">
        <v>197</v>
      </c>
      <c r="O153" s="482" t="s">
        <v>739</v>
      </c>
      <c r="P153" s="482"/>
      <c r="Q153" s="482" t="s">
        <v>663</v>
      </c>
      <c r="R153" s="482" t="s">
        <v>662</v>
      </c>
      <c r="S153" s="482" t="s">
        <v>662</v>
      </c>
      <c r="T153" s="482" t="s">
        <v>663</v>
      </c>
      <c r="U153" s="482" t="s">
        <v>663</v>
      </c>
      <c r="V153" s="482"/>
      <c r="W153" s="482" t="s">
        <v>676</v>
      </c>
      <c r="X153" s="482" t="str">
        <f t="shared" si="13"/>
        <v>x530</v>
      </c>
      <c r="Y153" s="482" t="str">
        <f t="shared" si="14"/>
        <v>10G  uplink</v>
      </c>
      <c r="Z153" s="483"/>
    </row>
    <row r="154" spans="1:26" s="484" customFormat="1">
      <c r="A154" s="480">
        <v>149</v>
      </c>
      <c r="B154" s="480" t="s">
        <v>50</v>
      </c>
      <c r="C154" s="480" t="s">
        <v>1029</v>
      </c>
      <c r="D154" s="480" t="s">
        <v>50</v>
      </c>
      <c r="E154" s="480" t="s">
        <v>1026</v>
      </c>
      <c r="F154" s="480" t="s">
        <v>688</v>
      </c>
      <c r="G154" s="480" t="s">
        <v>689</v>
      </c>
      <c r="H154" s="480"/>
      <c r="I154" s="481" t="s">
        <v>756</v>
      </c>
      <c r="J154" s="450" t="s">
        <v>1027</v>
      </c>
      <c r="K154" s="450" t="s">
        <v>1030</v>
      </c>
      <c r="L154" s="450" t="s">
        <v>197</v>
      </c>
      <c r="M154" s="450" t="s">
        <v>197</v>
      </c>
      <c r="N154" s="450" t="s">
        <v>197</v>
      </c>
      <c r="O154" s="482" t="s">
        <v>739</v>
      </c>
      <c r="P154" s="482"/>
      <c r="Q154" s="482" t="s">
        <v>663</v>
      </c>
      <c r="R154" s="482" t="s">
        <v>662</v>
      </c>
      <c r="S154" s="482" t="s">
        <v>662</v>
      </c>
      <c r="T154" s="482" t="s">
        <v>663</v>
      </c>
      <c r="U154" s="482" t="s">
        <v>663</v>
      </c>
      <c r="V154" s="482"/>
      <c r="W154" s="482" t="s">
        <v>676</v>
      </c>
      <c r="X154" s="482" t="str">
        <f t="shared" si="13"/>
        <v>x530</v>
      </c>
      <c r="Y154" s="482" t="str">
        <f t="shared" si="14"/>
        <v>10G  uplink</v>
      </c>
      <c r="Z154" s="483"/>
    </row>
    <row r="155" spans="1:26" s="484" customFormat="1">
      <c r="A155" s="480">
        <v>150</v>
      </c>
      <c r="B155" s="480" t="s">
        <v>50</v>
      </c>
      <c r="C155" s="480" t="s">
        <v>1031</v>
      </c>
      <c r="D155" s="480" t="s">
        <v>50</v>
      </c>
      <c r="E155" s="480" t="s">
        <v>1026</v>
      </c>
      <c r="F155" s="480" t="s">
        <v>688</v>
      </c>
      <c r="G155" s="480" t="s">
        <v>689</v>
      </c>
      <c r="H155" s="480"/>
      <c r="I155" s="481" t="s">
        <v>756</v>
      </c>
      <c r="J155" s="450" t="s">
        <v>1027</v>
      </c>
      <c r="K155" s="450" t="s">
        <v>1030</v>
      </c>
      <c r="L155" s="450" t="s">
        <v>197</v>
      </c>
      <c r="M155" s="450" t="s">
        <v>197</v>
      </c>
      <c r="N155" s="450" t="s">
        <v>197</v>
      </c>
      <c r="O155" s="482" t="s">
        <v>739</v>
      </c>
      <c r="P155" s="482"/>
      <c r="Q155" s="482" t="s">
        <v>663</v>
      </c>
      <c r="R155" s="482" t="s">
        <v>662</v>
      </c>
      <c r="S155" s="482" t="s">
        <v>662</v>
      </c>
      <c r="T155" s="482" t="s">
        <v>663</v>
      </c>
      <c r="U155" s="482" t="s">
        <v>663</v>
      </c>
      <c r="V155" s="482"/>
      <c r="W155" s="482" t="s">
        <v>676</v>
      </c>
      <c r="X155" s="482" t="str">
        <f t="shared" si="13"/>
        <v>x530</v>
      </c>
      <c r="Y155" s="482" t="str">
        <f t="shared" si="14"/>
        <v>10G  uplink</v>
      </c>
      <c r="Z155" s="483"/>
    </row>
    <row r="156" spans="1:26" s="471" customFormat="1">
      <c r="A156" s="447">
        <v>151</v>
      </c>
      <c r="B156" s="447" t="s">
        <v>1032</v>
      </c>
      <c r="C156" s="447" t="s">
        <v>1033</v>
      </c>
      <c r="D156" s="447" t="s">
        <v>50</v>
      </c>
      <c r="E156" s="447" t="s">
        <v>1005</v>
      </c>
      <c r="F156" s="447" t="s">
        <v>688</v>
      </c>
      <c r="G156" s="447" t="s">
        <v>689</v>
      </c>
      <c r="H156" s="447"/>
      <c r="I156" s="448" t="s">
        <v>756</v>
      </c>
      <c r="J156" s="447" t="s">
        <v>1006</v>
      </c>
      <c r="K156" s="447"/>
      <c r="L156" s="449" t="s">
        <v>197</v>
      </c>
      <c r="M156" s="449" t="s">
        <v>197</v>
      </c>
      <c r="N156" s="449" t="s">
        <v>197</v>
      </c>
      <c r="O156" s="451" t="s">
        <v>661</v>
      </c>
      <c r="P156" s="451"/>
      <c r="Q156" s="447" t="s">
        <v>663</v>
      </c>
      <c r="R156" s="447" t="s">
        <v>662</v>
      </c>
      <c r="S156" s="447" t="s">
        <v>662</v>
      </c>
      <c r="T156" s="447" t="s">
        <v>663</v>
      </c>
      <c r="U156" s="447" t="s">
        <v>663</v>
      </c>
      <c r="V156" s="447"/>
      <c r="W156" s="447" t="s">
        <v>676</v>
      </c>
      <c r="X156" s="447" t="str">
        <f t="shared" si="13"/>
        <v>GS980MX</v>
      </c>
      <c r="Y156" s="447" t="str">
        <f t="shared" si="14"/>
        <v>10G  uplink</v>
      </c>
      <c r="Z156" s="457"/>
    </row>
    <row r="157" spans="1:26" s="471" customFormat="1">
      <c r="A157" s="447">
        <v>152</v>
      </c>
      <c r="B157" s="447" t="s">
        <v>1032</v>
      </c>
      <c r="C157" s="447" t="s">
        <v>1034</v>
      </c>
      <c r="D157" s="447" t="s">
        <v>50</v>
      </c>
      <c r="E157" s="447" t="s">
        <v>1005</v>
      </c>
      <c r="F157" s="447" t="s">
        <v>688</v>
      </c>
      <c r="G157" s="447" t="s">
        <v>689</v>
      </c>
      <c r="H157" s="447"/>
      <c r="I157" s="448" t="s">
        <v>756</v>
      </c>
      <c r="J157" s="447" t="s">
        <v>1006</v>
      </c>
      <c r="K157" s="447"/>
      <c r="L157" s="449" t="s">
        <v>197</v>
      </c>
      <c r="M157" s="449" t="s">
        <v>197</v>
      </c>
      <c r="N157" s="449" t="s">
        <v>197</v>
      </c>
      <c r="O157" s="451" t="s">
        <v>661</v>
      </c>
      <c r="P157" s="451"/>
      <c r="Q157" s="447" t="s">
        <v>663</v>
      </c>
      <c r="R157" s="447" t="s">
        <v>662</v>
      </c>
      <c r="S157" s="447" t="s">
        <v>662</v>
      </c>
      <c r="T157" s="447" t="s">
        <v>663</v>
      </c>
      <c r="U157" s="447" t="s">
        <v>663</v>
      </c>
      <c r="V157" s="447"/>
      <c r="W157" s="447" t="s">
        <v>676</v>
      </c>
      <c r="X157" s="447" t="str">
        <f t="shared" si="13"/>
        <v>GS980MX</v>
      </c>
      <c r="Y157" s="447" t="str">
        <f t="shared" si="14"/>
        <v>10G  uplink</v>
      </c>
      <c r="Z157" s="457"/>
    </row>
    <row r="158" spans="1:26" s="471" customFormat="1">
      <c r="A158" s="447">
        <v>153</v>
      </c>
      <c r="B158" s="447" t="s">
        <v>1032</v>
      </c>
      <c r="C158" s="447" t="s">
        <v>1035</v>
      </c>
      <c r="D158" s="447" t="s">
        <v>50</v>
      </c>
      <c r="E158" s="447" t="s">
        <v>1036</v>
      </c>
      <c r="F158" s="447" t="s">
        <v>688</v>
      </c>
      <c r="G158" s="447" t="s">
        <v>689</v>
      </c>
      <c r="H158" s="447"/>
      <c r="I158" s="448" t="s">
        <v>756</v>
      </c>
      <c r="J158" s="447" t="s">
        <v>1006</v>
      </c>
      <c r="K158" s="447"/>
      <c r="L158" s="449" t="s">
        <v>197</v>
      </c>
      <c r="M158" s="449" t="s">
        <v>197</v>
      </c>
      <c r="N158" s="449" t="s">
        <v>197</v>
      </c>
      <c r="O158" s="451" t="s">
        <v>661</v>
      </c>
      <c r="P158" s="451"/>
      <c r="Q158" s="447" t="s">
        <v>663</v>
      </c>
      <c r="R158" s="447" t="s">
        <v>662</v>
      </c>
      <c r="S158" s="447" t="s">
        <v>662</v>
      </c>
      <c r="T158" s="447" t="s">
        <v>663</v>
      </c>
      <c r="U158" s="447" t="s">
        <v>663</v>
      </c>
      <c r="V158" s="447"/>
      <c r="W158" s="447" t="s">
        <v>676</v>
      </c>
      <c r="X158" s="447" t="str">
        <f t="shared" si="13"/>
        <v>GS980MX</v>
      </c>
      <c r="Y158" s="447" t="str">
        <f t="shared" si="14"/>
        <v>10G  uplink</v>
      </c>
      <c r="Z158" s="457"/>
    </row>
    <row r="159" spans="1:26" s="471" customFormat="1">
      <c r="A159" s="447">
        <v>154</v>
      </c>
      <c r="B159" s="447" t="s">
        <v>1032</v>
      </c>
      <c r="C159" s="447" t="s">
        <v>1037</v>
      </c>
      <c r="D159" s="447" t="s">
        <v>50</v>
      </c>
      <c r="E159" s="447" t="s">
        <v>1036</v>
      </c>
      <c r="F159" s="447" t="s">
        <v>688</v>
      </c>
      <c r="G159" s="447" t="s">
        <v>689</v>
      </c>
      <c r="H159" s="447"/>
      <c r="I159" s="448" t="s">
        <v>756</v>
      </c>
      <c r="J159" s="447" t="s">
        <v>1006</v>
      </c>
      <c r="K159" s="447"/>
      <c r="L159" s="449" t="s">
        <v>197</v>
      </c>
      <c r="M159" s="449" t="s">
        <v>197</v>
      </c>
      <c r="N159" s="449" t="s">
        <v>197</v>
      </c>
      <c r="O159" s="451" t="s">
        <v>661</v>
      </c>
      <c r="P159" s="451"/>
      <c r="Q159" s="447" t="s">
        <v>663</v>
      </c>
      <c r="R159" s="447" t="s">
        <v>662</v>
      </c>
      <c r="S159" s="447" t="s">
        <v>662</v>
      </c>
      <c r="T159" s="447" t="s">
        <v>663</v>
      </c>
      <c r="U159" s="447" t="s">
        <v>663</v>
      </c>
      <c r="V159" s="447"/>
      <c r="W159" s="447" t="s">
        <v>676</v>
      </c>
      <c r="X159" s="447" t="str">
        <f t="shared" si="13"/>
        <v>GS980MX</v>
      </c>
      <c r="Y159" s="447" t="str">
        <f t="shared" si="14"/>
        <v>10G  uplink</v>
      </c>
      <c r="Z159" s="457"/>
    </row>
    <row r="160" spans="1:26" s="479" customFormat="1">
      <c r="A160" s="472">
        <v>155</v>
      </c>
      <c r="B160" s="472" t="s">
        <v>191</v>
      </c>
      <c r="C160" s="472" t="s">
        <v>1038</v>
      </c>
      <c r="D160" s="472" t="s">
        <v>191</v>
      </c>
      <c r="E160" s="472" t="s">
        <v>1039</v>
      </c>
      <c r="F160" s="472" t="s">
        <v>877</v>
      </c>
      <c r="G160" s="472" t="s">
        <v>689</v>
      </c>
      <c r="H160" s="472"/>
      <c r="I160" s="473" t="s">
        <v>756</v>
      </c>
      <c r="J160" s="472" t="s">
        <v>1040</v>
      </c>
      <c r="K160" s="472"/>
      <c r="L160" s="474" t="s">
        <v>1041</v>
      </c>
      <c r="M160" s="474" t="s">
        <v>859</v>
      </c>
      <c r="N160" s="474" t="s">
        <v>1042</v>
      </c>
      <c r="O160" s="475" t="s">
        <v>661</v>
      </c>
      <c r="P160" s="475"/>
      <c r="Q160" s="472" t="s">
        <v>663</v>
      </c>
      <c r="R160" s="472" t="s">
        <v>662</v>
      </c>
      <c r="S160" s="472" t="s">
        <v>662</v>
      </c>
      <c r="T160" s="472" t="s">
        <v>663</v>
      </c>
      <c r="U160" s="472" t="s">
        <v>663</v>
      </c>
      <c r="V160" s="472" t="str">
        <f>IF(F160="DC","DC","phy")</f>
        <v>phy</v>
      </c>
      <c r="W160" s="472"/>
      <c r="X160" s="472" t="str">
        <f t="shared" si="13"/>
        <v>x550</v>
      </c>
      <c r="Y160" s="472" t="str">
        <f t="shared" si="14"/>
        <v xml:space="preserve">10G phy </v>
      </c>
      <c r="Z160" s="478"/>
    </row>
    <row r="161" spans="1:26" s="479" customFormat="1">
      <c r="A161" s="472">
        <v>156</v>
      </c>
      <c r="B161" s="472" t="s">
        <v>191</v>
      </c>
      <c r="C161" s="472" t="s">
        <v>1038</v>
      </c>
      <c r="D161" s="472" t="s">
        <v>191</v>
      </c>
      <c r="E161" s="472" t="s">
        <v>1039</v>
      </c>
      <c r="F161" s="472" t="s">
        <v>688</v>
      </c>
      <c r="G161" s="472" t="s">
        <v>863</v>
      </c>
      <c r="H161" s="472"/>
      <c r="I161" s="473" t="s">
        <v>646</v>
      </c>
      <c r="J161" s="472" t="s">
        <v>1043</v>
      </c>
      <c r="K161" s="472"/>
      <c r="L161" s="474" t="s">
        <v>197</v>
      </c>
      <c r="M161" s="474" t="s">
        <v>197</v>
      </c>
      <c r="N161" s="474" t="s">
        <v>197</v>
      </c>
      <c r="O161" s="475" t="s">
        <v>661</v>
      </c>
      <c r="P161" s="475"/>
      <c r="Q161" s="472" t="s">
        <v>663</v>
      </c>
      <c r="R161" s="472" t="s">
        <v>663</v>
      </c>
      <c r="S161" s="472" t="s">
        <v>663</v>
      </c>
      <c r="T161" s="472" t="s">
        <v>662</v>
      </c>
      <c r="U161" s="472" t="s">
        <v>663</v>
      </c>
      <c r="V161" s="472"/>
      <c r="W161" s="472" t="s">
        <v>676</v>
      </c>
      <c r="X161" s="472" t="str">
        <f t="shared" si="13"/>
        <v>x550</v>
      </c>
      <c r="Y161" s="472" t="str">
        <f t="shared" si="14"/>
        <v>10G  uplink</v>
      </c>
      <c r="Z161" s="478"/>
    </row>
    <row r="162" spans="1:26" s="479" customFormat="1">
      <c r="A162" s="472">
        <v>157</v>
      </c>
      <c r="B162" s="472" t="s">
        <v>191</v>
      </c>
      <c r="C162" s="472" t="s">
        <v>1044</v>
      </c>
      <c r="D162" s="472" t="s">
        <v>191</v>
      </c>
      <c r="E162" s="472" t="s">
        <v>1039</v>
      </c>
      <c r="F162" s="472" t="s">
        <v>856</v>
      </c>
      <c r="G162" s="472" t="s">
        <v>689</v>
      </c>
      <c r="H162" s="472"/>
      <c r="I162" s="473" t="s">
        <v>756</v>
      </c>
      <c r="J162" s="472" t="s">
        <v>1045</v>
      </c>
      <c r="K162" s="472"/>
      <c r="L162" s="474" t="s">
        <v>1046</v>
      </c>
      <c r="M162" s="474" t="s">
        <v>674</v>
      </c>
      <c r="N162" s="474" t="s">
        <v>1047</v>
      </c>
      <c r="O162" s="475" t="s">
        <v>661</v>
      </c>
      <c r="P162" s="475"/>
      <c r="Q162" s="472" t="s">
        <v>663</v>
      </c>
      <c r="R162" s="472" t="s">
        <v>662</v>
      </c>
      <c r="S162" s="472" t="s">
        <v>662</v>
      </c>
      <c r="T162" s="472" t="s">
        <v>663</v>
      </c>
      <c r="U162" s="472" t="s">
        <v>663</v>
      </c>
      <c r="V162" s="472" t="str">
        <f>IF(F162="DC","DC","phy")</f>
        <v>phy</v>
      </c>
      <c r="W162" s="472"/>
      <c r="X162" s="472" t="str">
        <f t="shared" si="13"/>
        <v>x550</v>
      </c>
      <c r="Y162" s="472" t="str">
        <f t="shared" si="14"/>
        <v xml:space="preserve">10G phy </v>
      </c>
      <c r="Z162" s="478"/>
    </row>
    <row r="163" spans="1:26" s="479" customFormat="1">
      <c r="A163" s="472">
        <v>158</v>
      </c>
      <c r="B163" s="472" t="s">
        <v>191</v>
      </c>
      <c r="C163" s="472" t="s">
        <v>1044</v>
      </c>
      <c r="D163" s="472" t="s">
        <v>191</v>
      </c>
      <c r="E163" s="472" t="s">
        <v>1039</v>
      </c>
      <c r="F163" s="472" t="s">
        <v>688</v>
      </c>
      <c r="G163" s="472" t="s">
        <v>863</v>
      </c>
      <c r="H163" s="472"/>
      <c r="I163" s="473" t="s">
        <v>646</v>
      </c>
      <c r="J163" s="472" t="s">
        <v>1043</v>
      </c>
      <c r="K163" s="472"/>
      <c r="L163" s="474" t="s">
        <v>1046</v>
      </c>
      <c r="M163" s="474" t="s">
        <v>674</v>
      </c>
      <c r="N163" s="474" t="s">
        <v>1047</v>
      </c>
      <c r="O163" s="475" t="s">
        <v>661</v>
      </c>
      <c r="P163" s="475"/>
      <c r="Q163" s="472" t="s">
        <v>663</v>
      </c>
      <c r="R163" s="472" t="s">
        <v>663</v>
      </c>
      <c r="S163" s="472" t="s">
        <v>663</v>
      </c>
      <c r="T163" s="472" t="s">
        <v>662</v>
      </c>
      <c r="U163" s="472" t="s">
        <v>663</v>
      </c>
      <c r="V163" s="472"/>
      <c r="W163" s="472" t="s">
        <v>676</v>
      </c>
      <c r="X163" s="472" t="str">
        <f t="shared" si="13"/>
        <v>x550</v>
      </c>
      <c r="Y163" s="472" t="str">
        <f t="shared" si="14"/>
        <v>10G  uplink</v>
      </c>
      <c r="Z163" s="478"/>
    </row>
    <row r="164" spans="1:26" s="479" customFormat="1">
      <c r="A164" s="472">
        <v>159</v>
      </c>
      <c r="B164" s="472" t="s">
        <v>191</v>
      </c>
      <c r="C164" s="472" t="s">
        <v>1048</v>
      </c>
      <c r="D164" s="472" t="s">
        <v>191</v>
      </c>
      <c r="E164" s="472" t="s">
        <v>1039</v>
      </c>
      <c r="F164" s="472" t="s">
        <v>688</v>
      </c>
      <c r="G164" s="472" t="s">
        <v>689</v>
      </c>
      <c r="H164" s="472"/>
      <c r="I164" s="473" t="s">
        <v>756</v>
      </c>
      <c r="J164" s="472" t="s">
        <v>1049</v>
      </c>
      <c r="K164" s="472"/>
      <c r="L164" s="474" t="s">
        <v>1050</v>
      </c>
      <c r="M164" s="474" t="s">
        <v>674</v>
      </c>
      <c r="N164" s="474" t="s">
        <v>1051</v>
      </c>
      <c r="O164" s="475" t="s">
        <v>661</v>
      </c>
      <c r="P164" s="475"/>
      <c r="Q164" s="472" t="s">
        <v>663</v>
      </c>
      <c r="R164" s="472" t="s">
        <v>662</v>
      </c>
      <c r="S164" s="472" t="s">
        <v>662</v>
      </c>
      <c r="T164" s="472" t="s">
        <v>663</v>
      </c>
      <c r="U164" s="472" t="s">
        <v>663</v>
      </c>
      <c r="V164" s="472"/>
      <c r="W164" s="472"/>
      <c r="X164" s="472" t="str">
        <f t="shared" si="13"/>
        <v>x550</v>
      </c>
      <c r="Y164" s="472" t="str">
        <f t="shared" si="14"/>
        <v xml:space="preserve">10G  </v>
      </c>
      <c r="Z164" s="478"/>
    </row>
    <row r="165" spans="1:26" s="479" customFormat="1">
      <c r="A165" s="472">
        <v>160</v>
      </c>
      <c r="B165" s="472" t="s">
        <v>191</v>
      </c>
      <c r="C165" s="472" t="s">
        <v>1048</v>
      </c>
      <c r="D165" s="472" t="s">
        <v>191</v>
      </c>
      <c r="E165" s="472" t="s">
        <v>1039</v>
      </c>
      <c r="F165" s="472" t="s">
        <v>688</v>
      </c>
      <c r="G165" s="472" t="s">
        <v>863</v>
      </c>
      <c r="H165" s="472"/>
      <c r="I165" s="473" t="s">
        <v>646</v>
      </c>
      <c r="J165" s="472" t="s">
        <v>1043</v>
      </c>
      <c r="K165" s="472"/>
      <c r="L165" s="474" t="s">
        <v>1050</v>
      </c>
      <c r="M165" s="474" t="s">
        <v>674</v>
      </c>
      <c r="N165" s="474" t="s">
        <v>1051</v>
      </c>
      <c r="O165" s="475" t="s">
        <v>661</v>
      </c>
      <c r="P165" s="475"/>
      <c r="Q165" s="472" t="s">
        <v>663</v>
      </c>
      <c r="R165" s="472" t="s">
        <v>663</v>
      </c>
      <c r="S165" s="472" t="s">
        <v>663</v>
      </c>
      <c r="T165" s="472" t="s">
        <v>662</v>
      </c>
      <c r="U165" s="472" t="s">
        <v>663</v>
      </c>
      <c r="V165" s="472"/>
      <c r="W165" s="472" t="s">
        <v>676</v>
      </c>
      <c r="X165" s="472" t="str">
        <f t="shared" si="13"/>
        <v>x550</v>
      </c>
      <c r="Y165" s="472" t="str">
        <f t="shared" si="14"/>
        <v>10G  uplink</v>
      </c>
      <c r="Z165" s="478"/>
    </row>
    <row r="166" spans="1:26" s="479" customFormat="1">
      <c r="A166" s="472">
        <v>161</v>
      </c>
      <c r="B166" s="472" t="s">
        <v>191</v>
      </c>
      <c r="C166" s="472" t="s">
        <v>1052</v>
      </c>
      <c r="D166" s="472" t="s">
        <v>191</v>
      </c>
      <c r="E166" s="472" t="s">
        <v>1039</v>
      </c>
      <c r="F166" s="472" t="s">
        <v>688</v>
      </c>
      <c r="G166" s="472" t="s">
        <v>863</v>
      </c>
      <c r="H166" s="472"/>
      <c r="I166" s="473" t="s">
        <v>646</v>
      </c>
      <c r="J166" s="472" t="s">
        <v>1043</v>
      </c>
      <c r="K166" s="472"/>
      <c r="L166" s="474" t="s">
        <v>197</v>
      </c>
      <c r="M166" s="474" t="s">
        <v>197</v>
      </c>
      <c r="N166" s="474" t="s">
        <v>197</v>
      </c>
      <c r="O166" s="475" t="s">
        <v>661</v>
      </c>
      <c r="P166" s="475"/>
      <c r="Q166" s="472" t="s">
        <v>663</v>
      </c>
      <c r="R166" s="472" t="s">
        <v>663</v>
      </c>
      <c r="S166" s="472" t="s">
        <v>663</v>
      </c>
      <c r="T166" s="472" t="s">
        <v>662</v>
      </c>
      <c r="U166" s="472" t="s">
        <v>663</v>
      </c>
      <c r="V166" s="472"/>
      <c r="W166" s="472" t="s">
        <v>676</v>
      </c>
      <c r="X166" s="472" t="str">
        <f t="shared" si="13"/>
        <v>x550</v>
      </c>
      <c r="Y166" s="472" t="str">
        <f t="shared" si="14"/>
        <v>10G  uplink</v>
      </c>
      <c r="Z166" s="478"/>
    </row>
    <row r="167" spans="1:26" s="471" customFormat="1">
      <c r="A167" s="447">
        <v>162</v>
      </c>
      <c r="B167" s="447" t="s">
        <v>51</v>
      </c>
      <c r="C167" s="447" t="s">
        <v>1053</v>
      </c>
      <c r="D167" s="447" t="s">
        <v>51</v>
      </c>
      <c r="E167" s="447" t="s">
        <v>1054</v>
      </c>
      <c r="F167" s="447" t="s">
        <v>688</v>
      </c>
      <c r="G167" s="447" t="s">
        <v>689</v>
      </c>
      <c r="H167" s="447"/>
      <c r="I167" s="448" t="s">
        <v>756</v>
      </c>
      <c r="J167" s="447" t="s">
        <v>1055</v>
      </c>
      <c r="K167" s="447"/>
      <c r="L167" s="449" t="s">
        <v>197</v>
      </c>
      <c r="M167" s="449" t="s">
        <v>197</v>
      </c>
      <c r="N167" s="449" t="s">
        <v>197</v>
      </c>
      <c r="O167" s="451" t="s">
        <v>661</v>
      </c>
      <c r="P167" s="451"/>
      <c r="Q167" s="447" t="s">
        <v>663</v>
      </c>
      <c r="R167" s="447" t="s">
        <v>662</v>
      </c>
      <c r="S167" s="447" t="s">
        <v>662</v>
      </c>
      <c r="T167" s="447" t="s">
        <v>663</v>
      </c>
      <c r="U167" s="447" t="s">
        <v>663</v>
      </c>
      <c r="V167" s="447"/>
      <c r="W167" s="447" t="s">
        <v>676</v>
      </c>
      <c r="X167" s="447" t="str">
        <f t="shared" si="13"/>
        <v>x930</v>
      </c>
      <c r="Y167" s="447" t="str">
        <f t="shared" si="14"/>
        <v>10G  uplink</v>
      </c>
      <c r="Z167" s="457"/>
    </row>
    <row r="168" spans="1:26" s="471" customFormat="1">
      <c r="A168" s="447">
        <v>163</v>
      </c>
      <c r="B168" s="447" t="s">
        <v>51</v>
      </c>
      <c r="C168" s="447" t="s">
        <v>1056</v>
      </c>
      <c r="D168" s="447" t="s">
        <v>51</v>
      </c>
      <c r="E168" s="447" t="s">
        <v>1054</v>
      </c>
      <c r="F168" s="447" t="s">
        <v>688</v>
      </c>
      <c r="G168" s="447" t="s">
        <v>689</v>
      </c>
      <c r="H168" s="447"/>
      <c r="I168" s="448" t="s">
        <v>756</v>
      </c>
      <c r="J168" s="447" t="s">
        <v>1055</v>
      </c>
      <c r="K168" s="447"/>
      <c r="L168" s="449" t="s">
        <v>197</v>
      </c>
      <c r="M168" s="449" t="s">
        <v>197</v>
      </c>
      <c r="N168" s="449" t="s">
        <v>197</v>
      </c>
      <c r="O168" s="451" t="s">
        <v>661</v>
      </c>
      <c r="P168" s="451"/>
      <c r="Q168" s="447" t="s">
        <v>663</v>
      </c>
      <c r="R168" s="447" t="s">
        <v>662</v>
      </c>
      <c r="S168" s="447" t="s">
        <v>662</v>
      </c>
      <c r="T168" s="447" t="s">
        <v>663</v>
      </c>
      <c r="U168" s="447" t="s">
        <v>663</v>
      </c>
      <c r="V168" s="447"/>
      <c r="W168" s="447" t="s">
        <v>676</v>
      </c>
      <c r="X168" s="447" t="str">
        <f t="shared" si="13"/>
        <v>x930</v>
      </c>
      <c r="Y168" s="447" t="str">
        <f t="shared" si="14"/>
        <v>10G  uplink</v>
      </c>
      <c r="Z168" s="457"/>
    </row>
    <row r="169" spans="1:26" s="471" customFormat="1">
      <c r="A169" s="447">
        <v>164</v>
      </c>
      <c r="B169" s="447" t="s">
        <v>51</v>
      </c>
      <c r="C169" s="447" t="s">
        <v>1057</v>
      </c>
      <c r="D169" s="447" t="s">
        <v>51</v>
      </c>
      <c r="E169" s="447" t="s">
        <v>1058</v>
      </c>
      <c r="F169" s="447" t="s">
        <v>688</v>
      </c>
      <c r="G169" s="447" t="s">
        <v>689</v>
      </c>
      <c r="H169" s="447"/>
      <c r="I169" s="448" t="s">
        <v>756</v>
      </c>
      <c r="J169" s="447" t="s">
        <v>1055</v>
      </c>
      <c r="K169" s="447"/>
      <c r="L169" s="449" t="s">
        <v>197</v>
      </c>
      <c r="M169" s="449" t="s">
        <v>197</v>
      </c>
      <c r="N169" s="449" t="s">
        <v>197</v>
      </c>
      <c r="O169" s="451" t="s">
        <v>661</v>
      </c>
      <c r="P169" s="451"/>
      <c r="Q169" s="447" t="s">
        <v>663</v>
      </c>
      <c r="R169" s="447" t="s">
        <v>662</v>
      </c>
      <c r="S169" s="447" t="s">
        <v>662</v>
      </c>
      <c r="T169" s="447" t="s">
        <v>663</v>
      </c>
      <c r="U169" s="447" t="s">
        <v>663</v>
      </c>
      <c r="V169" s="447"/>
      <c r="W169" s="447" t="s">
        <v>676</v>
      </c>
      <c r="X169" s="447" t="str">
        <f t="shared" si="13"/>
        <v>x930</v>
      </c>
      <c r="Y169" s="447" t="str">
        <f t="shared" si="14"/>
        <v>10G  uplink</v>
      </c>
      <c r="Z169" s="457"/>
    </row>
    <row r="170" spans="1:26" s="471" customFormat="1">
      <c r="A170" s="447">
        <v>165</v>
      </c>
      <c r="B170" s="447" t="s">
        <v>51</v>
      </c>
      <c r="C170" s="447" t="s">
        <v>1059</v>
      </c>
      <c r="D170" s="447" t="s">
        <v>51</v>
      </c>
      <c r="E170" s="447" t="s">
        <v>1058</v>
      </c>
      <c r="F170" s="447" t="s">
        <v>688</v>
      </c>
      <c r="G170" s="447" t="s">
        <v>689</v>
      </c>
      <c r="H170" s="447"/>
      <c r="I170" s="448" t="s">
        <v>756</v>
      </c>
      <c r="J170" s="447" t="s">
        <v>1055</v>
      </c>
      <c r="K170" s="447"/>
      <c r="L170" s="449" t="s">
        <v>197</v>
      </c>
      <c r="M170" s="449" t="s">
        <v>197</v>
      </c>
      <c r="N170" s="449" t="s">
        <v>197</v>
      </c>
      <c r="O170" s="451" t="s">
        <v>661</v>
      </c>
      <c r="P170" s="451"/>
      <c r="Q170" s="447" t="s">
        <v>663</v>
      </c>
      <c r="R170" s="447" t="s">
        <v>662</v>
      </c>
      <c r="S170" s="447" t="s">
        <v>662</v>
      </c>
      <c r="T170" s="447" t="s">
        <v>663</v>
      </c>
      <c r="U170" s="447" t="s">
        <v>663</v>
      </c>
      <c r="V170" s="447"/>
      <c r="W170" s="447" t="s">
        <v>676</v>
      </c>
      <c r="X170" s="447" t="str">
        <f t="shared" si="13"/>
        <v>x930</v>
      </c>
      <c r="Y170" s="447" t="str">
        <f t="shared" si="14"/>
        <v>10G  uplink</v>
      </c>
      <c r="Z170" s="457"/>
    </row>
    <row r="171" spans="1:26" s="471" customFormat="1">
      <c r="A171" s="447">
        <v>166</v>
      </c>
      <c r="B171" s="447" t="s">
        <v>51</v>
      </c>
      <c r="C171" s="447" t="s">
        <v>1060</v>
      </c>
      <c r="D171" s="447" t="s">
        <v>51</v>
      </c>
      <c r="E171" s="447" t="s">
        <v>1054</v>
      </c>
      <c r="F171" s="447" t="s">
        <v>1061</v>
      </c>
      <c r="G171" s="447" t="s">
        <v>671</v>
      </c>
      <c r="H171" s="447"/>
      <c r="I171" s="448" t="s">
        <v>656</v>
      </c>
      <c r="J171" s="447" t="s">
        <v>1062</v>
      </c>
      <c r="K171" s="447"/>
      <c r="L171" s="449" t="s">
        <v>1063</v>
      </c>
      <c r="M171" s="449" t="s">
        <v>674</v>
      </c>
      <c r="N171" s="449" t="s">
        <v>1064</v>
      </c>
      <c r="O171" s="451" t="s">
        <v>661</v>
      </c>
      <c r="P171" s="451"/>
      <c r="Q171" s="447" t="s">
        <v>662</v>
      </c>
      <c r="R171" s="447" t="s">
        <v>662</v>
      </c>
      <c r="S171" s="447" t="s">
        <v>663</v>
      </c>
      <c r="T171" s="447" t="s">
        <v>663</v>
      </c>
      <c r="U171" s="447" t="s">
        <v>663</v>
      </c>
      <c r="V171" s="447" t="str">
        <f>IF(F171="DC","DC","phy")</f>
        <v>phy</v>
      </c>
      <c r="W171" s="447"/>
      <c r="X171" s="447" t="str">
        <f t="shared" si="13"/>
        <v>x930</v>
      </c>
      <c r="Y171" s="447" t="str">
        <f t="shared" si="14"/>
        <v xml:space="preserve">1G phy </v>
      </c>
      <c r="Z171" s="457"/>
    </row>
    <row r="172" spans="1:26" s="471" customFormat="1">
      <c r="A172" s="447">
        <v>167</v>
      </c>
      <c r="B172" s="447" t="s">
        <v>51</v>
      </c>
      <c r="C172" s="447" t="s">
        <v>1060</v>
      </c>
      <c r="D172" s="447" t="s">
        <v>51</v>
      </c>
      <c r="E172" s="447" t="s">
        <v>1054</v>
      </c>
      <c r="F172" s="447" t="s">
        <v>688</v>
      </c>
      <c r="G172" s="447" t="s">
        <v>689</v>
      </c>
      <c r="H172" s="447"/>
      <c r="I172" s="448" t="s">
        <v>756</v>
      </c>
      <c r="J172" s="447" t="s">
        <v>1055</v>
      </c>
      <c r="K172" s="447"/>
      <c r="L172" s="449" t="s">
        <v>1063</v>
      </c>
      <c r="M172" s="449" t="s">
        <v>674</v>
      </c>
      <c r="N172" s="449" t="s">
        <v>1064</v>
      </c>
      <c r="O172" s="451" t="s">
        <v>661</v>
      </c>
      <c r="P172" s="451"/>
      <c r="Q172" s="447" t="s">
        <v>663</v>
      </c>
      <c r="R172" s="447" t="s">
        <v>662</v>
      </c>
      <c r="S172" s="447" t="s">
        <v>662</v>
      </c>
      <c r="T172" s="447" t="s">
        <v>663</v>
      </c>
      <c r="U172" s="447" t="s">
        <v>663</v>
      </c>
      <c r="V172" s="447"/>
      <c r="W172" s="447" t="s">
        <v>676</v>
      </c>
      <c r="X172" s="447" t="str">
        <f t="shared" si="13"/>
        <v>x930</v>
      </c>
      <c r="Y172" s="447" t="str">
        <f t="shared" si="14"/>
        <v>10G  uplink</v>
      </c>
      <c r="Z172" s="457"/>
    </row>
    <row r="173" spans="1:26" s="471" customFormat="1">
      <c r="A173" s="447">
        <v>168</v>
      </c>
      <c r="B173" s="447" t="s">
        <v>51</v>
      </c>
      <c r="C173" s="447" t="s">
        <v>1065</v>
      </c>
      <c r="D173" s="447" t="s">
        <v>51</v>
      </c>
      <c r="E173" s="447" t="s">
        <v>197</v>
      </c>
      <c r="F173" s="447" t="s">
        <v>688</v>
      </c>
      <c r="G173" s="447" t="s">
        <v>863</v>
      </c>
      <c r="H173" s="447"/>
      <c r="I173" s="448" t="s">
        <v>646</v>
      </c>
      <c r="J173" s="447" t="s">
        <v>1066</v>
      </c>
      <c r="K173" s="447"/>
      <c r="L173" s="449" t="s">
        <v>1067</v>
      </c>
      <c r="M173" s="449" t="s">
        <v>674</v>
      </c>
      <c r="N173" s="449" t="s">
        <v>1068</v>
      </c>
      <c r="O173" s="451" t="s">
        <v>661</v>
      </c>
      <c r="P173" s="451"/>
      <c r="Q173" s="447" t="s">
        <v>663</v>
      </c>
      <c r="R173" s="447" t="s">
        <v>663</v>
      </c>
      <c r="S173" s="447" t="s">
        <v>663</v>
      </c>
      <c r="T173" s="447" t="s">
        <v>662</v>
      </c>
      <c r="U173" s="447" t="s">
        <v>663</v>
      </c>
      <c r="V173" s="447"/>
      <c r="W173" s="447" t="s">
        <v>676</v>
      </c>
      <c r="X173" s="447" t="str">
        <f t="shared" si="13"/>
        <v>x930</v>
      </c>
      <c r="Y173" s="447" t="str">
        <f t="shared" si="14"/>
        <v>10G  uplink</v>
      </c>
      <c r="Z173" s="457"/>
    </row>
    <row r="174" spans="1:26" s="471" customFormat="1">
      <c r="A174" s="447">
        <v>169</v>
      </c>
      <c r="B174" s="447" t="s">
        <v>51</v>
      </c>
      <c r="C174" s="447" t="s">
        <v>1069</v>
      </c>
      <c r="D174" s="447" t="s">
        <v>51</v>
      </c>
      <c r="E174" s="447" t="s">
        <v>197</v>
      </c>
      <c r="F174" s="447" t="s">
        <v>1070</v>
      </c>
      <c r="G174" s="447" t="s">
        <v>1071</v>
      </c>
      <c r="H174" s="447"/>
      <c r="I174" s="448" t="s">
        <v>645</v>
      </c>
      <c r="J174" s="447" t="s">
        <v>724</v>
      </c>
      <c r="K174" s="447"/>
      <c r="L174" s="449" t="s">
        <v>1072</v>
      </c>
      <c r="M174" s="449" t="s">
        <v>1072</v>
      </c>
      <c r="N174" s="449" t="s">
        <v>1072</v>
      </c>
      <c r="O174" s="451" t="s">
        <v>661</v>
      </c>
      <c r="P174" s="451"/>
      <c r="Q174" s="447" t="s">
        <v>663</v>
      </c>
      <c r="R174" s="447" t="s">
        <v>663</v>
      </c>
      <c r="S174" s="447" t="s">
        <v>662</v>
      </c>
      <c r="T174" s="447" t="s">
        <v>663</v>
      </c>
      <c r="U174" s="447" t="s">
        <v>663</v>
      </c>
      <c r="V174" s="447" t="str">
        <f t="shared" ref="V174:V181" si="15">IF(F174="DC","DC","phy")</f>
        <v>phy</v>
      </c>
      <c r="W174" s="447" t="s">
        <v>676</v>
      </c>
      <c r="X174" s="447" t="str">
        <f t="shared" si="13"/>
        <v>x930</v>
      </c>
      <c r="Y174" s="447" t="str">
        <f t="shared" si="14"/>
        <v>10G phy uplink</v>
      </c>
      <c r="Z174" s="457"/>
    </row>
    <row r="175" spans="1:26" s="479" customFormat="1">
      <c r="A175" s="472">
        <v>170</v>
      </c>
      <c r="B175" s="472" t="s">
        <v>192</v>
      </c>
      <c r="C175" s="472" t="s">
        <v>852</v>
      </c>
      <c r="D175" s="472" t="s">
        <v>848</v>
      </c>
      <c r="E175" s="472" t="s">
        <v>197</v>
      </c>
      <c r="F175" s="472" t="s">
        <v>853</v>
      </c>
      <c r="G175" s="472" t="s">
        <v>746</v>
      </c>
      <c r="H175" s="472"/>
      <c r="I175" s="473" t="s">
        <v>724</v>
      </c>
      <c r="J175" s="472" t="s">
        <v>724</v>
      </c>
      <c r="K175" s="472"/>
      <c r="L175" s="466" t="s">
        <v>197</v>
      </c>
      <c r="M175" s="466" t="s">
        <v>197</v>
      </c>
      <c r="N175" s="466" t="s">
        <v>197</v>
      </c>
      <c r="O175" s="475" t="s">
        <v>661</v>
      </c>
      <c r="P175" s="476"/>
      <c r="Q175" s="477" t="s">
        <v>663</v>
      </c>
      <c r="R175" s="478" t="s">
        <v>663</v>
      </c>
      <c r="S175" s="478" t="s">
        <v>663</v>
      </c>
      <c r="T175" s="478" t="s">
        <v>663</v>
      </c>
      <c r="U175" s="478" t="s">
        <v>663</v>
      </c>
      <c r="V175" s="478" t="str">
        <f t="shared" si="15"/>
        <v>phy</v>
      </c>
      <c r="W175" s="478"/>
      <c r="X175" s="478" t="str">
        <f t="shared" si="13"/>
        <v>x950</v>
      </c>
      <c r="Y175" s="478" t="str">
        <f t="shared" si="14"/>
        <v xml:space="preserve">0 phy </v>
      </c>
      <c r="Z175" s="478"/>
    </row>
    <row r="176" spans="1:26" s="479" customFormat="1">
      <c r="A176" s="472">
        <v>171</v>
      </c>
      <c r="B176" s="472" t="s">
        <v>192</v>
      </c>
      <c r="C176" s="472" t="s">
        <v>855</v>
      </c>
      <c r="D176" s="472" t="s">
        <v>848</v>
      </c>
      <c r="E176" s="472" t="s">
        <v>197</v>
      </c>
      <c r="F176" s="472" t="s">
        <v>856</v>
      </c>
      <c r="G176" s="472" t="s">
        <v>740</v>
      </c>
      <c r="H176" s="472"/>
      <c r="I176" s="473" t="s">
        <v>756</v>
      </c>
      <c r="J176" s="472" t="s">
        <v>857</v>
      </c>
      <c r="K176" s="472"/>
      <c r="L176" s="466" t="s">
        <v>858</v>
      </c>
      <c r="M176" s="466" t="s">
        <v>859</v>
      </c>
      <c r="N176" s="466" t="s">
        <v>860</v>
      </c>
      <c r="O176" s="475" t="s">
        <v>661</v>
      </c>
      <c r="P176" s="476"/>
      <c r="Q176" s="477" t="s">
        <v>663</v>
      </c>
      <c r="R176" s="478" t="s">
        <v>662</v>
      </c>
      <c r="S176" s="478" t="s">
        <v>662</v>
      </c>
      <c r="T176" s="478" t="s">
        <v>663</v>
      </c>
      <c r="U176" s="478" t="s">
        <v>663</v>
      </c>
      <c r="V176" s="478" t="str">
        <f t="shared" si="15"/>
        <v>phy</v>
      </c>
      <c r="W176" s="478"/>
      <c r="X176" s="478" t="str">
        <f t="shared" si="13"/>
        <v>x950</v>
      </c>
      <c r="Y176" s="478" t="str">
        <f t="shared" si="14"/>
        <v xml:space="preserve">10G phy </v>
      </c>
      <c r="Z176" s="478"/>
    </row>
    <row r="177" spans="1:26" s="479" customFormat="1">
      <c r="A177" s="472">
        <v>172</v>
      </c>
      <c r="B177" s="472" t="s">
        <v>192</v>
      </c>
      <c r="C177" s="472" t="s">
        <v>861</v>
      </c>
      <c r="D177" s="472" t="s">
        <v>848</v>
      </c>
      <c r="E177" s="472" t="s">
        <v>197</v>
      </c>
      <c r="F177" s="472" t="s">
        <v>862</v>
      </c>
      <c r="G177" s="472" t="s">
        <v>863</v>
      </c>
      <c r="H177" s="472"/>
      <c r="I177" s="473" t="s">
        <v>646</v>
      </c>
      <c r="J177" s="472" t="s">
        <v>864</v>
      </c>
      <c r="K177" s="472"/>
      <c r="L177" s="466" t="s">
        <v>866</v>
      </c>
      <c r="M177" s="466" t="s">
        <v>674</v>
      </c>
      <c r="N177" s="466" t="s">
        <v>867</v>
      </c>
      <c r="O177" s="475" t="s">
        <v>661</v>
      </c>
      <c r="P177" s="475"/>
      <c r="Q177" s="472" t="s">
        <v>663</v>
      </c>
      <c r="R177" s="478" t="s">
        <v>663</v>
      </c>
      <c r="S177" s="478" t="s">
        <v>663</v>
      </c>
      <c r="T177" s="478" t="s">
        <v>662</v>
      </c>
      <c r="U177" s="478" t="s">
        <v>663</v>
      </c>
      <c r="V177" s="478" t="str">
        <f t="shared" si="15"/>
        <v>phy</v>
      </c>
      <c r="W177" s="478"/>
      <c r="X177" s="478" t="str">
        <f t="shared" si="13"/>
        <v>x950</v>
      </c>
      <c r="Y177" s="478" t="str">
        <f t="shared" si="14"/>
        <v xml:space="preserve">10G phy </v>
      </c>
      <c r="Z177" s="478"/>
    </row>
    <row r="178" spans="1:26" s="479" customFormat="1">
      <c r="A178" s="472">
        <v>173</v>
      </c>
      <c r="B178" s="472" t="s">
        <v>192</v>
      </c>
      <c r="C178" s="472" t="s">
        <v>868</v>
      </c>
      <c r="D178" s="472" t="s">
        <v>848</v>
      </c>
      <c r="E178" s="472" t="s">
        <v>197</v>
      </c>
      <c r="F178" s="472" t="s">
        <v>869</v>
      </c>
      <c r="G178" s="472" t="s">
        <v>870</v>
      </c>
      <c r="H178" s="472" t="s">
        <v>871</v>
      </c>
      <c r="I178" s="473" t="s">
        <v>647</v>
      </c>
      <c r="J178" s="472" t="s">
        <v>872</v>
      </c>
      <c r="K178" s="472"/>
      <c r="L178" s="466" t="s">
        <v>874</v>
      </c>
      <c r="M178" s="466" t="s">
        <v>674</v>
      </c>
      <c r="N178" s="466" t="s">
        <v>875</v>
      </c>
      <c r="O178" s="475" t="s">
        <v>661</v>
      </c>
      <c r="P178" s="475"/>
      <c r="Q178" s="472" t="s">
        <v>663</v>
      </c>
      <c r="R178" s="478" t="s">
        <v>663</v>
      </c>
      <c r="S178" s="478" t="s">
        <v>663</v>
      </c>
      <c r="T178" s="478" t="s">
        <v>663</v>
      </c>
      <c r="U178" s="478" t="s">
        <v>662</v>
      </c>
      <c r="V178" s="478" t="str">
        <f t="shared" si="15"/>
        <v>phy</v>
      </c>
      <c r="W178" s="478"/>
      <c r="X178" s="478" t="str">
        <f t="shared" si="13"/>
        <v>x950</v>
      </c>
      <c r="Y178" s="478" t="str">
        <f t="shared" si="14"/>
        <v xml:space="preserve">100G phy </v>
      </c>
      <c r="Z178" s="478"/>
    </row>
    <row r="179" spans="1:26" s="479" customFormat="1">
      <c r="A179" s="472">
        <v>174</v>
      </c>
      <c r="B179" s="472" t="s">
        <v>192</v>
      </c>
      <c r="C179" s="472" t="s">
        <v>876</v>
      </c>
      <c r="D179" s="472" t="s">
        <v>848</v>
      </c>
      <c r="E179" s="472" t="s">
        <v>197</v>
      </c>
      <c r="F179" s="472" t="s">
        <v>877</v>
      </c>
      <c r="G179" s="472" t="s">
        <v>878</v>
      </c>
      <c r="H179" s="472"/>
      <c r="I179" s="473" t="s">
        <v>756</v>
      </c>
      <c r="J179" s="472" t="s">
        <v>879</v>
      </c>
      <c r="K179" s="472"/>
      <c r="L179" s="466" t="s">
        <v>880</v>
      </c>
      <c r="M179" s="466" t="s">
        <v>734</v>
      </c>
      <c r="N179" s="466" t="s">
        <v>881</v>
      </c>
      <c r="O179" s="475" t="s">
        <v>661</v>
      </c>
      <c r="P179" s="475"/>
      <c r="Q179" s="472" t="s">
        <v>663</v>
      </c>
      <c r="R179" s="478" t="s">
        <v>662</v>
      </c>
      <c r="S179" s="478" t="s">
        <v>662</v>
      </c>
      <c r="T179" s="478" t="s">
        <v>663</v>
      </c>
      <c r="U179" s="478" t="s">
        <v>663</v>
      </c>
      <c r="V179" s="478" t="str">
        <f t="shared" si="15"/>
        <v>phy</v>
      </c>
      <c r="W179" s="478"/>
      <c r="X179" s="478" t="str">
        <f t="shared" si="13"/>
        <v>x950</v>
      </c>
      <c r="Y179" s="478" t="str">
        <f t="shared" si="14"/>
        <v xml:space="preserve">10G phy </v>
      </c>
      <c r="Z179" s="478"/>
    </row>
    <row r="180" spans="1:26" s="479" customFormat="1">
      <c r="A180" s="472">
        <v>175</v>
      </c>
      <c r="B180" s="472" t="s">
        <v>192</v>
      </c>
      <c r="C180" s="472" t="s">
        <v>882</v>
      </c>
      <c r="D180" s="472" t="s">
        <v>848</v>
      </c>
      <c r="E180" s="472" t="s">
        <v>197</v>
      </c>
      <c r="F180" s="472" t="s">
        <v>877</v>
      </c>
      <c r="G180" s="472" t="s">
        <v>878</v>
      </c>
      <c r="H180" s="472"/>
      <c r="I180" s="473" t="s">
        <v>756</v>
      </c>
      <c r="J180" s="472" t="s">
        <v>879</v>
      </c>
      <c r="K180" s="472"/>
      <c r="L180" s="466" t="str">
        <f>C180</f>
        <v>XEM2-8XSTm</v>
      </c>
      <c r="M180" s="466" t="s">
        <v>734</v>
      </c>
      <c r="N180" s="466" t="s">
        <v>884</v>
      </c>
      <c r="O180" s="475" t="s">
        <v>661</v>
      </c>
      <c r="P180" s="475"/>
      <c r="Q180" s="472" t="s">
        <v>663</v>
      </c>
      <c r="R180" s="478" t="s">
        <v>662</v>
      </c>
      <c r="S180" s="478" t="s">
        <v>662</v>
      </c>
      <c r="T180" s="478" t="s">
        <v>663</v>
      </c>
      <c r="U180" s="478" t="s">
        <v>663</v>
      </c>
      <c r="V180" s="478" t="str">
        <f t="shared" si="15"/>
        <v>phy</v>
      </c>
      <c r="W180" s="478"/>
      <c r="X180" s="478" t="str">
        <f t="shared" si="13"/>
        <v>x950</v>
      </c>
      <c r="Y180" s="478" t="str">
        <f t="shared" si="14"/>
        <v xml:space="preserve">10G phy </v>
      </c>
      <c r="Z180" s="478"/>
    </row>
    <row r="181" spans="1:26" s="479" customFormat="1">
      <c r="A181" s="472">
        <v>176</v>
      </c>
      <c r="B181" s="472" t="s">
        <v>192</v>
      </c>
      <c r="C181" s="472" t="s">
        <v>1073</v>
      </c>
      <c r="D181" s="472" t="s">
        <v>848</v>
      </c>
      <c r="E181" s="472" t="s">
        <v>1074</v>
      </c>
      <c r="F181" s="472" t="s">
        <v>1075</v>
      </c>
      <c r="G181" s="472" t="s">
        <v>870</v>
      </c>
      <c r="H181" s="472" t="s">
        <v>1076</v>
      </c>
      <c r="I181" s="473" t="s">
        <v>1077</v>
      </c>
      <c r="J181" s="472" t="s">
        <v>1078</v>
      </c>
      <c r="K181" s="472"/>
      <c r="L181" s="466" t="s">
        <v>1079</v>
      </c>
      <c r="M181" s="466" t="s">
        <v>674</v>
      </c>
      <c r="N181" s="466" t="s">
        <v>1080</v>
      </c>
      <c r="O181" s="475" t="s">
        <v>661</v>
      </c>
      <c r="P181" s="475"/>
      <c r="Q181" s="472" t="s">
        <v>663</v>
      </c>
      <c r="R181" s="478" t="s">
        <v>663</v>
      </c>
      <c r="S181" s="478" t="s">
        <v>663</v>
      </c>
      <c r="T181" s="478" t="s">
        <v>662</v>
      </c>
      <c r="U181" s="478" t="s">
        <v>662</v>
      </c>
      <c r="V181" s="478" t="str">
        <f t="shared" si="15"/>
        <v>phy</v>
      </c>
      <c r="W181" s="478" t="s">
        <v>676</v>
      </c>
      <c r="X181" s="478" t="str">
        <f t="shared" si="13"/>
        <v>x950</v>
      </c>
      <c r="Y181" s="478" t="str">
        <f t="shared" si="14"/>
        <v>100G phy uplink</v>
      </c>
      <c r="Z181" s="478"/>
    </row>
    <row r="182" spans="1:26" s="479" customFormat="1">
      <c r="A182" s="472">
        <v>177</v>
      </c>
      <c r="B182" s="472" t="s">
        <v>192</v>
      </c>
      <c r="C182" s="472" t="s">
        <v>1073</v>
      </c>
      <c r="D182" s="472" t="s">
        <v>848</v>
      </c>
      <c r="E182" s="472" t="s">
        <v>1074</v>
      </c>
      <c r="F182" s="472" t="s">
        <v>688</v>
      </c>
      <c r="G182" s="472" t="s">
        <v>689</v>
      </c>
      <c r="H182" s="472"/>
      <c r="I182" s="473" t="s">
        <v>756</v>
      </c>
      <c r="J182" s="472" t="s">
        <v>1081</v>
      </c>
      <c r="K182" s="472"/>
      <c r="L182" s="466" t="s">
        <v>1079</v>
      </c>
      <c r="M182" s="466" t="s">
        <v>674</v>
      </c>
      <c r="N182" s="466" t="s">
        <v>1080</v>
      </c>
      <c r="O182" s="475" t="s">
        <v>661</v>
      </c>
      <c r="P182" s="475"/>
      <c r="Q182" s="472" t="s">
        <v>663</v>
      </c>
      <c r="R182" s="478" t="s">
        <v>662</v>
      </c>
      <c r="S182" s="478" t="s">
        <v>662</v>
      </c>
      <c r="T182" s="478" t="s">
        <v>663</v>
      </c>
      <c r="U182" s="478" t="s">
        <v>663</v>
      </c>
      <c r="V182" s="478"/>
      <c r="W182" s="478"/>
      <c r="X182" s="478" t="str">
        <f t="shared" ref="X182:X213" si="16">B182</f>
        <v>x950</v>
      </c>
      <c r="Y182" s="478" t="str">
        <f t="shared" ref="Y182:Y213" si="17">IF(U182="y","100G",IF(T182="y","10G",IF(S182="y","10G",IF(R182="y","1G",IF(Q182="y","100M",0)))))&amp;" "&amp;V182&amp;" "&amp;W182</f>
        <v xml:space="preserve">10G  </v>
      </c>
      <c r="Z182" s="478"/>
    </row>
    <row r="183" spans="1:26" s="479" customFormat="1">
      <c r="A183" s="472">
        <v>178</v>
      </c>
      <c r="B183" s="472" t="s">
        <v>192</v>
      </c>
      <c r="C183" s="472" t="s">
        <v>1082</v>
      </c>
      <c r="D183" s="472" t="s">
        <v>848</v>
      </c>
      <c r="E183" s="472" t="s">
        <v>1074</v>
      </c>
      <c r="F183" s="472" t="s">
        <v>1075</v>
      </c>
      <c r="G183" s="472" t="s">
        <v>870</v>
      </c>
      <c r="H183" s="472" t="s">
        <v>1076</v>
      </c>
      <c r="I183" s="473" t="s">
        <v>1077</v>
      </c>
      <c r="J183" s="472" t="s">
        <v>1078</v>
      </c>
      <c r="K183" s="472"/>
      <c r="L183" s="466" t="s">
        <v>1079</v>
      </c>
      <c r="M183" s="466" t="s">
        <v>674</v>
      </c>
      <c r="N183" s="466" t="s">
        <v>1080</v>
      </c>
      <c r="O183" s="475" t="s">
        <v>661</v>
      </c>
      <c r="P183" s="476"/>
      <c r="Q183" s="477" t="s">
        <v>663</v>
      </c>
      <c r="R183" s="478" t="s">
        <v>663</v>
      </c>
      <c r="S183" s="478" t="s">
        <v>663</v>
      </c>
      <c r="T183" s="478" t="s">
        <v>662</v>
      </c>
      <c r="U183" s="478" t="s">
        <v>662</v>
      </c>
      <c r="V183" s="478" t="str">
        <f>IF(F183="DC","DC","phy")</f>
        <v>phy</v>
      </c>
      <c r="W183" s="478" t="s">
        <v>676</v>
      </c>
      <c r="X183" s="478" t="str">
        <f t="shared" si="16"/>
        <v>x950</v>
      </c>
      <c r="Y183" s="478" t="str">
        <f t="shared" si="17"/>
        <v>100G phy uplink</v>
      </c>
      <c r="Z183" s="478"/>
    </row>
    <row r="184" spans="1:26" s="479" customFormat="1">
      <c r="A184" s="472">
        <v>179</v>
      </c>
      <c r="B184" s="472" t="s">
        <v>192</v>
      </c>
      <c r="C184" s="472" t="s">
        <v>1083</v>
      </c>
      <c r="D184" s="472" t="s">
        <v>848</v>
      </c>
      <c r="E184" s="472" t="s">
        <v>1074</v>
      </c>
      <c r="F184" s="472" t="s">
        <v>1075</v>
      </c>
      <c r="G184" s="472" t="s">
        <v>870</v>
      </c>
      <c r="H184" s="472"/>
      <c r="I184" s="473" t="s">
        <v>1077</v>
      </c>
      <c r="J184" s="472" t="s">
        <v>1078</v>
      </c>
      <c r="K184" s="472"/>
      <c r="L184" s="466" t="s">
        <v>1079</v>
      </c>
      <c r="M184" s="466" t="s">
        <v>674</v>
      </c>
      <c r="N184" s="466" t="s">
        <v>1080</v>
      </c>
      <c r="O184" s="475" t="s">
        <v>661</v>
      </c>
      <c r="P184" s="476"/>
      <c r="Q184" s="477" t="s">
        <v>663</v>
      </c>
      <c r="R184" s="478" t="s">
        <v>663</v>
      </c>
      <c r="S184" s="478" t="s">
        <v>663</v>
      </c>
      <c r="T184" s="478" t="s">
        <v>662</v>
      </c>
      <c r="U184" s="478" t="s">
        <v>662</v>
      </c>
      <c r="V184" s="478" t="str">
        <f>IF(F184="DC","DC","phy")</f>
        <v>phy</v>
      </c>
      <c r="W184" s="478" t="s">
        <v>676</v>
      </c>
      <c r="X184" s="478" t="str">
        <f t="shared" si="16"/>
        <v>x950</v>
      </c>
      <c r="Y184" s="478" t="str">
        <f t="shared" si="17"/>
        <v>100G phy uplink</v>
      </c>
      <c r="Z184" s="478"/>
    </row>
    <row r="185" spans="1:26" s="479" customFormat="1">
      <c r="A185" s="472">
        <v>180</v>
      </c>
      <c r="B185" s="472" t="s">
        <v>192</v>
      </c>
      <c r="C185" s="472" t="s">
        <v>1083</v>
      </c>
      <c r="D185" s="472" t="s">
        <v>848</v>
      </c>
      <c r="E185" s="472" t="s">
        <v>1074</v>
      </c>
      <c r="F185" s="472" t="s">
        <v>688</v>
      </c>
      <c r="G185" s="472" t="s">
        <v>689</v>
      </c>
      <c r="H185" s="472"/>
      <c r="I185" s="473" t="s">
        <v>756</v>
      </c>
      <c r="J185" s="472" t="s">
        <v>1081</v>
      </c>
      <c r="K185" s="472"/>
      <c r="L185" s="474" t="s">
        <v>1079</v>
      </c>
      <c r="M185" s="474" t="s">
        <v>674</v>
      </c>
      <c r="N185" s="474" t="s">
        <v>1080</v>
      </c>
      <c r="O185" s="475" t="s">
        <v>661</v>
      </c>
      <c r="P185" s="476"/>
      <c r="Q185" s="477" t="s">
        <v>663</v>
      </c>
      <c r="R185" s="478" t="s">
        <v>662</v>
      </c>
      <c r="S185" s="478" t="s">
        <v>662</v>
      </c>
      <c r="T185" s="478" t="s">
        <v>663</v>
      </c>
      <c r="U185" s="478" t="s">
        <v>663</v>
      </c>
      <c r="V185" s="478" t="str">
        <f>IF(F185="DC","DC","phy")</f>
        <v>DC</v>
      </c>
      <c r="W185" s="478"/>
      <c r="X185" s="478" t="str">
        <f t="shared" si="16"/>
        <v>x950</v>
      </c>
      <c r="Y185" s="478" t="str">
        <f t="shared" si="17"/>
        <v xml:space="preserve">10G DC </v>
      </c>
      <c r="Z185" s="478"/>
    </row>
    <row r="186" spans="1:26" s="471" customFormat="1">
      <c r="A186" s="447">
        <v>181</v>
      </c>
      <c r="B186" s="447" t="s">
        <v>187</v>
      </c>
      <c r="C186" s="447" t="s">
        <v>1084</v>
      </c>
      <c r="D186" s="447" t="s">
        <v>227</v>
      </c>
      <c r="E186" s="447" t="s">
        <v>1085</v>
      </c>
      <c r="F186" s="447" t="s">
        <v>688</v>
      </c>
      <c r="G186" s="447" t="s">
        <v>689</v>
      </c>
      <c r="H186" s="447"/>
      <c r="I186" s="448" t="s">
        <v>645</v>
      </c>
      <c r="J186" s="447" t="s">
        <v>1086</v>
      </c>
      <c r="K186" s="447"/>
      <c r="L186" s="449" t="s">
        <v>1084</v>
      </c>
      <c r="M186" s="449" t="s">
        <v>829</v>
      </c>
      <c r="N186" s="449" t="s">
        <v>1087</v>
      </c>
      <c r="O186" s="451" t="s">
        <v>661</v>
      </c>
      <c r="P186" s="451"/>
      <c r="Q186" s="447" t="s">
        <v>663</v>
      </c>
      <c r="R186" s="447" t="s">
        <v>663</v>
      </c>
      <c r="S186" s="447" t="s">
        <v>662</v>
      </c>
      <c r="T186" s="447" t="s">
        <v>663</v>
      </c>
      <c r="U186" s="447" t="s">
        <v>663</v>
      </c>
      <c r="V186" s="447"/>
      <c r="W186" s="447"/>
      <c r="X186" s="447" t="str">
        <f t="shared" si="16"/>
        <v>XS900MX</v>
      </c>
      <c r="Y186" s="447" t="str">
        <f t="shared" si="17"/>
        <v xml:space="preserve">10G  </v>
      </c>
      <c r="Z186" s="457"/>
    </row>
    <row r="187" spans="1:26" s="471" customFormat="1">
      <c r="A187" s="447">
        <v>182</v>
      </c>
      <c r="B187" s="447" t="s">
        <v>187</v>
      </c>
      <c r="C187" s="447" t="s">
        <v>1088</v>
      </c>
      <c r="D187" s="447" t="s">
        <v>227</v>
      </c>
      <c r="E187" s="447" t="s">
        <v>1085</v>
      </c>
      <c r="F187" s="447" t="s">
        <v>688</v>
      </c>
      <c r="G187" s="447" t="s">
        <v>689</v>
      </c>
      <c r="H187" s="447"/>
      <c r="I187" s="448" t="s">
        <v>645</v>
      </c>
      <c r="J187" s="447" t="s">
        <v>1086</v>
      </c>
      <c r="K187" s="447"/>
      <c r="L187" s="449" t="s">
        <v>1084</v>
      </c>
      <c r="M187" s="449" t="s">
        <v>829</v>
      </c>
      <c r="N187" s="449" t="s">
        <v>1087</v>
      </c>
      <c r="O187" s="451" t="s">
        <v>661</v>
      </c>
      <c r="P187" s="451"/>
      <c r="Q187" s="447" t="s">
        <v>663</v>
      </c>
      <c r="R187" s="447" t="s">
        <v>663</v>
      </c>
      <c r="S187" s="447" t="s">
        <v>662</v>
      </c>
      <c r="T187" s="447" t="s">
        <v>663</v>
      </c>
      <c r="U187" s="447" t="s">
        <v>663</v>
      </c>
      <c r="V187" s="447"/>
      <c r="W187" s="447"/>
      <c r="X187" s="447" t="str">
        <f t="shared" si="16"/>
        <v>XS900MX</v>
      </c>
      <c r="Y187" s="447" t="str">
        <f t="shared" si="17"/>
        <v xml:space="preserve">10G  </v>
      </c>
      <c r="Z187" s="457"/>
    </row>
    <row r="188" spans="1:26" s="471" customFormat="1">
      <c r="A188" s="447">
        <v>183</v>
      </c>
      <c r="B188" s="447" t="s">
        <v>187</v>
      </c>
      <c r="C188" s="447" t="s">
        <v>1089</v>
      </c>
      <c r="D188" s="447" t="s">
        <v>227</v>
      </c>
      <c r="E188" s="447" t="s">
        <v>1085</v>
      </c>
      <c r="F188" s="447" t="s">
        <v>688</v>
      </c>
      <c r="G188" s="447" t="s">
        <v>689</v>
      </c>
      <c r="H188" s="447"/>
      <c r="I188" s="448" t="s">
        <v>645</v>
      </c>
      <c r="J188" s="447" t="s">
        <v>1086</v>
      </c>
      <c r="K188" s="447"/>
      <c r="L188" s="449" t="s">
        <v>1084</v>
      </c>
      <c r="M188" s="449" t="s">
        <v>829</v>
      </c>
      <c r="N188" s="449" t="s">
        <v>1087</v>
      </c>
      <c r="O188" s="451" t="s">
        <v>661</v>
      </c>
      <c r="P188" s="451"/>
      <c r="Q188" s="447" t="s">
        <v>663</v>
      </c>
      <c r="R188" s="447" t="s">
        <v>663</v>
      </c>
      <c r="S188" s="447" t="s">
        <v>662</v>
      </c>
      <c r="T188" s="447" t="s">
        <v>663</v>
      </c>
      <c r="U188" s="447" t="s">
        <v>663</v>
      </c>
      <c r="V188" s="447"/>
      <c r="W188" s="447"/>
      <c r="X188" s="447" t="str">
        <f t="shared" si="16"/>
        <v>XS900MX</v>
      </c>
      <c r="Y188" s="447" t="str">
        <f t="shared" si="17"/>
        <v xml:space="preserve">10G  </v>
      </c>
      <c r="Z188" s="457"/>
    </row>
    <row r="189" spans="1:26" s="479" customFormat="1">
      <c r="A189" s="472">
        <v>184</v>
      </c>
      <c r="B189" s="472" t="s">
        <v>186</v>
      </c>
      <c r="C189" s="472" t="s">
        <v>1090</v>
      </c>
      <c r="D189" s="472" t="s">
        <v>1091</v>
      </c>
      <c r="E189" s="472" t="s">
        <v>1092</v>
      </c>
      <c r="F189" s="472" t="s">
        <v>1093</v>
      </c>
      <c r="G189" s="472" t="s">
        <v>746</v>
      </c>
      <c r="H189" s="472"/>
      <c r="I189" s="473" t="s">
        <v>724</v>
      </c>
      <c r="J189" s="472" t="s">
        <v>724</v>
      </c>
      <c r="K189" s="472"/>
      <c r="L189" s="474" t="s">
        <v>197</v>
      </c>
      <c r="M189" s="474" t="s">
        <v>197</v>
      </c>
      <c r="N189" s="474" t="s">
        <v>197</v>
      </c>
      <c r="O189" s="475" t="s">
        <v>661</v>
      </c>
      <c r="P189" s="476"/>
      <c r="Q189" s="477" t="s">
        <v>663</v>
      </c>
      <c r="R189" s="478" t="s">
        <v>663</v>
      </c>
      <c r="S189" s="478" t="s">
        <v>663</v>
      </c>
      <c r="T189" s="478" t="s">
        <v>663</v>
      </c>
      <c r="U189" s="478" t="s">
        <v>663</v>
      </c>
      <c r="V189" s="478" t="str">
        <f>IF(F189="DC","DC","phy")</f>
        <v>phy</v>
      </c>
      <c r="W189" s="478"/>
      <c r="X189" s="478" t="str">
        <f t="shared" si="16"/>
        <v>AW+ Router</v>
      </c>
      <c r="Y189" s="478" t="str">
        <f t="shared" si="17"/>
        <v xml:space="preserve">0 phy </v>
      </c>
      <c r="Z189" s="478"/>
    </row>
    <row r="190" spans="1:26" s="479" customFormat="1">
      <c r="A190" s="472">
        <v>185</v>
      </c>
      <c r="B190" s="472" t="s">
        <v>186</v>
      </c>
      <c r="C190" s="472" t="s">
        <v>1094</v>
      </c>
      <c r="D190" s="472" t="s">
        <v>1095</v>
      </c>
      <c r="E190" s="472" t="s">
        <v>1096</v>
      </c>
      <c r="F190" s="472" t="s">
        <v>688</v>
      </c>
      <c r="G190" s="472" t="s">
        <v>746</v>
      </c>
      <c r="H190" s="472"/>
      <c r="I190" s="473" t="s">
        <v>724</v>
      </c>
      <c r="J190" s="472" t="s">
        <v>724</v>
      </c>
      <c r="K190" s="472"/>
      <c r="L190" s="474" t="s">
        <v>197</v>
      </c>
      <c r="M190" s="474" t="s">
        <v>197</v>
      </c>
      <c r="N190" s="474" t="s">
        <v>197</v>
      </c>
      <c r="O190" s="475" t="s">
        <v>661</v>
      </c>
      <c r="P190" s="476"/>
      <c r="Q190" s="477" t="s">
        <v>663</v>
      </c>
      <c r="R190" s="478" t="s">
        <v>663</v>
      </c>
      <c r="S190" s="478" t="s">
        <v>663</v>
      </c>
      <c r="T190" s="478" t="s">
        <v>663</v>
      </c>
      <c r="U190" s="478" t="s">
        <v>663</v>
      </c>
      <c r="V190" s="478"/>
      <c r="W190" s="478"/>
      <c r="X190" s="478" t="str">
        <f t="shared" si="16"/>
        <v>AW+ Router</v>
      </c>
      <c r="Y190" s="478" t="str">
        <f t="shared" si="17"/>
        <v xml:space="preserve">0  </v>
      </c>
      <c r="Z190" s="478"/>
    </row>
    <row r="191" spans="1:26" s="479" customFormat="1">
      <c r="A191" s="472">
        <v>186</v>
      </c>
      <c r="B191" s="472" t="s">
        <v>186</v>
      </c>
      <c r="C191" s="472" t="s">
        <v>1097</v>
      </c>
      <c r="D191" s="472" t="s">
        <v>1095</v>
      </c>
      <c r="E191" s="472" t="s">
        <v>1096</v>
      </c>
      <c r="F191" s="472" t="s">
        <v>688</v>
      </c>
      <c r="G191" s="472" t="s">
        <v>746</v>
      </c>
      <c r="H191" s="472"/>
      <c r="I191" s="473" t="s">
        <v>724</v>
      </c>
      <c r="J191" s="472" t="s">
        <v>724</v>
      </c>
      <c r="K191" s="472"/>
      <c r="L191" s="474" t="s">
        <v>197</v>
      </c>
      <c r="M191" s="474" t="s">
        <v>197</v>
      </c>
      <c r="N191" s="474" t="s">
        <v>197</v>
      </c>
      <c r="O191" s="475" t="s">
        <v>661</v>
      </c>
      <c r="P191" s="476"/>
      <c r="Q191" s="477" t="s">
        <v>663</v>
      </c>
      <c r="R191" s="478" t="s">
        <v>663</v>
      </c>
      <c r="S191" s="478" t="s">
        <v>663</v>
      </c>
      <c r="T191" s="478" t="s">
        <v>663</v>
      </c>
      <c r="U191" s="478" t="s">
        <v>663</v>
      </c>
      <c r="V191" s="478"/>
      <c r="W191" s="478"/>
      <c r="X191" s="478" t="str">
        <f t="shared" si="16"/>
        <v>AW+ Router</v>
      </c>
      <c r="Y191" s="478" t="str">
        <f t="shared" si="17"/>
        <v xml:space="preserve">0  </v>
      </c>
      <c r="Z191" s="478"/>
    </row>
    <row r="192" spans="1:26" s="479" customFormat="1">
      <c r="A192" s="472">
        <v>187</v>
      </c>
      <c r="B192" s="472" t="s">
        <v>186</v>
      </c>
      <c r="C192" s="472" t="s">
        <v>1098</v>
      </c>
      <c r="D192" s="472" t="s">
        <v>1095</v>
      </c>
      <c r="E192" s="472" t="s">
        <v>1099</v>
      </c>
      <c r="F192" s="472" t="s">
        <v>688</v>
      </c>
      <c r="G192" s="472" t="s">
        <v>827</v>
      </c>
      <c r="H192" s="472"/>
      <c r="I192" s="473" t="s">
        <v>644</v>
      </c>
      <c r="J192" s="472" t="s">
        <v>1100</v>
      </c>
      <c r="K192" s="472"/>
      <c r="L192" s="474" t="s">
        <v>1101</v>
      </c>
      <c r="M192" s="474" t="s">
        <v>699</v>
      </c>
      <c r="N192" s="474" t="s">
        <v>1102</v>
      </c>
      <c r="O192" s="475" t="s">
        <v>661</v>
      </c>
      <c r="P192" s="475"/>
      <c r="Q192" s="472" t="s">
        <v>663</v>
      </c>
      <c r="R192" s="472" t="s">
        <v>662</v>
      </c>
      <c r="S192" s="478" t="s">
        <v>663</v>
      </c>
      <c r="T192" s="478" t="s">
        <v>663</v>
      </c>
      <c r="U192" s="478" t="s">
        <v>663</v>
      </c>
      <c r="V192" s="478"/>
      <c r="W192" s="478"/>
      <c r="X192" s="478" t="str">
        <f t="shared" si="16"/>
        <v>AW+ Router</v>
      </c>
      <c r="Y192" s="478" t="str">
        <f t="shared" si="17"/>
        <v xml:space="preserve">1G  </v>
      </c>
      <c r="Z192" s="478"/>
    </row>
    <row r="193" spans="1:26" s="479" customFormat="1">
      <c r="A193" s="472">
        <v>188</v>
      </c>
      <c r="B193" s="472" t="s">
        <v>186</v>
      </c>
      <c r="C193" s="472" t="s">
        <v>1103</v>
      </c>
      <c r="D193" s="472" t="s">
        <v>1095</v>
      </c>
      <c r="E193" s="472" t="s">
        <v>1104</v>
      </c>
      <c r="F193" s="472" t="s">
        <v>688</v>
      </c>
      <c r="G193" s="472" t="s">
        <v>827</v>
      </c>
      <c r="H193" s="472"/>
      <c r="I193" s="473" t="s">
        <v>644</v>
      </c>
      <c r="J193" s="472" t="s">
        <v>1100</v>
      </c>
      <c r="K193" s="472"/>
      <c r="L193" s="474" t="s">
        <v>1101</v>
      </c>
      <c r="M193" s="474" t="s">
        <v>699</v>
      </c>
      <c r="N193" s="474" t="s">
        <v>1102</v>
      </c>
      <c r="O193" s="475" t="s">
        <v>661</v>
      </c>
      <c r="P193" s="475"/>
      <c r="Q193" s="472" t="s">
        <v>663</v>
      </c>
      <c r="R193" s="472" t="s">
        <v>662</v>
      </c>
      <c r="S193" s="478" t="s">
        <v>663</v>
      </c>
      <c r="T193" s="478" t="s">
        <v>663</v>
      </c>
      <c r="U193" s="478" t="s">
        <v>663</v>
      </c>
      <c r="V193" s="478"/>
      <c r="W193" s="478"/>
      <c r="X193" s="478" t="str">
        <f t="shared" si="16"/>
        <v>AW+ Router</v>
      </c>
      <c r="Y193" s="478" t="str">
        <f t="shared" si="17"/>
        <v xml:space="preserve">1G  </v>
      </c>
      <c r="Z193" s="478"/>
    </row>
    <row r="194" spans="1:26" s="471" customFormat="1">
      <c r="A194" s="447">
        <v>189</v>
      </c>
      <c r="B194" s="447" t="s">
        <v>195</v>
      </c>
      <c r="C194" s="447" t="s">
        <v>1105</v>
      </c>
      <c r="D194" s="447" t="s">
        <v>233</v>
      </c>
      <c r="E194" s="447" t="s">
        <v>1106</v>
      </c>
      <c r="F194" s="447" t="s">
        <v>1107</v>
      </c>
      <c r="G194" s="447" t="s">
        <v>740</v>
      </c>
      <c r="H194" s="447"/>
      <c r="I194" s="448" t="s">
        <v>756</v>
      </c>
      <c r="J194" s="447" t="s">
        <v>1108</v>
      </c>
      <c r="K194" s="447"/>
      <c r="L194" s="485" t="s">
        <v>1105</v>
      </c>
      <c r="M194" s="485" t="s">
        <v>829</v>
      </c>
      <c r="N194" s="485" t="s">
        <v>1109</v>
      </c>
      <c r="O194" s="451" t="s">
        <v>1110</v>
      </c>
      <c r="P194" s="455"/>
      <c r="Q194" s="456" t="s">
        <v>663</v>
      </c>
      <c r="R194" s="457" t="s">
        <v>662</v>
      </c>
      <c r="S194" s="457" t="s">
        <v>662</v>
      </c>
      <c r="T194" s="457" t="s">
        <v>663</v>
      </c>
      <c r="U194" s="457" t="s">
        <v>663</v>
      </c>
      <c r="V194" s="457" t="str">
        <f>IF(F194="DC","DC","phy")</f>
        <v>phy</v>
      </c>
      <c r="W194" s="457"/>
      <c r="X194" s="457" t="str">
        <f t="shared" si="16"/>
        <v>DC2500</v>
      </c>
      <c r="Y194" s="457" t="str">
        <f t="shared" si="17"/>
        <v xml:space="preserve">10G phy </v>
      </c>
      <c r="Z194" s="457"/>
    </row>
    <row r="195" spans="1:26" s="471" customFormat="1">
      <c r="A195" s="447">
        <v>190</v>
      </c>
      <c r="B195" s="447" t="s">
        <v>195</v>
      </c>
      <c r="C195" s="447" t="s">
        <v>1105</v>
      </c>
      <c r="D195" s="447" t="s">
        <v>233</v>
      </c>
      <c r="E195" s="447" t="s">
        <v>1106</v>
      </c>
      <c r="F195" s="447" t="s">
        <v>688</v>
      </c>
      <c r="G195" s="447" t="s">
        <v>1111</v>
      </c>
      <c r="H195" s="447"/>
      <c r="I195" s="448" t="s">
        <v>646</v>
      </c>
      <c r="J195" s="447" t="s">
        <v>1112</v>
      </c>
      <c r="K195" s="447"/>
      <c r="L195" s="485" t="s">
        <v>1105</v>
      </c>
      <c r="M195" s="485" t="s">
        <v>829</v>
      </c>
      <c r="N195" s="485" t="s">
        <v>1109</v>
      </c>
      <c r="O195" s="451" t="s">
        <v>1110</v>
      </c>
      <c r="P195" s="455"/>
      <c r="Q195" s="456" t="s">
        <v>663</v>
      </c>
      <c r="R195" s="457" t="s">
        <v>663</v>
      </c>
      <c r="S195" s="457" t="s">
        <v>663</v>
      </c>
      <c r="T195" s="457" t="s">
        <v>662</v>
      </c>
      <c r="U195" s="457" t="s">
        <v>663</v>
      </c>
      <c r="V195" s="457"/>
      <c r="W195" s="457" t="s">
        <v>676</v>
      </c>
      <c r="X195" s="457" t="str">
        <f t="shared" si="16"/>
        <v>DC2500</v>
      </c>
      <c r="Y195" s="457" t="str">
        <f t="shared" si="17"/>
        <v>10G  uplink</v>
      </c>
      <c r="Z195" s="457"/>
    </row>
    <row r="196" spans="1:26" s="479" customFormat="1">
      <c r="A196" s="472">
        <v>191</v>
      </c>
      <c r="B196" s="472" t="s">
        <v>1113</v>
      </c>
      <c r="C196" s="472" t="s">
        <v>1114</v>
      </c>
      <c r="D196" s="472" t="s">
        <v>1113</v>
      </c>
      <c r="E196" s="472" t="s">
        <v>1115</v>
      </c>
      <c r="F196" s="472" t="s">
        <v>1116</v>
      </c>
      <c r="G196" s="472" t="s">
        <v>746</v>
      </c>
      <c r="H196" s="472"/>
      <c r="I196" s="473" t="s">
        <v>724</v>
      </c>
      <c r="J196" s="472" t="s">
        <v>724</v>
      </c>
      <c r="K196" s="472"/>
      <c r="L196" s="474" t="s">
        <v>197</v>
      </c>
      <c r="M196" s="474" t="s">
        <v>197</v>
      </c>
      <c r="N196" s="474" t="s">
        <v>197</v>
      </c>
      <c r="O196" s="475" t="s">
        <v>764</v>
      </c>
      <c r="P196" s="476"/>
      <c r="Q196" s="477" t="s">
        <v>663</v>
      </c>
      <c r="R196" s="478" t="s">
        <v>663</v>
      </c>
      <c r="S196" s="478" t="s">
        <v>663</v>
      </c>
      <c r="T196" s="478" t="s">
        <v>663</v>
      </c>
      <c r="U196" s="478" t="s">
        <v>663</v>
      </c>
      <c r="V196" s="478" t="str">
        <f>IF(F196="DC","DC","phy")</f>
        <v>phy</v>
      </c>
      <c r="W196" s="478"/>
      <c r="X196" s="478" t="str">
        <f t="shared" si="16"/>
        <v>x200</v>
      </c>
      <c r="Y196" s="478" t="str">
        <f t="shared" si="17"/>
        <v xml:space="preserve">0 phy </v>
      </c>
      <c r="Z196" s="478"/>
    </row>
    <row r="197" spans="1:26" s="479" customFormat="1">
      <c r="A197" s="472">
        <v>192</v>
      </c>
      <c r="B197" s="472" t="s">
        <v>1113</v>
      </c>
      <c r="C197" s="472" t="s">
        <v>1114</v>
      </c>
      <c r="D197" s="472" t="s">
        <v>1113</v>
      </c>
      <c r="E197" s="472" t="s">
        <v>1115</v>
      </c>
      <c r="F197" s="472" t="s">
        <v>712</v>
      </c>
      <c r="G197" s="472" t="s">
        <v>746</v>
      </c>
      <c r="H197" s="472"/>
      <c r="I197" s="473" t="s">
        <v>724</v>
      </c>
      <c r="J197" s="472" t="s">
        <v>724</v>
      </c>
      <c r="K197" s="472"/>
      <c r="L197" s="474" t="s">
        <v>197</v>
      </c>
      <c r="M197" s="474" t="s">
        <v>197</v>
      </c>
      <c r="N197" s="474" t="s">
        <v>197</v>
      </c>
      <c r="O197" s="475" t="s">
        <v>764</v>
      </c>
      <c r="P197" s="476"/>
      <c r="Q197" s="477" t="s">
        <v>663</v>
      </c>
      <c r="R197" s="478" t="s">
        <v>663</v>
      </c>
      <c r="S197" s="478" t="s">
        <v>663</v>
      </c>
      <c r="T197" s="478" t="s">
        <v>663</v>
      </c>
      <c r="U197" s="478" t="s">
        <v>663</v>
      </c>
      <c r="V197" s="478" t="str">
        <f>IF(F197="DC","DC","phy")</f>
        <v>phy</v>
      </c>
      <c r="W197" s="478"/>
      <c r="X197" s="478" t="str">
        <f t="shared" si="16"/>
        <v>x200</v>
      </c>
      <c r="Y197" s="478" t="str">
        <f t="shared" si="17"/>
        <v xml:space="preserve">0 phy </v>
      </c>
      <c r="Z197" s="478"/>
    </row>
    <row r="198" spans="1:26" s="471" customFormat="1">
      <c r="A198" s="447">
        <v>193</v>
      </c>
      <c r="B198" s="447" t="s">
        <v>1117</v>
      </c>
      <c r="C198" s="447" t="s">
        <v>1118</v>
      </c>
      <c r="D198" s="447" t="s">
        <v>1117</v>
      </c>
      <c r="E198" s="447" t="s">
        <v>1119</v>
      </c>
      <c r="F198" s="447" t="s">
        <v>688</v>
      </c>
      <c r="G198" s="447" t="s">
        <v>644</v>
      </c>
      <c r="H198" s="447"/>
      <c r="I198" s="448" t="s">
        <v>644</v>
      </c>
      <c r="J198" s="447" t="s">
        <v>1120</v>
      </c>
      <c r="K198" s="447"/>
      <c r="L198" s="449" t="s">
        <v>1121</v>
      </c>
      <c r="M198" s="449" t="s">
        <v>752</v>
      </c>
      <c r="N198" s="449" t="s">
        <v>1122</v>
      </c>
      <c r="O198" s="451" t="s">
        <v>661</v>
      </c>
      <c r="P198" s="451"/>
      <c r="Q198" s="447" t="s">
        <v>663</v>
      </c>
      <c r="R198" s="447" t="s">
        <v>662</v>
      </c>
      <c r="S198" s="447" t="s">
        <v>663</v>
      </c>
      <c r="T198" s="447" t="s">
        <v>663</v>
      </c>
      <c r="U198" s="447" t="s">
        <v>663</v>
      </c>
      <c r="V198" s="447"/>
      <c r="W198" s="447"/>
      <c r="X198" s="447" t="str">
        <f t="shared" si="16"/>
        <v>x210</v>
      </c>
      <c r="Y198" s="447" t="str">
        <f t="shared" si="17"/>
        <v xml:space="preserve">1G  </v>
      </c>
      <c r="Z198" s="457"/>
    </row>
    <row r="199" spans="1:26" s="471" customFormat="1">
      <c r="A199" s="447">
        <v>194</v>
      </c>
      <c r="B199" s="447" t="s">
        <v>1117</v>
      </c>
      <c r="C199" s="447" t="s">
        <v>1123</v>
      </c>
      <c r="D199" s="447" t="s">
        <v>1117</v>
      </c>
      <c r="E199" s="447" t="s">
        <v>1119</v>
      </c>
      <c r="F199" s="447" t="s">
        <v>1124</v>
      </c>
      <c r="G199" s="447" t="s">
        <v>1125</v>
      </c>
      <c r="H199" s="447"/>
      <c r="I199" s="448" t="s">
        <v>656</v>
      </c>
      <c r="J199" s="447" t="s">
        <v>1126</v>
      </c>
      <c r="K199" s="447"/>
      <c r="L199" s="449" t="s">
        <v>197</v>
      </c>
      <c r="M199" s="449" t="s">
        <v>197</v>
      </c>
      <c r="N199" s="449" t="s">
        <v>197</v>
      </c>
      <c r="O199" s="451" t="s">
        <v>661</v>
      </c>
      <c r="P199" s="451"/>
      <c r="Q199" s="447" t="s">
        <v>662</v>
      </c>
      <c r="R199" s="447" t="s">
        <v>662</v>
      </c>
      <c r="S199" s="447" t="s">
        <v>663</v>
      </c>
      <c r="T199" s="447" t="s">
        <v>663</v>
      </c>
      <c r="U199" s="447" t="s">
        <v>663</v>
      </c>
      <c r="V199" s="447" t="str">
        <f>IF(F199="DC","DC","phy")</f>
        <v>phy</v>
      </c>
      <c r="W199" s="447"/>
      <c r="X199" s="447" t="str">
        <f t="shared" si="16"/>
        <v>x210</v>
      </c>
      <c r="Y199" s="447" t="str">
        <f t="shared" si="17"/>
        <v xml:space="preserve">1G phy </v>
      </c>
      <c r="Z199" s="457"/>
    </row>
    <row r="200" spans="1:26" s="471" customFormat="1">
      <c r="A200" s="447">
        <v>195</v>
      </c>
      <c r="B200" s="447" t="s">
        <v>1117</v>
      </c>
      <c r="C200" s="447" t="s">
        <v>1127</v>
      </c>
      <c r="D200" s="447" t="s">
        <v>1117</v>
      </c>
      <c r="E200" s="447" t="s">
        <v>1119</v>
      </c>
      <c r="F200" s="447" t="s">
        <v>1124</v>
      </c>
      <c r="G200" s="447" t="s">
        <v>1125</v>
      </c>
      <c r="H200" s="447"/>
      <c r="I200" s="448" t="s">
        <v>656</v>
      </c>
      <c r="J200" s="447" t="s">
        <v>1126</v>
      </c>
      <c r="K200" s="447"/>
      <c r="L200" s="449" t="s">
        <v>1128</v>
      </c>
      <c r="M200" s="449" t="s">
        <v>752</v>
      </c>
      <c r="N200" s="449" t="s">
        <v>1129</v>
      </c>
      <c r="O200" s="451" t="s">
        <v>661</v>
      </c>
      <c r="P200" s="451"/>
      <c r="Q200" s="447" t="s">
        <v>662</v>
      </c>
      <c r="R200" s="447" t="s">
        <v>662</v>
      </c>
      <c r="S200" s="447" t="s">
        <v>663</v>
      </c>
      <c r="T200" s="447" t="s">
        <v>663</v>
      </c>
      <c r="U200" s="447" t="s">
        <v>663</v>
      </c>
      <c r="V200" s="447" t="str">
        <f>IF(F200="DC","DC","phy")</f>
        <v>phy</v>
      </c>
      <c r="W200" s="447"/>
      <c r="X200" s="447" t="str">
        <f t="shared" si="16"/>
        <v>x210</v>
      </c>
      <c r="Y200" s="447" t="str">
        <f t="shared" si="17"/>
        <v xml:space="preserve">1G phy </v>
      </c>
      <c r="Z200" s="457"/>
    </row>
    <row r="201" spans="1:26" s="471" customFormat="1">
      <c r="A201" s="447">
        <v>196</v>
      </c>
      <c r="B201" s="447" t="s">
        <v>1130</v>
      </c>
      <c r="C201" s="447" t="s">
        <v>1131</v>
      </c>
      <c r="D201" s="447" t="s">
        <v>1117</v>
      </c>
      <c r="E201" s="447" t="s">
        <v>1119</v>
      </c>
      <c r="F201" s="447" t="s">
        <v>688</v>
      </c>
      <c r="G201" s="447" t="s">
        <v>644</v>
      </c>
      <c r="H201" s="447"/>
      <c r="I201" s="448" t="s">
        <v>644</v>
      </c>
      <c r="J201" s="447" t="s">
        <v>1120</v>
      </c>
      <c r="K201" s="447"/>
      <c r="L201" s="449" t="s">
        <v>197</v>
      </c>
      <c r="M201" s="449" t="s">
        <v>197</v>
      </c>
      <c r="N201" s="449" t="s">
        <v>197</v>
      </c>
      <c r="O201" s="451" t="s">
        <v>661</v>
      </c>
      <c r="P201" s="451"/>
      <c r="Q201" s="447" t="s">
        <v>663</v>
      </c>
      <c r="R201" s="447" t="s">
        <v>662</v>
      </c>
      <c r="S201" s="447" t="s">
        <v>663</v>
      </c>
      <c r="T201" s="447" t="s">
        <v>663</v>
      </c>
      <c r="U201" s="447" t="s">
        <v>663</v>
      </c>
      <c r="V201" s="447"/>
      <c r="W201" s="447"/>
      <c r="X201" s="447" t="str">
        <f t="shared" si="16"/>
        <v>SH210</v>
      </c>
      <c r="Y201" s="447" t="str">
        <f t="shared" si="17"/>
        <v xml:space="preserve">1G  </v>
      </c>
      <c r="Z201" s="457"/>
    </row>
    <row r="202" spans="1:26" s="471" customFormat="1">
      <c r="A202" s="447">
        <v>197</v>
      </c>
      <c r="B202" s="447" t="s">
        <v>1130</v>
      </c>
      <c r="C202" s="447" t="s">
        <v>1132</v>
      </c>
      <c r="D202" s="447" t="s">
        <v>1117</v>
      </c>
      <c r="E202" s="447" t="s">
        <v>1119</v>
      </c>
      <c r="F202" s="447" t="s">
        <v>1124</v>
      </c>
      <c r="G202" s="447" t="s">
        <v>1125</v>
      </c>
      <c r="H202" s="447"/>
      <c r="I202" s="448" t="s">
        <v>656</v>
      </c>
      <c r="J202" s="447" t="s">
        <v>1126</v>
      </c>
      <c r="K202" s="447"/>
      <c r="L202" s="449" t="s">
        <v>197</v>
      </c>
      <c r="M202" s="449" t="s">
        <v>197</v>
      </c>
      <c r="N202" s="449" t="s">
        <v>197</v>
      </c>
      <c r="O202" s="451" t="s">
        <v>661</v>
      </c>
      <c r="P202" s="451"/>
      <c r="Q202" s="447" t="s">
        <v>662</v>
      </c>
      <c r="R202" s="447" t="s">
        <v>662</v>
      </c>
      <c r="S202" s="447" t="s">
        <v>663</v>
      </c>
      <c r="T202" s="447" t="s">
        <v>663</v>
      </c>
      <c r="U202" s="447" t="s">
        <v>663</v>
      </c>
      <c r="V202" s="447" t="str">
        <f>IF(F202="DC","DC","phy")</f>
        <v>phy</v>
      </c>
      <c r="W202" s="447"/>
      <c r="X202" s="447" t="str">
        <f t="shared" si="16"/>
        <v>SH210</v>
      </c>
      <c r="Y202" s="447" t="str">
        <f t="shared" si="17"/>
        <v xml:space="preserve">1G phy </v>
      </c>
      <c r="Z202" s="457"/>
    </row>
    <row r="203" spans="1:26" s="471" customFormat="1">
      <c r="A203" s="447">
        <v>198</v>
      </c>
      <c r="B203" s="447" t="s">
        <v>1130</v>
      </c>
      <c r="C203" s="447" t="s">
        <v>1133</v>
      </c>
      <c r="D203" s="447" t="s">
        <v>1117</v>
      </c>
      <c r="E203" s="447" t="s">
        <v>1119</v>
      </c>
      <c r="F203" s="447" t="s">
        <v>1124</v>
      </c>
      <c r="G203" s="447" t="s">
        <v>1125</v>
      </c>
      <c r="H203" s="447"/>
      <c r="I203" s="448" t="s">
        <v>656</v>
      </c>
      <c r="J203" s="447" t="s">
        <v>1126</v>
      </c>
      <c r="K203" s="447"/>
      <c r="L203" s="449" t="s">
        <v>197</v>
      </c>
      <c r="M203" s="449" t="s">
        <v>197</v>
      </c>
      <c r="N203" s="449" t="s">
        <v>197</v>
      </c>
      <c r="O203" s="451" t="s">
        <v>661</v>
      </c>
      <c r="P203" s="451"/>
      <c r="Q203" s="447" t="s">
        <v>662</v>
      </c>
      <c r="R203" s="447" t="s">
        <v>662</v>
      </c>
      <c r="S203" s="447" t="s">
        <v>663</v>
      </c>
      <c r="T203" s="447" t="s">
        <v>663</v>
      </c>
      <c r="U203" s="447" t="s">
        <v>663</v>
      </c>
      <c r="V203" s="447" t="str">
        <f>IF(F203="DC","DC","phy")</f>
        <v>phy</v>
      </c>
      <c r="W203" s="447"/>
      <c r="X203" s="447" t="str">
        <f t="shared" si="16"/>
        <v>SH210</v>
      </c>
      <c r="Y203" s="447" t="str">
        <f t="shared" si="17"/>
        <v xml:space="preserve">1G phy </v>
      </c>
      <c r="Z203" s="457"/>
    </row>
    <row r="204" spans="1:26" s="471" customFormat="1">
      <c r="A204" s="447">
        <v>199</v>
      </c>
      <c r="B204" s="447" t="s">
        <v>940</v>
      </c>
      <c r="C204" s="447" t="s">
        <v>1134</v>
      </c>
      <c r="D204" s="447" t="s">
        <v>1117</v>
      </c>
      <c r="E204" s="447" t="s">
        <v>1119</v>
      </c>
      <c r="F204" s="447" t="s">
        <v>688</v>
      </c>
      <c r="G204" s="447" t="s">
        <v>644</v>
      </c>
      <c r="H204" s="447"/>
      <c r="I204" s="448" t="s">
        <v>644</v>
      </c>
      <c r="J204" s="447" t="s">
        <v>1120</v>
      </c>
      <c r="K204" s="447"/>
      <c r="L204" s="449" t="s">
        <v>197</v>
      </c>
      <c r="M204" s="449" t="s">
        <v>197</v>
      </c>
      <c r="N204" s="449" t="s">
        <v>197</v>
      </c>
      <c r="O204" s="451" t="s">
        <v>661</v>
      </c>
      <c r="P204" s="451"/>
      <c r="Q204" s="447" t="s">
        <v>663</v>
      </c>
      <c r="R204" s="447" t="s">
        <v>662</v>
      </c>
      <c r="S204" s="447" t="s">
        <v>663</v>
      </c>
      <c r="T204" s="447" t="s">
        <v>663</v>
      </c>
      <c r="U204" s="447" t="s">
        <v>663</v>
      </c>
      <c r="V204" s="447"/>
      <c r="W204" s="447"/>
      <c r="X204" s="447" t="str">
        <f t="shared" si="16"/>
        <v>GS970M</v>
      </c>
      <c r="Y204" s="447" t="str">
        <f t="shared" si="17"/>
        <v xml:space="preserve">1G  </v>
      </c>
      <c r="Z204" s="457"/>
    </row>
    <row r="205" spans="1:26" s="471" customFormat="1">
      <c r="A205" s="447">
        <v>200</v>
      </c>
      <c r="B205" s="447" t="s">
        <v>940</v>
      </c>
      <c r="C205" s="447" t="s">
        <v>1135</v>
      </c>
      <c r="D205" s="447" t="s">
        <v>1117</v>
      </c>
      <c r="E205" s="447" t="s">
        <v>1119</v>
      </c>
      <c r="F205" s="447" t="s">
        <v>1124</v>
      </c>
      <c r="G205" s="447" t="s">
        <v>1125</v>
      </c>
      <c r="H205" s="447"/>
      <c r="I205" s="448" t="s">
        <v>656</v>
      </c>
      <c r="J205" s="447" t="s">
        <v>1126</v>
      </c>
      <c r="K205" s="447"/>
      <c r="L205" s="449" t="s">
        <v>197</v>
      </c>
      <c r="M205" s="449" t="s">
        <v>197</v>
      </c>
      <c r="N205" s="449" t="s">
        <v>197</v>
      </c>
      <c r="O205" s="451" t="s">
        <v>661</v>
      </c>
      <c r="P205" s="451"/>
      <c r="Q205" s="447" t="s">
        <v>662</v>
      </c>
      <c r="R205" s="447" t="s">
        <v>662</v>
      </c>
      <c r="S205" s="447" t="s">
        <v>663</v>
      </c>
      <c r="T205" s="447" t="s">
        <v>663</v>
      </c>
      <c r="U205" s="447" t="s">
        <v>663</v>
      </c>
      <c r="V205" s="447" t="str">
        <f>IF(F205="DC","DC","phy")</f>
        <v>phy</v>
      </c>
      <c r="W205" s="447"/>
      <c r="X205" s="447" t="str">
        <f t="shared" si="16"/>
        <v>GS970M</v>
      </c>
      <c r="Y205" s="447" t="str">
        <f t="shared" si="17"/>
        <v xml:space="preserve">1G phy </v>
      </c>
      <c r="Z205" s="457"/>
    </row>
    <row r="206" spans="1:26" s="471" customFormat="1">
      <c r="A206" s="447">
        <v>201</v>
      </c>
      <c r="B206" s="447" t="s">
        <v>940</v>
      </c>
      <c r="C206" s="447" t="s">
        <v>1136</v>
      </c>
      <c r="D206" s="447" t="s">
        <v>1117</v>
      </c>
      <c r="E206" s="447" t="s">
        <v>1119</v>
      </c>
      <c r="F206" s="447" t="s">
        <v>1124</v>
      </c>
      <c r="G206" s="447" t="s">
        <v>1125</v>
      </c>
      <c r="H206" s="447"/>
      <c r="I206" s="448" t="s">
        <v>656</v>
      </c>
      <c r="J206" s="447" t="s">
        <v>1126</v>
      </c>
      <c r="K206" s="447"/>
      <c r="L206" s="449" t="s">
        <v>197</v>
      </c>
      <c r="M206" s="449" t="s">
        <v>197</v>
      </c>
      <c r="N206" s="449" t="s">
        <v>197</v>
      </c>
      <c r="O206" s="451" t="s">
        <v>661</v>
      </c>
      <c r="P206" s="451"/>
      <c r="Q206" s="447" t="s">
        <v>662</v>
      </c>
      <c r="R206" s="447" t="s">
        <v>662</v>
      </c>
      <c r="S206" s="447" t="s">
        <v>663</v>
      </c>
      <c r="T206" s="447" t="s">
        <v>663</v>
      </c>
      <c r="U206" s="447" t="s">
        <v>663</v>
      </c>
      <c r="V206" s="447" t="str">
        <f>IF(F206="DC","DC","phy")</f>
        <v>phy</v>
      </c>
      <c r="W206" s="447"/>
      <c r="X206" s="447" t="str">
        <f t="shared" si="16"/>
        <v>GS970M</v>
      </c>
      <c r="Y206" s="447" t="str">
        <f t="shared" si="17"/>
        <v xml:space="preserve">1G phy </v>
      </c>
      <c r="Z206" s="457"/>
    </row>
    <row r="207" spans="1:26" s="479" customFormat="1">
      <c r="A207" s="472">
        <v>202</v>
      </c>
      <c r="B207" s="472" t="s">
        <v>63</v>
      </c>
      <c r="C207" s="472" t="s">
        <v>1137</v>
      </c>
      <c r="D207" s="472" t="s">
        <v>63</v>
      </c>
      <c r="E207" s="472" t="s">
        <v>1138</v>
      </c>
      <c r="F207" s="472" t="s">
        <v>1139</v>
      </c>
      <c r="G207" s="472" t="s">
        <v>655</v>
      </c>
      <c r="H207" s="472"/>
      <c r="I207" s="473" t="s">
        <v>644</v>
      </c>
      <c r="J207" s="472" t="s">
        <v>1140</v>
      </c>
      <c r="K207" s="472"/>
      <c r="L207" s="474" t="s">
        <v>197</v>
      </c>
      <c r="M207" s="474" t="s">
        <v>197</v>
      </c>
      <c r="N207" s="474" t="s">
        <v>197</v>
      </c>
      <c r="O207" s="475" t="s">
        <v>764</v>
      </c>
      <c r="P207" s="475"/>
      <c r="Q207" s="472" t="s">
        <v>663</v>
      </c>
      <c r="R207" s="472" t="s">
        <v>662</v>
      </c>
      <c r="S207" s="472" t="s">
        <v>663</v>
      </c>
      <c r="T207" s="472" t="s">
        <v>663</v>
      </c>
      <c r="U207" s="472" t="s">
        <v>663</v>
      </c>
      <c r="V207" s="472" t="str">
        <f>IF(F207="DC","DC","phy")</f>
        <v>phy</v>
      </c>
      <c r="W207" s="472" t="s">
        <v>664</v>
      </c>
      <c r="X207" s="472" t="str">
        <f t="shared" si="16"/>
        <v>x600</v>
      </c>
      <c r="Y207" s="472" t="str">
        <f t="shared" si="17"/>
        <v>1G phy combo</v>
      </c>
      <c r="Z207" s="478"/>
    </row>
    <row r="208" spans="1:26" s="479" customFormat="1">
      <c r="A208" s="472">
        <v>203</v>
      </c>
      <c r="B208" s="472" t="s">
        <v>63</v>
      </c>
      <c r="C208" s="472" t="s">
        <v>1141</v>
      </c>
      <c r="D208" s="472" t="s">
        <v>63</v>
      </c>
      <c r="E208" s="472" t="s">
        <v>1138</v>
      </c>
      <c r="F208" s="472" t="s">
        <v>1139</v>
      </c>
      <c r="G208" s="472" t="s">
        <v>655</v>
      </c>
      <c r="H208" s="472"/>
      <c r="I208" s="473" t="s">
        <v>644</v>
      </c>
      <c r="J208" s="472" t="s">
        <v>1140</v>
      </c>
      <c r="K208" s="472"/>
      <c r="L208" s="474" t="s">
        <v>1142</v>
      </c>
      <c r="M208" s="450" t="s">
        <v>1143</v>
      </c>
      <c r="N208" s="474">
        <v>12</v>
      </c>
      <c r="O208" s="475" t="s">
        <v>764</v>
      </c>
      <c r="P208" s="475"/>
      <c r="Q208" s="472" t="s">
        <v>663</v>
      </c>
      <c r="R208" s="472" t="s">
        <v>662</v>
      </c>
      <c r="S208" s="472" t="s">
        <v>663</v>
      </c>
      <c r="T208" s="472" t="s">
        <v>663</v>
      </c>
      <c r="U208" s="472" t="s">
        <v>663</v>
      </c>
      <c r="V208" s="472" t="str">
        <f>IF(F208="DC","DC","phy")</f>
        <v>phy</v>
      </c>
      <c r="W208" s="472" t="s">
        <v>664</v>
      </c>
      <c r="X208" s="472" t="str">
        <f t="shared" si="16"/>
        <v>x600</v>
      </c>
      <c r="Y208" s="472" t="str">
        <f t="shared" si="17"/>
        <v>1G phy combo</v>
      </c>
      <c r="Z208" s="478"/>
    </row>
    <row r="209" spans="1:26" s="479" customFormat="1">
      <c r="A209" s="472">
        <v>204</v>
      </c>
      <c r="B209" s="472" t="s">
        <v>63</v>
      </c>
      <c r="C209" s="472" t="s">
        <v>1141</v>
      </c>
      <c r="D209" s="472" t="s">
        <v>63</v>
      </c>
      <c r="E209" s="472" t="s">
        <v>1138</v>
      </c>
      <c r="F209" s="472" t="s">
        <v>1144</v>
      </c>
      <c r="G209" s="472" t="s">
        <v>1145</v>
      </c>
      <c r="H209" s="472"/>
      <c r="I209" s="473" t="s">
        <v>645</v>
      </c>
      <c r="J209" s="472" t="s">
        <v>1146</v>
      </c>
      <c r="K209" s="472"/>
      <c r="L209" s="474" t="s">
        <v>197</v>
      </c>
      <c r="M209" s="474" t="s">
        <v>197</v>
      </c>
      <c r="N209" s="474" t="s">
        <v>197</v>
      </c>
      <c r="O209" s="475" t="s">
        <v>764</v>
      </c>
      <c r="P209" s="475"/>
      <c r="Q209" s="472" t="s">
        <v>663</v>
      </c>
      <c r="R209" s="472" t="s">
        <v>663</v>
      </c>
      <c r="S209" s="472" t="s">
        <v>662</v>
      </c>
      <c r="T209" s="472" t="s">
        <v>663</v>
      </c>
      <c r="U209" s="472" t="s">
        <v>663</v>
      </c>
      <c r="V209" s="472" t="str">
        <f>IF(F209="DC","DC","phy")</f>
        <v>phy</v>
      </c>
      <c r="W209" s="472"/>
      <c r="X209" s="472" t="str">
        <f t="shared" si="16"/>
        <v>x600</v>
      </c>
      <c r="Y209" s="472" t="str">
        <f t="shared" si="17"/>
        <v xml:space="preserve">10G phy </v>
      </c>
      <c r="Z209" s="478"/>
    </row>
    <row r="210" spans="1:26" s="479" customFormat="1">
      <c r="A210" s="472">
        <v>205</v>
      </c>
      <c r="B210" s="472" t="s">
        <v>63</v>
      </c>
      <c r="C210" s="472" t="s">
        <v>1147</v>
      </c>
      <c r="D210" s="472" t="s">
        <v>63</v>
      </c>
      <c r="E210" s="472" t="s">
        <v>1138</v>
      </c>
      <c r="F210" s="472" t="s">
        <v>688</v>
      </c>
      <c r="G210" s="472" t="s">
        <v>827</v>
      </c>
      <c r="H210" s="472"/>
      <c r="I210" s="473" t="s">
        <v>644</v>
      </c>
      <c r="J210" s="472" t="s">
        <v>1148</v>
      </c>
      <c r="K210" s="472"/>
      <c r="L210" s="474" t="s">
        <v>197</v>
      </c>
      <c r="M210" s="474" t="s">
        <v>197</v>
      </c>
      <c r="N210" s="474" t="s">
        <v>197</v>
      </c>
      <c r="O210" s="475" t="s">
        <v>764</v>
      </c>
      <c r="P210" s="475"/>
      <c r="Q210" s="472" t="s">
        <v>663</v>
      </c>
      <c r="R210" s="472" t="s">
        <v>662</v>
      </c>
      <c r="S210" s="472" t="s">
        <v>663</v>
      </c>
      <c r="T210" s="472" t="s">
        <v>663</v>
      </c>
      <c r="U210" s="472" t="s">
        <v>663</v>
      </c>
      <c r="V210" s="472"/>
      <c r="W210" s="472"/>
      <c r="X210" s="472" t="str">
        <f t="shared" si="16"/>
        <v>x600</v>
      </c>
      <c r="Y210" s="472" t="str">
        <f t="shared" si="17"/>
        <v xml:space="preserve">1G  </v>
      </c>
      <c r="Z210" s="478"/>
    </row>
    <row r="211" spans="1:26" s="479" customFormat="1">
      <c r="A211" s="472">
        <v>206</v>
      </c>
      <c r="B211" s="472" t="s">
        <v>63</v>
      </c>
      <c r="C211" s="472" t="s">
        <v>1149</v>
      </c>
      <c r="D211" s="472" t="s">
        <v>63</v>
      </c>
      <c r="E211" s="472" t="s">
        <v>1138</v>
      </c>
      <c r="F211" s="472" t="s">
        <v>688</v>
      </c>
      <c r="G211" s="472" t="s">
        <v>827</v>
      </c>
      <c r="H211" s="472"/>
      <c r="I211" s="473" t="s">
        <v>644</v>
      </c>
      <c r="J211" s="472" t="s">
        <v>1148</v>
      </c>
      <c r="K211" s="472"/>
      <c r="L211" s="474" t="s">
        <v>1150</v>
      </c>
      <c r="M211" s="450" t="s">
        <v>1151</v>
      </c>
      <c r="N211" s="474" t="s">
        <v>1152</v>
      </c>
      <c r="O211" s="475" t="s">
        <v>764</v>
      </c>
      <c r="P211" s="475"/>
      <c r="Q211" s="472" t="s">
        <v>663</v>
      </c>
      <c r="R211" s="472" t="s">
        <v>662</v>
      </c>
      <c r="S211" s="472" t="s">
        <v>663</v>
      </c>
      <c r="T211" s="472" t="s">
        <v>663</v>
      </c>
      <c r="U211" s="472" t="s">
        <v>663</v>
      </c>
      <c r="V211" s="472"/>
      <c r="W211" s="472"/>
      <c r="X211" s="472" t="str">
        <f t="shared" si="16"/>
        <v>x600</v>
      </c>
      <c r="Y211" s="472" t="str">
        <f t="shared" si="17"/>
        <v xml:space="preserve">1G  </v>
      </c>
      <c r="Z211" s="478"/>
    </row>
    <row r="212" spans="1:26" s="479" customFormat="1">
      <c r="A212" s="472">
        <v>207</v>
      </c>
      <c r="B212" s="472" t="s">
        <v>63</v>
      </c>
      <c r="C212" s="472" t="s">
        <v>1149</v>
      </c>
      <c r="D212" s="472" t="s">
        <v>63</v>
      </c>
      <c r="E212" s="472" t="s">
        <v>1138</v>
      </c>
      <c r="F212" s="472" t="s">
        <v>1144</v>
      </c>
      <c r="G212" s="472" t="s">
        <v>1145</v>
      </c>
      <c r="H212" s="472"/>
      <c r="I212" s="473" t="s">
        <v>645</v>
      </c>
      <c r="J212" s="472" t="s">
        <v>1146</v>
      </c>
      <c r="K212" s="472"/>
      <c r="L212" s="474" t="s">
        <v>197</v>
      </c>
      <c r="M212" s="474" t="s">
        <v>197</v>
      </c>
      <c r="N212" s="474" t="s">
        <v>197</v>
      </c>
      <c r="O212" s="475" t="s">
        <v>764</v>
      </c>
      <c r="P212" s="475"/>
      <c r="Q212" s="472" t="s">
        <v>663</v>
      </c>
      <c r="R212" s="472" t="s">
        <v>663</v>
      </c>
      <c r="S212" s="472" t="s">
        <v>662</v>
      </c>
      <c r="T212" s="472" t="s">
        <v>663</v>
      </c>
      <c r="U212" s="472" t="s">
        <v>663</v>
      </c>
      <c r="V212" s="472" t="str">
        <f t="shared" ref="V212:V225" si="18">IF(F212="DC","DC","phy")</f>
        <v>phy</v>
      </c>
      <c r="W212" s="472"/>
      <c r="X212" s="472" t="str">
        <f t="shared" si="16"/>
        <v>x600</v>
      </c>
      <c r="Y212" s="472" t="str">
        <f t="shared" si="17"/>
        <v xml:space="preserve">10G phy </v>
      </c>
      <c r="Z212" s="478"/>
    </row>
    <row r="213" spans="1:26" s="479" customFormat="1">
      <c r="A213" s="472">
        <v>208</v>
      </c>
      <c r="B213" s="472" t="s">
        <v>63</v>
      </c>
      <c r="C213" s="472" t="s">
        <v>1153</v>
      </c>
      <c r="D213" s="472" t="s">
        <v>63</v>
      </c>
      <c r="E213" s="472" t="s">
        <v>1154</v>
      </c>
      <c r="F213" s="472" t="s">
        <v>1139</v>
      </c>
      <c r="G213" s="472" t="s">
        <v>655</v>
      </c>
      <c r="H213" s="472"/>
      <c r="I213" s="473" t="s">
        <v>644</v>
      </c>
      <c r="J213" s="472" t="s">
        <v>1140</v>
      </c>
      <c r="K213" s="472"/>
      <c r="L213" s="474" t="s">
        <v>197</v>
      </c>
      <c r="M213" s="474" t="s">
        <v>197</v>
      </c>
      <c r="N213" s="474" t="s">
        <v>197</v>
      </c>
      <c r="O213" s="475" t="s">
        <v>764</v>
      </c>
      <c r="P213" s="475"/>
      <c r="Q213" s="472" t="s">
        <v>663</v>
      </c>
      <c r="R213" s="472" t="s">
        <v>662</v>
      </c>
      <c r="S213" s="472" t="s">
        <v>663</v>
      </c>
      <c r="T213" s="472" t="s">
        <v>663</v>
      </c>
      <c r="U213" s="472" t="s">
        <v>663</v>
      </c>
      <c r="V213" s="472" t="str">
        <f t="shared" si="18"/>
        <v>phy</v>
      </c>
      <c r="W213" s="472" t="s">
        <v>664</v>
      </c>
      <c r="X213" s="472" t="str">
        <f t="shared" si="16"/>
        <v>x600</v>
      </c>
      <c r="Y213" s="472" t="str">
        <f t="shared" si="17"/>
        <v>1G phy combo</v>
      </c>
      <c r="Z213" s="478"/>
    </row>
    <row r="214" spans="1:26" s="471" customFormat="1">
      <c r="A214" s="447">
        <v>209</v>
      </c>
      <c r="B214" s="447" t="s">
        <v>62</v>
      </c>
      <c r="C214" s="447" t="s">
        <v>1155</v>
      </c>
      <c r="D214" s="447" t="s">
        <v>62</v>
      </c>
      <c r="E214" s="447" t="s">
        <v>1156</v>
      </c>
      <c r="F214" s="447" t="s">
        <v>1157</v>
      </c>
      <c r="G214" s="447" t="s">
        <v>655</v>
      </c>
      <c r="H214" s="447"/>
      <c r="I214" s="448" t="s">
        <v>656</v>
      </c>
      <c r="J214" s="447" t="s">
        <v>1140</v>
      </c>
      <c r="K214" s="447"/>
      <c r="L214" s="449" t="s">
        <v>197</v>
      </c>
      <c r="M214" s="449" t="s">
        <v>197</v>
      </c>
      <c r="N214" s="449" t="s">
        <v>197</v>
      </c>
      <c r="O214" s="451" t="s">
        <v>475</v>
      </c>
      <c r="P214" s="451"/>
      <c r="Q214" s="447" t="s">
        <v>662</v>
      </c>
      <c r="R214" s="447" t="s">
        <v>662</v>
      </c>
      <c r="S214" s="447" t="s">
        <v>663</v>
      </c>
      <c r="T214" s="447" t="s">
        <v>663</v>
      </c>
      <c r="U214" s="447" t="s">
        <v>663</v>
      </c>
      <c r="V214" s="447" t="str">
        <f t="shared" si="18"/>
        <v>phy</v>
      </c>
      <c r="W214" s="447" t="s">
        <v>664</v>
      </c>
      <c r="X214" s="447" t="str">
        <f t="shared" ref="X214:X230" si="19">B214</f>
        <v>x610</v>
      </c>
      <c r="Y214" s="447" t="str">
        <f t="shared" ref="Y214:Y230" si="20">IF(U214="y","100G",IF(T214="y","10G",IF(S214="y","10G",IF(R214="y","1G",IF(Q214="y","100M",0)))))&amp;" "&amp;V214&amp;" "&amp;W214</f>
        <v>1G phy combo</v>
      </c>
      <c r="Z214" s="457"/>
    </row>
    <row r="215" spans="1:26" s="471" customFormat="1">
      <c r="A215" s="447">
        <v>210</v>
      </c>
      <c r="B215" s="447" t="s">
        <v>62</v>
      </c>
      <c r="C215" s="447" t="s">
        <v>1158</v>
      </c>
      <c r="D215" s="447" t="s">
        <v>62</v>
      </c>
      <c r="E215" s="447" t="s">
        <v>1156</v>
      </c>
      <c r="F215" s="447" t="s">
        <v>1157</v>
      </c>
      <c r="G215" s="447" t="s">
        <v>655</v>
      </c>
      <c r="H215" s="447"/>
      <c r="I215" s="448" t="s">
        <v>656</v>
      </c>
      <c r="J215" s="447" t="s">
        <v>1140</v>
      </c>
      <c r="K215" s="447"/>
      <c r="L215" s="449" t="s">
        <v>197</v>
      </c>
      <c r="M215" s="449" t="s">
        <v>197</v>
      </c>
      <c r="N215" s="449" t="s">
        <v>197</v>
      </c>
      <c r="O215" s="451" t="s">
        <v>475</v>
      </c>
      <c r="P215" s="451"/>
      <c r="Q215" s="447" t="s">
        <v>662</v>
      </c>
      <c r="R215" s="447" t="s">
        <v>662</v>
      </c>
      <c r="S215" s="447" t="s">
        <v>663</v>
      </c>
      <c r="T215" s="447" t="s">
        <v>663</v>
      </c>
      <c r="U215" s="447" t="s">
        <v>663</v>
      </c>
      <c r="V215" s="447" t="str">
        <f t="shared" si="18"/>
        <v>phy</v>
      </c>
      <c r="W215" s="447" t="s">
        <v>664</v>
      </c>
      <c r="X215" s="447" t="str">
        <f t="shared" si="19"/>
        <v>x610</v>
      </c>
      <c r="Y215" s="447" t="str">
        <f t="shared" si="20"/>
        <v>1G phy combo</v>
      </c>
      <c r="Z215" s="457"/>
    </row>
    <row r="216" spans="1:26" s="471" customFormat="1">
      <c r="A216" s="447">
        <v>211</v>
      </c>
      <c r="B216" s="447" t="s">
        <v>62</v>
      </c>
      <c r="C216" s="447" t="s">
        <v>1158</v>
      </c>
      <c r="D216" s="447" t="s">
        <v>62</v>
      </c>
      <c r="E216" s="447" t="s">
        <v>1156</v>
      </c>
      <c r="F216" s="447" t="s">
        <v>1159</v>
      </c>
      <c r="G216" s="447" t="s">
        <v>1160</v>
      </c>
      <c r="H216" s="447"/>
      <c r="I216" s="448" t="s">
        <v>645</v>
      </c>
      <c r="J216" s="447" t="s">
        <v>1161</v>
      </c>
      <c r="K216" s="447"/>
      <c r="L216" s="449" t="s">
        <v>197</v>
      </c>
      <c r="M216" s="449" t="s">
        <v>197</v>
      </c>
      <c r="N216" s="449" t="s">
        <v>197</v>
      </c>
      <c r="O216" s="451" t="s">
        <v>475</v>
      </c>
      <c r="P216" s="451"/>
      <c r="Q216" s="447" t="s">
        <v>663</v>
      </c>
      <c r="R216" s="447" t="s">
        <v>663</v>
      </c>
      <c r="S216" s="447" t="s">
        <v>662</v>
      </c>
      <c r="T216" s="447" t="s">
        <v>663</v>
      </c>
      <c r="U216" s="447" t="s">
        <v>663</v>
      </c>
      <c r="V216" s="447" t="str">
        <f t="shared" si="18"/>
        <v>phy</v>
      </c>
      <c r="W216" s="447"/>
      <c r="X216" s="447" t="str">
        <f t="shared" si="19"/>
        <v>x610</v>
      </c>
      <c r="Y216" s="447" t="str">
        <f t="shared" si="20"/>
        <v xml:space="preserve">10G phy </v>
      </c>
      <c r="Z216" s="457"/>
    </row>
    <row r="217" spans="1:26" s="471" customFormat="1">
      <c r="A217" s="447">
        <v>212</v>
      </c>
      <c r="B217" s="447" t="s">
        <v>62</v>
      </c>
      <c r="C217" s="447" t="s">
        <v>1162</v>
      </c>
      <c r="D217" s="447" t="s">
        <v>62</v>
      </c>
      <c r="E217" s="447" t="s">
        <v>1156</v>
      </c>
      <c r="F217" s="447" t="s">
        <v>1157</v>
      </c>
      <c r="G217" s="447" t="s">
        <v>655</v>
      </c>
      <c r="H217" s="447"/>
      <c r="I217" s="448" t="s">
        <v>656</v>
      </c>
      <c r="J217" s="447" t="s">
        <v>1140</v>
      </c>
      <c r="K217" s="447"/>
      <c r="L217" s="449" t="s">
        <v>197</v>
      </c>
      <c r="M217" s="449" t="s">
        <v>197</v>
      </c>
      <c r="N217" s="449" t="s">
        <v>197</v>
      </c>
      <c r="O217" s="451" t="s">
        <v>475</v>
      </c>
      <c r="P217" s="451"/>
      <c r="Q217" s="447" t="s">
        <v>662</v>
      </c>
      <c r="R217" s="447" t="s">
        <v>662</v>
      </c>
      <c r="S217" s="447" t="s">
        <v>663</v>
      </c>
      <c r="T217" s="447" t="s">
        <v>663</v>
      </c>
      <c r="U217" s="447" t="s">
        <v>663</v>
      </c>
      <c r="V217" s="447" t="str">
        <f t="shared" si="18"/>
        <v>phy</v>
      </c>
      <c r="W217" s="447" t="s">
        <v>664</v>
      </c>
      <c r="X217" s="447" t="str">
        <f t="shared" si="19"/>
        <v>x610</v>
      </c>
      <c r="Y217" s="447" t="str">
        <f t="shared" si="20"/>
        <v>1G phy combo</v>
      </c>
      <c r="Z217" s="457"/>
    </row>
    <row r="218" spans="1:26" s="471" customFormat="1">
      <c r="A218" s="447">
        <v>213</v>
      </c>
      <c r="B218" s="447" t="s">
        <v>62</v>
      </c>
      <c r="C218" s="447" t="s">
        <v>1163</v>
      </c>
      <c r="D218" s="447" t="s">
        <v>62</v>
      </c>
      <c r="E218" s="447" t="s">
        <v>1156</v>
      </c>
      <c r="F218" s="447" t="s">
        <v>1157</v>
      </c>
      <c r="G218" s="447" t="s">
        <v>655</v>
      </c>
      <c r="H218" s="447"/>
      <c r="I218" s="448" t="s">
        <v>656</v>
      </c>
      <c r="J218" s="447" t="s">
        <v>1140</v>
      </c>
      <c r="K218" s="447"/>
      <c r="L218" s="449" t="s">
        <v>197</v>
      </c>
      <c r="M218" s="449" t="s">
        <v>197</v>
      </c>
      <c r="N218" s="449" t="s">
        <v>197</v>
      </c>
      <c r="O218" s="451" t="s">
        <v>475</v>
      </c>
      <c r="P218" s="451"/>
      <c r="Q218" s="447" t="s">
        <v>662</v>
      </c>
      <c r="R218" s="447" t="s">
        <v>662</v>
      </c>
      <c r="S218" s="447" t="s">
        <v>663</v>
      </c>
      <c r="T218" s="447" t="s">
        <v>663</v>
      </c>
      <c r="U218" s="447" t="s">
        <v>663</v>
      </c>
      <c r="V218" s="447" t="str">
        <f t="shared" si="18"/>
        <v>phy</v>
      </c>
      <c r="W218" s="447" t="s">
        <v>664</v>
      </c>
      <c r="X218" s="447" t="str">
        <f t="shared" si="19"/>
        <v>x610</v>
      </c>
      <c r="Y218" s="447" t="str">
        <f t="shared" si="20"/>
        <v>1G phy combo</v>
      </c>
      <c r="Z218" s="457"/>
    </row>
    <row r="219" spans="1:26" s="471" customFormat="1">
      <c r="A219" s="447">
        <v>214</v>
      </c>
      <c r="B219" s="447" t="s">
        <v>62</v>
      </c>
      <c r="C219" s="447" t="s">
        <v>1163</v>
      </c>
      <c r="D219" s="447" t="s">
        <v>62</v>
      </c>
      <c r="E219" s="447" t="s">
        <v>1156</v>
      </c>
      <c r="F219" s="447" t="s">
        <v>1159</v>
      </c>
      <c r="G219" s="447" t="s">
        <v>1160</v>
      </c>
      <c r="H219" s="447"/>
      <c r="I219" s="448" t="s">
        <v>645</v>
      </c>
      <c r="J219" s="447" t="s">
        <v>1161</v>
      </c>
      <c r="K219" s="447"/>
      <c r="L219" s="449" t="s">
        <v>197</v>
      </c>
      <c r="M219" s="449" t="s">
        <v>197</v>
      </c>
      <c r="N219" s="449" t="s">
        <v>197</v>
      </c>
      <c r="O219" s="451" t="s">
        <v>475</v>
      </c>
      <c r="P219" s="451"/>
      <c r="Q219" s="447" t="s">
        <v>663</v>
      </c>
      <c r="R219" s="447" t="s">
        <v>663</v>
      </c>
      <c r="S219" s="447" t="s">
        <v>662</v>
      </c>
      <c r="T219" s="447" t="s">
        <v>663</v>
      </c>
      <c r="U219" s="447" t="s">
        <v>663</v>
      </c>
      <c r="V219" s="447" t="str">
        <f t="shared" si="18"/>
        <v>phy</v>
      </c>
      <c r="W219" s="447"/>
      <c r="X219" s="447" t="str">
        <f t="shared" si="19"/>
        <v>x610</v>
      </c>
      <c r="Y219" s="447" t="str">
        <f t="shared" si="20"/>
        <v xml:space="preserve">10G phy </v>
      </c>
      <c r="Z219" s="457"/>
    </row>
    <row r="220" spans="1:26" s="471" customFormat="1">
      <c r="A220" s="447">
        <v>215</v>
      </c>
      <c r="B220" s="447" t="s">
        <v>62</v>
      </c>
      <c r="C220" s="447" t="s">
        <v>1164</v>
      </c>
      <c r="D220" s="447" t="s">
        <v>62</v>
      </c>
      <c r="E220" s="447" t="s">
        <v>1156</v>
      </c>
      <c r="F220" s="447" t="s">
        <v>1157</v>
      </c>
      <c r="G220" s="447" t="s">
        <v>655</v>
      </c>
      <c r="H220" s="447"/>
      <c r="I220" s="448" t="s">
        <v>656</v>
      </c>
      <c r="J220" s="447" t="s">
        <v>1140</v>
      </c>
      <c r="K220" s="447"/>
      <c r="L220" s="449" t="s">
        <v>197</v>
      </c>
      <c r="M220" s="449" t="s">
        <v>197</v>
      </c>
      <c r="N220" s="449" t="s">
        <v>197</v>
      </c>
      <c r="O220" s="451" t="s">
        <v>475</v>
      </c>
      <c r="P220" s="451"/>
      <c r="Q220" s="447" t="s">
        <v>662</v>
      </c>
      <c r="R220" s="447" t="s">
        <v>662</v>
      </c>
      <c r="S220" s="447" t="s">
        <v>663</v>
      </c>
      <c r="T220" s="447" t="s">
        <v>663</v>
      </c>
      <c r="U220" s="447" t="s">
        <v>663</v>
      </c>
      <c r="V220" s="447" t="str">
        <f t="shared" si="18"/>
        <v>phy</v>
      </c>
      <c r="W220" s="447" t="s">
        <v>664</v>
      </c>
      <c r="X220" s="447" t="str">
        <f t="shared" si="19"/>
        <v>x610</v>
      </c>
      <c r="Y220" s="447" t="str">
        <f t="shared" si="20"/>
        <v>1G phy combo</v>
      </c>
      <c r="Z220" s="457"/>
    </row>
    <row r="221" spans="1:26" s="471" customFormat="1">
      <c r="A221" s="447">
        <v>216</v>
      </c>
      <c r="B221" s="447" t="s">
        <v>62</v>
      </c>
      <c r="C221" s="447" t="s">
        <v>1165</v>
      </c>
      <c r="D221" s="447" t="s">
        <v>62</v>
      </c>
      <c r="E221" s="447" t="s">
        <v>1156</v>
      </c>
      <c r="F221" s="447" t="s">
        <v>1157</v>
      </c>
      <c r="G221" s="447" t="s">
        <v>655</v>
      </c>
      <c r="H221" s="447"/>
      <c r="I221" s="448" t="s">
        <v>656</v>
      </c>
      <c r="J221" s="447" t="s">
        <v>1140</v>
      </c>
      <c r="K221" s="447"/>
      <c r="L221" s="449" t="s">
        <v>197</v>
      </c>
      <c r="M221" s="449" t="s">
        <v>197</v>
      </c>
      <c r="N221" s="449" t="s">
        <v>197</v>
      </c>
      <c r="O221" s="451" t="s">
        <v>475</v>
      </c>
      <c r="P221" s="451"/>
      <c r="Q221" s="447" t="s">
        <v>662</v>
      </c>
      <c r="R221" s="447" t="s">
        <v>662</v>
      </c>
      <c r="S221" s="447" t="s">
        <v>663</v>
      </c>
      <c r="T221" s="447" t="s">
        <v>663</v>
      </c>
      <c r="U221" s="447" t="s">
        <v>663</v>
      </c>
      <c r="V221" s="447" t="str">
        <f t="shared" si="18"/>
        <v>phy</v>
      </c>
      <c r="W221" s="447" t="s">
        <v>664</v>
      </c>
      <c r="X221" s="447" t="str">
        <f t="shared" si="19"/>
        <v>x610</v>
      </c>
      <c r="Y221" s="447" t="str">
        <f t="shared" si="20"/>
        <v>1G phy combo</v>
      </c>
      <c r="Z221" s="457"/>
    </row>
    <row r="222" spans="1:26" s="471" customFormat="1">
      <c r="A222" s="447">
        <v>217</v>
      </c>
      <c r="B222" s="447" t="s">
        <v>62</v>
      </c>
      <c r="C222" s="447" t="s">
        <v>1165</v>
      </c>
      <c r="D222" s="447" t="s">
        <v>62</v>
      </c>
      <c r="E222" s="447" t="s">
        <v>1156</v>
      </c>
      <c r="F222" s="447" t="s">
        <v>1159</v>
      </c>
      <c r="G222" s="447" t="s">
        <v>1160</v>
      </c>
      <c r="H222" s="447"/>
      <c r="I222" s="448" t="s">
        <v>645</v>
      </c>
      <c r="J222" s="447" t="s">
        <v>1161</v>
      </c>
      <c r="K222" s="447"/>
      <c r="L222" s="449" t="s">
        <v>197</v>
      </c>
      <c r="M222" s="449" t="s">
        <v>197</v>
      </c>
      <c r="N222" s="449" t="s">
        <v>197</v>
      </c>
      <c r="O222" s="451" t="s">
        <v>475</v>
      </c>
      <c r="P222" s="451"/>
      <c r="Q222" s="447" t="s">
        <v>663</v>
      </c>
      <c r="R222" s="447" t="s">
        <v>663</v>
      </c>
      <c r="S222" s="447" t="s">
        <v>662</v>
      </c>
      <c r="T222" s="447" t="s">
        <v>663</v>
      </c>
      <c r="U222" s="447" t="s">
        <v>663</v>
      </c>
      <c r="V222" s="447" t="str">
        <f t="shared" si="18"/>
        <v>phy</v>
      </c>
      <c r="W222" s="447"/>
      <c r="X222" s="447" t="str">
        <f t="shared" si="19"/>
        <v>x610</v>
      </c>
      <c r="Y222" s="447" t="str">
        <f t="shared" si="20"/>
        <v xml:space="preserve">10G phy </v>
      </c>
      <c r="Z222" s="457"/>
    </row>
    <row r="223" spans="1:26" s="471" customFormat="1">
      <c r="A223" s="447">
        <v>218</v>
      </c>
      <c r="B223" s="447" t="s">
        <v>62</v>
      </c>
      <c r="C223" s="447" t="s">
        <v>1166</v>
      </c>
      <c r="D223" s="447" t="s">
        <v>62</v>
      </c>
      <c r="E223" s="447" t="s">
        <v>1156</v>
      </c>
      <c r="F223" s="447" t="s">
        <v>1157</v>
      </c>
      <c r="G223" s="447" t="s">
        <v>655</v>
      </c>
      <c r="H223" s="447"/>
      <c r="I223" s="448" t="s">
        <v>656</v>
      </c>
      <c r="J223" s="447" t="s">
        <v>1140</v>
      </c>
      <c r="K223" s="447"/>
      <c r="L223" s="449" t="s">
        <v>197</v>
      </c>
      <c r="M223" s="449" t="s">
        <v>197</v>
      </c>
      <c r="N223" s="449" t="s">
        <v>197</v>
      </c>
      <c r="O223" s="451" t="s">
        <v>475</v>
      </c>
      <c r="P223" s="451"/>
      <c r="Q223" s="447" t="s">
        <v>662</v>
      </c>
      <c r="R223" s="447" t="s">
        <v>662</v>
      </c>
      <c r="S223" s="447" t="s">
        <v>663</v>
      </c>
      <c r="T223" s="447" t="s">
        <v>663</v>
      </c>
      <c r="U223" s="447" t="s">
        <v>663</v>
      </c>
      <c r="V223" s="447" t="str">
        <f t="shared" si="18"/>
        <v>phy</v>
      </c>
      <c r="W223" s="447" t="s">
        <v>664</v>
      </c>
      <c r="X223" s="447" t="str">
        <f t="shared" si="19"/>
        <v>x610</v>
      </c>
      <c r="Y223" s="447" t="str">
        <f t="shared" si="20"/>
        <v>1G phy combo</v>
      </c>
      <c r="Z223" s="457"/>
    </row>
    <row r="224" spans="1:26" s="471" customFormat="1">
      <c r="A224" s="447">
        <v>219</v>
      </c>
      <c r="B224" s="447" t="s">
        <v>62</v>
      </c>
      <c r="C224" s="447" t="s">
        <v>1167</v>
      </c>
      <c r="D224" s="447" t="s">
        <v>62</v>
      </c>
      <c r="E224" s="447" t="s">
        <v>1156</v>
      </c>
      <c r="F224" s="447" t="s">
        <v>1157</v>
      </c>
      <c r="G224" s="447" t="s">
        <v>655</v>
      </c>
      <c r="H224" s="447"/>
      <c r="I224" s="448" t="s">
        <v>656</v>
      </c>
      <c r="J224" s="447" t="s">
        <v>1140</v>
      </c>
      <c r="K224" s="447"/>
      <c r="L224" s="449" t="s">
        <v>197</v>
      </c>
      <c r="M224" s="449" t="s">
        <v>197</v>
      </c>
      <c r="N224" s="449" t="s">
        <v>197</v>
      </c>
      <c r="O224" s="451" t="s">
        <v>475</v>
      </c>
      <c r="P224" s="451"/>
      <c r="Q224" s="447" t="s">
        <v>662</v>
      </c>
      <c r="R224" s="447" t="s">
        <v>662</v>
      </c>
      <c r="S224" s="447" t="s">
        <v>663</v>
      </c>
      <c r="T224" s="447" t="s">
        <v>663</v>
      </c>
      <c r="U224" s="447" t="s">
        <v>663</v>
      </c>
      <c r="V224" s="447" t="str">
        <f t="shared" si="18"/>
        <v>phy</v>
      </c>
      <c r="W224" s="447" t="s">
        <v>664</v>
      </c>
      <c r="X224" s="447" t="str">
        <f t="shared" si="19"/>
        <v>x610</v>
      </c>
      <c r="Y224" s="447" t="str">
        <f t="shared" si="20"/>
        <v>1G phy combo</v>
      </c>
      <c r="Z224" s="457"/>
    </row>
    <row r="225" spans="1:26" s="471" customFormat="1">
      <c r="A225" s="447">
        <v>220</v>
      </c>
      <c r="B225" s="447" t="s">
        <v>62</v>
      </c>
      <c r="C225" s="447" t="s">
        <v>1167</v>
      </c>
      <c r="D225" s="447" t="s">
        <v>62</v>
      </c>
      <c r="E225" s="447" t="s">
        <v>1156</v>
      </c>
      <c r="F225" s="447" t="s">
        <v>1159</v>
      </c>
      <c r="G225" s="447" t="s">
        <v>1160</v>
      </c>
      <c r="H225" s="447"/>
      <c r="I225" s="448" t="s">
        <v>645</v>
      </c>
      <c r="J225" s="447" t="s">
        <v>1161</v>
      </c>
      <c r="K225" s="447"/>
      <c r="L225" s="449" t="s">
        <v>197</v>
      </c>
      <c r="M225" s="449" t="s">
        <v>197</v>
      </c>
      <c r="N225" s="449" t="s">
        <v>197</v>
      </c>
      <c r="O225" s="451" t="s">
        <v>475</v>
      </c>
      <c r="P225" s="451"/>
      <c r="Q225" s="447" t="s">
        <v>663</v>
      </c>
      <c r="R225" s="447" t="s">
        <v>663</v>
      </c>
      <c r="S225" s="447" t="s">
        <v>662</v>
      </c>
      <c r="T225" s="447" t="s">
        <v>663</v>
      </c>
      <c r="U225" s="447" t="s">
        <v>663</v>
      </c>
      <c r="V225" s="447" t="str">
        <f t="shared" si="18"/>
        <v>phy</v>
      </c>
      <c r="W225" s="447"/>
      <c r="X225" s="447" t="str">
        <f t="shared" si="19"/>
        <v>x610</v>
      </c>
      <c r="Y225" s="447" t="str">
        <f t="shared" si="20"/>
        <v xml:space="preserve">10G phy </v>
      </c>
      <c r="Z225" s="457"/>
    </row>
    <row r="226" spans="1:26" s="471" customFormat="1">
      <c r="A226" s="447">
        <v>221</v>
      </c>
      <c r="B226" s="447" t="s">
        <v>62</v>
      </c>
      <c r="C226" s="447" t="s">
        <v>1168</v>
      </c>
      <c r="D226" s="447" t="s">
        <v>62</v>
      </c>
      <c r="E226" s="447" t="s">
        <v>1156</v>
      </c>
      <c r="F226" s="447" t="s">
        <v>688</v>
      </c>
      <c r="G226" s="447" t="s">
        <v>967</v>
      </c>
      <c r="H226" s="447"/>
      <c r="I226" s="448" t="s">
        <v>656</v>
      </c>
      <c r="J226" s="447" t="s">
        <v>1169</v>
      </c>
      <c r="K226" s="447"/>
      <c r="L226" s="449" t="s">
        <v>1170</v>
      </c>
      <c r="M226" s="449" t="s">
        <v>1143</v>
      </c>
      <c r="N226" s="449">
        <v>2</v>
      </c>
      <c r="O226" s="451" t="s">
        <v>475</v>
      </c>
      <c r="P226" s="451"/>
      <c r="Q226" s="447" t="s">
        <v>662</v>
      </c>
      <c r="R226" s="447" t="s">
        <v>662</v>
      </c>
      <c r="S226" s="447" t="s">
        <v>663</v>
      </c>
      <c r="T226" s="447" t="s">
        <v>663</v>
      </c>
      <c r="U226" s="447" t="s">
        <v>663</v>
      </c>
      <c r="V226" s="447"/>
      <c r="W226" s="447"/>
      <c r="X226" s="447" t="str">
        <f t="shared" si="19"/>
        <v>x610</v>
      </c>
      <c r="Y226" s="447" t="str">
        <f t="shared" si="20"/>
        <v xml:space="preserve">1G  </v>
      </c>
      <c r="Z226" s="457"/>
    </row>
    <row r="227" spans="1:26" s="471" customFormat="1">
      <c r="A227" s="447">
        <v>222</v>
      </c>
      <c r="B227" s="447" t="s">
        <v>62</v>
      </c>
      <c r="C227" s="447" t="s">
        <v>1168</v>
      </c>
      <c r="D227" s="447" t="s">
        <v>62</v>
      </c>
      <c r="E227" s="447" t="s">
        <v>1156</v>
      </c>
      <c r="F227" s="447" t="s">
        <v>1157</v>
      </c>
      <c r="G227" s="447" t="s">
        <v>655</v>
      </c>
      <c r="H227" s="447"/>
      <c r="I227" s="448" t="s">
        <v>656</v>
      </c>
      <c r="J227" s="447" t="s">
        <v>1140</v>
      </c>
      <c r="K227" s="447"/>
      <c r="L227" s="449" t="s">
        <v>197</v>
      </c>
      <c r="M227" s="449" t="s">
        <v>197</v>
      </c>
      <c r="N227" s="449" t="s">
        <v>197</v>
      </c>
      <c r="O227" s="451" t="s">
        <v>475</v>
      </c>
      <c r="P227" s="451"/>
      <c r="Q227" s="447" t="s">
        <v>662</v>
      </c>
      <c r="R227" s="447" t="s">
        <v>662</v>
      </c>
      <c r="S227" s="447" t="s">
        <v>663</v>
      </c>
      <c r="T227" s="447" t="s">
        <v>663</v>
      </c>
      <c r="U227" s="447" t="s">
        <v>663</v>
      </c>
      <c r="V227" s="447" t="str">
        <f>IF(F227="DC","DC","phy")</f>
        <v>phy</v>
      </c>
      <c r="W227" s="447" t="s">
        <v>664</v>
      </c>
      <c r="X227" s="447" t="str">
        <f t="shared" si="19"/>
        <v>x610</v>
      </c>
      <c r="Y227" s="447" t="str">
        <f t="shared" si="20"/>
        <v>1G phy combo</v>
      </c>
      <c r="Z227" s="457"/>
    </row>
    <row r="228" spans="1:26" s="471" customFormat="1">
      <c r="A228" s="447">
        <v>223</v>
      </c>
      <c r="B228" s="447" t="s">
        <v>62</v>
      </c>
      <c r="C228" s="447" t="s">
        <v>1168</v>
      </c>
      <c r="D228" s="447" t="s">
        <v>62</v>
      </c>
      <c r="E228" s="447" t="s">
        <v>1156</v>
      </c>
      <c r="F228" s="447" t="s">
        <v>1159</v>
      </c>
      <c r="G228" s="447" t="s">
        <v>1160</v>
      </c>
      <c r="H228" s="447"/>
      <c r="I228" s="448" t="s">
        <v>645</v>
      </c>
      <c r="J228" s="447" t="s">
        <v>1161</v>
      </c>
      <c r="K228" s="447"/>
      <c r="L228" s="449" t="s">
        <v>197</v>
      </c>
      <c r="M228" s="449" t="s">
        <v>197</v>
      </c>
      <c r="N228" s="449" t="s">
        <v>197</v>
      </c>
      <c r="O228" s="451" t="s">
        <v>475</v>
      </c>
      <c r="P228" s="451"/>
      <c r="Q228" s="447" t="s">
        <v>663</v>
      </c>
      <c r="R228" s="447" t="s">
        <v>663</v>
      </c>
      <c r="S228" s="447" t="s">
        <v>662</v>
      </c>
      <c r="T228" s="447" t="s">
        <v>663</v>
      </c>
      <c r="U228" s="447" t="s">
        <v>663</v>
      </c>
      <c r="V228" s="447" t="str">
        <f>IF(F228="DC","DC","phy")</f>
        <v>phy</v>
      </c>
      <c r="W228" s="447"/>
      <c r="X228" s="447" t="str">
        <f t="shared" si="19"/>
        <v>x610</v>
      </c>
      <c r="Y228" s="447" t="str">
        <f t="shared" si="20"/>
        <v xml:space="preserve">10G phy </v>
      </c>
      <c r="Z228" s="457"/>
    </row>
    <row r="229" spans="1:26" s="471" customFormat="1">
      <c r="A229" s="447">
        <v>224</v>
      </c>
      <c r="B229" s="447" t="s">
        <v>62</v>
      </c>
      <c r="C229" s="447" t="s">
        <v>1171</v>
      </c>
      <c r="D229" s="447" t="s">
        <v>62</v>
      </c>
      <c r="E229" s="447" t="s">
        <v>1072</v>
      </c>
      <c r="F229" s="447" t="s">
        <v>1159</v>
      </c>
      <c r="G229" s="447" t="s">
        <v>1160</v>
      </c>
      <c r="H229" s="447"/>
      <c r="I229" s="448" t="s">
        <v>645</v>
      </c>
      <c r="J229" s="447" t="s">
        <v>1172</v>
      </c>
      <c r="K229" s="447"/>
      <c r="L229" s="449" t="s">
        <v>1173</v>
      </c>
      <c r="M229" s="449" t="s">
        <v>1174</v>
      </c>
      <c r="N229" s="449" t="s">
        <v>788</v>
      </c>
      <c r="O229" s="451" t="s">
        <v>475</v>
      </c>
      <c r="P229" s="451"/>
      <c r="Q229" s="447" t="s">
        <v>663</v>
      </c>
      <c r="R229" s="447" t="s">
        <v>663</v>
      </c>
      <c r="S229" s="447" t="s">
        <v>662</v>
      </c>
      <c r="T229" s="447" t="s">
        <v>663</v>
      </c>
      <c r="U229" s="447" t="s">
        <v>663</v>
      </c>
      <c r="V229" s="447" t="str">
        <f>IF(F229="DC","DC","phy")</f>
        <v>phy</v>
      </c>
      <c r="W229" s="447"/>
      <c r="X229" s="447" t="str">
        <f t="shared" si="19"/>
        <v>x610</v>
      </c>
      <c r="Y229" s="447" t="str">
        <f t="shared" si="20"/>
        <v xml:space="preserve">10G phy </v>
      </c>
      <c r="Z229" s="457"/>
    </row>
    <row r="230" spans="1:26">
      <c r="A230" s="486"/>
      <c r="B230" s="486"/>
      <c r="C230" s="486"/>
      <c r="D230" s="486"/>
      <c r="E230" s="486"/>
      <c r="F230" s="486"/>
      <c r="G230" s="486"/>
      <c r="H230" s="486"/>
      <c r="I230" s="487"/>
      <c r="J230" s="486"/>
      <c r="K230" s="486"/>
      <c r="L230" s="466"/>
      <c r="M230" s="466"/>
      <c r="N230" s="466"/>
      <c r="O230" s="462"/>
      <c r="P230" s="462"/>
      <c r="Q230" s="458" t="s">
        <v>663</v>
      </c>
      <c r="R230" s="458" t="s">
        <v>663</v>
      </c>
      <c r="S230" s="458" t="s">
        <v>663</v>
      </c>
      <c r="T230" s="458" t="s">
        <v>663</v>
      </c>
      <c r="U230" s="458" t="s">
        <v>663</v>
      </c>
      <c r="V230" s="458"/>
      <c r="W230" s="458"/>
      <c r="X230" s="458">
        <f t="shared" si="19"/>
        <v>0</v>
      </c>
      <c r="Y230" s="458" t="str">
        <f t="shared" si="20"/>
        <v xml:space="preserve">0  </v>
      </c>
      <c r="Z230" s="488"/>
    </row>
  </sheetData>
  <autoFilter ref="A2:AA230" xr:uid="{00000000-0009-0000-0000-00000A000000}"/>
  <mergeCells count="7">
    <mergeCell ref="G1:K1"/>
    <mergeCell ref="L1:N1"/>
    <mergeCell ref="A1:A2"/>
    <mergeCell ref="B1:B2"/>
    <mergeCell ref="C1:C2"/>
    <mergeCell ref="D1:D2"/>
    <mergeCell ref="E1:F1"/>
  </mergeCells>
  <conditionalFormatting sqref="B1:E2 B58:D58 F58:I58 B45:E45 G45:I45 B50:E50 G50:I50 B73:E73 I73:J73 G1 B28:P28 B6:P6 B3:L3 G2:M2 B59:P59 B64:I64 O2:P5 B9:P9 B7:K8 O7:P8 B11:K11 B20:K20 B46:I49 B51:I57 B62:P63 B60:K61 B65:K65 B68:K68 O93:P98 O175:P176 B181:K184 O183:P184 B186:K188 O196:P197 F37:W41 U38:W42 B43:I44 B71:K71 O73:P73 O75:P84 O105:P112 O121:P122 B150:I151 B146:I147 B190:K193 C12:K19 B66:P67 O36:W36 B5:N5 B4:K4 O11:P20 B194:N195 J59:P66 O68:P71 B117:B118 E117:K118 O29:P41 B29:K42 B70:J70 B75:K116 A120:A122 A118 J118:K120 B196:K230 B121:K122 O140:P145 B156:K178 A124:K125 O124:P125 O127:P127 A127:A128 B127:K131 B133:K145">
    <cfRule type="cellIs" dxfId="1796" priority="2" operator="equal">
      <formula>"Cancelled"</formula>
    </cfRule>
    <cfRule type="cellIs" dxfId="1795" priority="3" operator="equal">
      <formula>"Obsolete"</formula>
    </cfRule>
    <cfRule type="cellIs" dxfId="1794" priority="4" operator="equal">
      <formula>"EOSS"</formula>
    </cfRule>
  </conditionalFormatting>
  <conditionalFormatting sqref="F45">
    <cfRule type="cellIs" dxfId="1793" priority="5" operator="equal">
      <formula>"Cancelled"</formula>
    </cfRule>
    <cfRule type="cellIs" dxfId="1792" priority="6" operator="equal">
      <formula>"Obsolete"</formula>
    </cfRule>
    <cfRule type="cellIs" dxfId="1791" priority="7" operator="equal">
      <formula>"EOSS"</formula>
    </cfRule>
  </conditionalFormatting>
  <conditionalFormatting sqref="E58">
    <cfRule type="cellIs" dxfId="1790" priority="8" operator="equal">
      <formula>"Cancelled"</formula>
    </cfRule>
    <cfRule type="cellIs" dxfId="1789" priority="9" operator="equal">
      <formula>"Obsolete"</formula>
    </cfRule>
    <cfRule type="cellIs" dxfId="1788" priority="10" operator="equal">
      <formula>"EOSS"</formula>
    </cfRule>
  </conditionalFormatting>
  <conditionalFormatting sqref="B189:K189">
    <cfRule type="cellIs" dxfId="1787" priority="11" operator="equal">
      <formula>"Cancelled"</formula>
    </cfRule>
    <cfRule type="cellIs" dxfId="1786" priority="12" operator="equal">
      <formula>"Obsolete"</formula>
    </cfRule>
    <cfRule type="cellIs" dxfId="1785" priority="13" operator="equal">
      <formula>"EOSS"</formula>
    </cfRule>
  </conditionalFormatting>
  <conditionalFormatting sqref="F50">
    <cfRule type="cellIs" dxfId="1784" priority="14" operator="equal">
      <formula>"Cancelled"</formula>
    </cfRule>
    <cfRule type="cellIs" dxfId="1783" priority="15" operator="equal">
      <formula>"Obsolete"</formula>
    </cfRule>
    <cfRule type="cellIs" dxfId="1782" priority="16" operator="equal">
      <formula>"EOSS"</formula>
    </cfRule>
  </conditionalFormatting>
  <conditionalFormatting sqref="B10:K10 O10:P10">
    <cfRule type="cellIs" dxfId="1781" priority="17" operator="equal">
      <formula>"Cancelled"</formula>
    </cfRule>
    <cfRule type="cellIs" dxfId="1780" priority="18" operator="equal">
      <formula>"Obsolete"</formula>
    </cfRule>
    <cfRule type="cellIs" dxfId="1779" priority="19" operator="equal">
      <formula>"EOSS"</formula>
    </cfRule>
  </conditionalFormatting>
  <conditionalFormatting sqref="B74:I74 O74:P74">
    <cfRule type="cellIs" dxfId="1778" priority="20" operator="equal">
      <formula>"Cancelled"</formula>
    </cfRule>
    <cfRule type="cellIs" dxfId="1777" priority="21" operator="equal">
      <formula>"Obsolete"</formula>
    </cfRule>
    <cfRule type="cellIs" dxfId="1776" priority="22" operator="equal">
      <formula>"EOSS"</formula>
    </cfRule>
  </conditionalFormatting>
  <conditionalFormatting sqref="B72:J72 O72:P72">
    <cfRule type="cellIs" dxfId="1775" priority="23" operator="equal">
      <formula>"Cancelled"</formula>
    </cfRule>
    <cfRule type="cellIs" dxfId="1774" priority="24" operator="equal">
      <formula>"Obsolete"</formula>
    </cfRule>
    <cfRule type="cellIs" dxfId="1773" priority="25" operator="equal">
      <formula>"EOSS"</formula>
    </cfRule>
  </conditionalFormatting>
  <conditionalFormatting sqref="F73">
    <cfRule type="cellIs" dxfId="1772" priority="26" operator="equal">
      <formula>"Cancelled"</formula>
    </cfRule>
    <cfRule type="cellIs" dxfId="1771" priority="27" operator="equal">
      <formula>"Obsolete"</formula>
    </cfRule>
    <cfRule type="cellIs" dxfId="1770" priority="28" operator="equal">
      <formula>"EOSS"</formula>
    </cfRule>
  </conditionalFormatting>
  <conditionalFormatting sqref="G73:H73">
    <cfRule type="cellIs" dxfId="1769" priority="29" operator="equal">
      <formula>"Cancelled"</formula>
    </cfRule>
    <cfRule type="cellIs" dxfId="1768" priority="30" operator="equal">
      <formula>"Obsolete"</formula>
    </cfRule>
    <cfRule type="cellIs" dxfId="1767" priority="31" operator="equal">
      <formula>"EOSS"</formula>
    </cfRule>
  </conditionalFormatting>
  <conditionalFormatting sqref="B185:E185 O185:P185 G185:K185">
    <cfRule type="cellIs" dxfId="1766" priority="32" operator="equal">
      <formula>"Cancelled"</formula>
    </cfRule>
    <cfRule type="cellIs" dxfId="1765" priority="33" operator="equal">
      <formula>"Obsolete"</formula>
    </cfRule>
    <cfRule type="cellIs" dxfId="1764" priority="34" operator="equal">
      <formula>"EOSS"</formula>
    </cfRule>
  </conditionalFormatting>
  <conditionalFormatting sqref="A1:A11 A30:A35 A20 A67:A74 A81:A84 A93:A98 A105:A112 A43:A58 A136:A143 A168:A175 A182:A189 A196:A203 A210:A217 A224:A230 A156:A161 A150:A151">
    <cfRule type="cellIs" dxfId="1763" priority="35" operator="equal">
      <formula>"Cancelled"</formula>
    </cfRule>
    <cfRule type="cellIs" dxfId="1762" priority="36" operator="equal">
      <formula>"Obsolete"</formula>
    </cfRule>
    <cfRule type="cellIs" dxfId="1761" priority="37" operator="equal">
      <formula>"EOSS"</formula>
    </cfRule>
  </conditionalFormatting>
  <conditionalFormatting sqref="J74:K74">
    <cfRule type="cellIs" dxfId="1760" priority="38" operator="equal">
      <formula>"Cancelled"</formula>
    </cfRule>
    <cfRule type="cellIs" dxfId="1759" priority="39" operator="equal">
      <formula>"Obsolete"</formula>
    </cfRule>
    <cfRule type="cellIs" dxfId="1758" priority="40" operator="equal">
      <formula>"EOSS"</formula>
    </cfRule>
  </conditionalFormatting>
  <conditionalFormatting sqref="Q73 Q75:Q84 Q190:Q191 Q11:Q20 Q2:Q9 Q28:Q42 Q183:Q184 Q59:Q71 Q93:Q98 Q105:Q112 Q121:Q122 Q140:Q145 Q175:Q176 Q194:Q197 Q124:Q125 Q127:Q131 Q133:Q135">
    <cfRule type="cellIs" dxfId="1757" priority="41" operator="equal">
      <formula>"Cancelled"</formula>
    </cfRule>
    <cfRule type="cellIs" dxfId="1756" priority="42" operator="equal">
      <formula>"Obsolete"</formula>
    </cfRule>
    <cfRule type="cellIs" dxfId="1755" priority="43" operator="equal">
      <formula>"EOSS"</formula>
    </cfRule>
  </conditionalFormatting>
  <conditionalFormatting sqref="Q189">
    <cfRule type="cellIs" dxfId="1754" priority="44" operator="equal">
      <formula>"Cancelled"</formula>
    </cfRule>
    <cfRule type="cellIs" dxfId="1753" priority="45" operator="equal">
      <formula>"Obsolete"</formula>
    </cfRule>
    <cfRule type="cellIs" dxfId="1752" priority="46" operator="equal">
      <formula>"EOSS"</formula>
    </cfRule>
  </conditionalFormatting>
  <conditionalFormatting sqref="Q10">
    <cfRule type="cellIs" dxfId="1751" priority="47" operator="equal">
      <formula>"Cancelled"</formula>
    </cfRule>
    <cfRule type="cellIs" dxfId="1750" priority="48" operator="equal">
      <formula>"Obsolete"</formula>
    </cfRule>
    <cfRule type="cellIs" dxfId="1749" priority="49" operator="equal">
      <formula>"EOSS"</formula>
    </cfRule>
  </conditionalFormatting>
  <conditionalFormatting sqref="Q74">
    <cfRule type="cellIs" dxfId="1748" priority="50" operator="equal">
      <formula>"Cancelled"</formula>
    </cfRule>
    <cfRule type="cellIs" dxfId="1747" priority="51" operator="equal">
      <formula>"Obsolete"</formula>
    </cfRule>
    <cfRule type="cellIs" dxfId="1746" priority="52" operator="equal">
      <formula>"EOSS"</formula>
    </cfRule>
  </conditionalFormatting>
  <conditionalFormatting sqref="Q72">
    <cfRule type="cellIs" dxfId="1745" priority="53" operator="equal">
      <formula>"Cancelled"</formula>
    </cfRule>
    <cfRule type="cellIs" dxfId="1744" priority="54" operator="equal">
      <formula>"Obsolete"</formula>
    </cfRule>
    <cfRule type="cellIs" dxfId="1743" priority="55" operator="equal">
      <formula>"EOSS"</formula>
    </cfRule>
  </conditionalFormatting>
  <conditionalFormatting sqref="Q185">
    <cfRule type="cellIs" dxfId="1742" priority="56" operator="equal">
      <formula>"Cancelled"</formula>
    </cfRule>
    <cfRule type="cellIs" dxfId="1741" priority="57" operator="equal">
      <formula>"Obsolete"</formula>
    </cfRule>
    <cfRule type="cellIs" dxfId="1740" priority="58" operator="equal">
      <formula>"EOSS"</formula>
    </cfRule>
  </conditionalFormatting>
  <conditionalFormatting sqref="R73:U73 R11:Z20 R2:Z9 Z22 Z24 Z26 R28:Z35 R68:U71 W68:W71 R81:U84 W73 R109:W112 R183:U184 W183:W184 R190:W191 Z190:Z230 Z73 Z36:Z71 Z186:Z188 X181:Y185 Z181:Z184 R181:W182 R36:Y42 X67:Y74 R67:W67 R59:T66 W81:Y84 R75:T80 W93:Y98 R93:U98 R105:U108 W105:W108 X105:Y112 R140:Z145 R175:Z178 Z146:Z151 X189:Y197 R194:W197 S192:W193 R121:Z122 Z75:Z118 Z156:Z174 R124:Z125 R127:Z131 R133:Z135">
    <cfRule type="cellIs" dxfId="1739" priority="59" operator="equal">
      <formula>"Cancelled"</formula>
    </cfRule>
    <cfRule type="cellIs" dxfId="1738" priority="60" operator="equal">
      <formula>"Obsolete"</formula>
    </cfRule>
    <cfRule type="cellIs" dxfId="1737" priority="61" operator="equal">
      <formula>"EOSS"</formula>
    </cfRule>
  </conditionalFormatting>
  <conditionalFormatting sqref="R189:U189 W189 Z189">
    <cfRule type="cellIs" dxfId="1736" priority="62" operator="equal">
      <formula>"Cancelled"</formula>
    </cfRule>
    <cfRule type="cellIs" dxfId="1735" priority="63" operator="equal">
      <formula>"Obsolete"</formula>
    </cfRule>
    <cfRule type="cellIs" dxfId="1734" priority="64" operator="equal">
      <formula>"EOSS"</formula>
    </cfRule>
  </conditionalFormatting>
  <conditionalFormatting sqref="R10:Z10">
    <cfRule type="cellIs" dxfId="1733" priority="65" operator="equal">
      <formula>"Cancelled"</formula>
    </cfRule>
    <cfRule type="cellIs" dxfId="1732" priority="66" operator="equal">
      <formula>"Obsolete"</formula>
    </cfRule>
    <cfRule type="cellIs" dxfId="1731" priority="67" operator="equal">
      <formula>"EOSS"</formula>
    </cfRule>
  </conditionalFormatting>
  <conditionalFormatting sqref="R74:U74 W74 Z74">
    <cfRule type="cellIs" dxfId="1730" priority="68" operator="equal">
      <formula>"Cancelled"</formula>
    </cfRule>
    <cfRule type="cellIs" dxfId="1729" priority="69" operator="equal">
      <formula>"Obsolete"</formula>
    </cfRule>
    <cfRule type="cellIs" dxfId="1728" priority="70" operator="equal">
      <formula>"EOSS"</formula>
    </cfRule>
  </conditionalFormatting>
  <conditionalFormatting sqref="R72:U72 W72 Z72">
    <cfRule type="cellIs" dxfId="1727" priority="71" operator="equal">
      <formula>"Cancelled"</formula>
    </cfRule>
    <cfRule type="cellIs" dxfId="1726" priority="72" operator="equal">
      <formula>"Obsolete"</formula>
    </cfRule>
    <cfRule type="cellIs" dxfId="1725" priority="73" operator="equal">
      <formula>"EOSS"</formula>
    </cfRule>
  </conditionalFormatting>
  <conditionalFormatting sqref="R185:U185 W185 Z185">
    <cfRule type="cellIs" dxfId="1724" priority="74" operator="equal">
      <formula>"Cancelled"</formula>
    </cfRule>
    <cfRule type="cellIs" dxfId="1723" priority="75" operator="equal">
      <formula>"Obsolete"</formula>
    </cfRule>
    <cfRule type="cellIs" dxfId="1722" priority="76" operator="equal">
      <formula>"EOSS"</formula>
    </cfRule>
  </conditionalFormatting>
  <conditionalFormatting sqref="Z27">
    <cfRule type="cellIs" dxfId="1721" priority="77" operator="equal">
      <formula>"Cancelled"</formula>
    </cfRule>
    <cfRule type="cellIs" dxfId="1720" priority="78" operator="equal">
      <formula>"Obsolete"</formula>
    </cfRule>
    <cfRule type="cellIs" dxfId="1719" priority="79" operator="equal">
      <formula>"EOSS"</formula>
    </cfRule>
  </conditionalFormatting>
  <conditionalFormatting sqref="Z21">
    <cfRule type="cellIs" dxfId="1718" priority="80" operator="equal">
      <formula>"Cancelled"</formula>
    </cfRule>
    <cfRule type="cellIs" dxfId="1717" priority="81" operator="equal">
      <formula>"Obsolete"</formula>
    </cfRule>
    <cfRule type="cellIs" dxfId="1716" priority="82" operator="equal">
      <formula>"EOSS"</formula>
    </cfRule>
  </conditionalFormatting>
  <conditionalFormatting sqref="Z23">
    <cfRule type="cellIs" dxfId="1715" priority="83" operator="equal">
      <formula>"Cancelled"</formula>
    </cfRule>
    <cfRule type="cellIs" dxfId="1714" priority="84" operator="equal">
      <formula>"Obsolete"</formula>
    </cfRule>
    <cfRule type="cellIs" dxfId="1713" priority="85" operator="equal">
      <formula>"EOSS"</formula>
    </cfRule>
  </conditionalFormatting>
  <conditionalFormatting sqref="Z25">
    <cfRule type="cellIs" dxfId="1712" priority="86" operator="equal">
      <formula>"Cancelled"</formula>
    </cfRule>
    <cfRule type="cellIs" dxfId="1711" priority="87" operator="equal">
      <formula>"Obsolete"</formula>
    </cfRule>
    <cfRule type="cellIs" dxfId="1710" priority="88" operator="equal">
      <formula>"EOSS"</formula>
    </cfRule>
  </conditionalFormatting>
  <conditionalFormatting sqref="V189 V183:V185 V68:V74 V81:V84 V93:V98 V105:V108">
    <cfRule type="cellIs" dxfId="1709" priority="89" operator="equal">
      <formula>"Cancelled"</formula>
    </cfRule>
    <cfRule type="cellIs" dxfId="1708" priority="90" operator="equal">
      <formula>"Obsolete"</formula>
    </cfRule>
    <cfRule type="cellIs" dxfId="1707" priority="91" operator="equal">
      <formula>"EOSS"</formula>
    </cfRule>
  </conditionalFormatting>
  <conditionalFormatting sqref="C179:E179 I179:K179">
    <cfRule type="cellIs" dxfId="1706" priority="92" operator="equal">
      <formula>"Cancelled"</formula>
    </cfRule>
    <cfRule type="cellIs" dxfId="1705" priority="93" operator="equal">
      <formula>"Obsolete"</formula>
    </cfRule>
    <cfRule type="cellIs" dxfId="1704" priority="94" operator="equal">
      <formula>"EOSS"</formula>
    </cfRule>
  </conditionalFormatting>
  <conditionalFormatting sqref="C180:I180">
    <cfRule type="cellIs" dxfId="1703" priority="95" operator="equal">
      <formula>"Cancelled"</formula>
    </cfRule>
    <cfRule type="cellIs" dxfId="1702" priority="96" operator="equal">
      <formula>"Obsolete"</formula>
    </cfRule>
    <cfRule type="cellIs" dxfId="1701" priority="97" operator="equal">
      <formula>"EOSS"</formula>
    </cfRule>
  </conditionalFormatting>
  <conditionalFormatting sqref="F179">
    <cfRule type="cellIs" dxfId="1700" priority="98" operator="equal">
      <formula>"Cancelled"</formula>
    </cfRule>
    <cfRule type="cellIs" dxfId="1699" priority="99" operator="equal">
      <formula>"Obsolete"</formula>
    </cfRule>
    <cfRule type="cellIs" dxfId="1698" priority="100" operator="equal">
      <formula>"EOSS"</formula>
    </cfRule>
  </conditionalFormatting>
  <conditionalFormatting sqref="G179:H179">
    <cfRule type="cellIs" dxfId="1697" priority="101" operator="equal">
      <formula>"Cancelled"</formula>
    </cfRule>
    <cfRule type="cellIs" dxfId="1696" priority="102" operator="equal">
      <formula>"Obsolete"</formula>
    </cfRule>
    <cfRule type="cellIs" dxfId="1695" priority="103" operator="equal">
      <formula>"EOSS"</formula>
    </cfRule>
  </conditionalFormatting>
  <conditionalFormatting sqref="J180:K180">
    <cfRule type="cellIs" dxfId="1694" priority="104" operator="equal">
      <formula>"Cancelled"</formula>
    </cfRule>
    <cfRule type="cellIs" dxfId="1693" priority="105" operator="equal">
      <formula>"Obsolete"</formula>
    </cfRule>
    <cfRule type="cellIs" dxfId="1692" priority="106" operator="equal">
      <formula>"EOSS"</formula>
    </cfRule>
  </conditionalFormatting>
  <conditionalFormatting sqref="R179:U179 W179 Z179 X179:Y180">
    <cfRule type="cellIs" dxfId="1691" priority="107" operator="equal">
      <formula>"Cancelled"</formula>
    </cfRule>
    <cfRule type="cellIs" dxfId="1690" priority="108" operator="equal">
      <formula>"Obsolete"</formula>
    </cfRule>
    <cfRule type="cellIs" dxfId="1689" priority="109" operator="equal">
      <formula>"EOSS"</formula>
    </cfRule>
  </conditionalFormatting>
  <conditionalFormatting sqref="R180:U180 W180 Z180">
    <cfRule type="cellIs" dxfId="1688" priority="110" operator="equal">
      <formula>"Cancelled"</formula>
    </cfRule>
    <cfRule type="cellIs" dxfId="1687" priority="111" operator="equal">
      <formula>"Obsolete"</formula>
    </cfRule>
    <cfRule type="cellIs" dxfId="1686" priority="112" operator="equal">
      <formula>"EOSS"</formula>
    </cfRule>
  </conditionalFormatting>
  <conditionalFormatting sqref="V179:V180">
    <cfRule type="cellIs" dxfId="1685" priority="113" operator="equal">
      <formula>"Cancelled"</formula>
    </cfRule>
    <cfRule type="cellIs" dxfId="1684" priority="114" operator="equal">
      <formula>"Obsolete"</formula>
    </cfRule>
    <cfRule type="cellIs" dxfId="1683" priority="115" operator="equal">
      <formula>"EOSS"</formula>
    </cfRule>
  </conditionalFormatting>
  <conditionalFormatting sqref="B179:B180">
    <cfRule type="cellIs" dxfId="1682" priority="116" operator="equal">
      <formula>"Cancelled"</formula>
    </cfRule>
    <cfRule type="cellIs" dxfId="1681" priority="117" operator="equal">
      <formula>"Obsolete"</formula>
    </cfRule>
    <cfRule type="cellIs" dxfId="1680" priority="118" operator="equal">
      <formula>"EOSS"</formula>
    </cfRule>
  </conditionalFormatting>
  <conditionalFormatting sqref="J64:K64">
    <cfRule type="cellIs" dxfId="1679" priority="119" operator="equal">
      <formula>"Cancelled"</formula>
    </cfRule>
    <cfRule type="cellIs" dxfId="1678" priority="120" operator="equal">
      <formula>"Obsolete"</formula>
    </cfRule>
    <cfRule type="cellIs" dxfId="1677" priority="121" operator="equal">
      <formula>"EOSS"</formula>
    </cfRule>
  </conditionalFormatting>
  <conditionalFormatting sqref="B69:F69 I69">
    <cfRule type="cellIs" dxfId="1676" priority="122" operator="equal">
      <formula>"Cancelled"</formula>
    </cfRule>
    <cfRule type="cellIs" dxfId="1675" priority="123" operator="equal">
      <formula>"Obsolete"</formula>
    </cfRule>
    <cfRule type="cellIs" dxfId="1674" priority="124" operator="equal">
      <formula>"EOSS"</formula>
    </cfRule>
  </conditionalFormatting>
  <conditionalFormatting sqref="G69:H69">
    <cfRule type="cellIs" dxfId="1673" priority="125" operator="equal">
      <formula>"Cancelled"</formula>
    </cfRule>
    <cfRule type="cellIs" dxfId="1672" priority="126" operator="equal">
      <formula>"Obsolete"</formula>
    </cfRule>
    <cfRule type="cellIs" dxfId="1671" priority="127" operator="equal">
      <formula>"EOSS"</formula>
    </cfRule>
  </conditionalFormatting>
  <conditionalFormatting sqref="J69:K69">
    <cfRule type="cellIs" dxfId="1670" priority="128" operator="equal">
      <formula>"Cancelled"</formula>
    </cfRule>
    <cfRule type="cellIs" dxfId="1669" priority="129" operator="equal">
      <formula>"Obsolete"</formula>
    </cfRule>
    <cfRule type="cellIs" dxfId="1668" priority="130" operator="equal">
      <formula>"EOSS"</formula>
    </cfRule>
  </conditionalFormatting>
  <conditionalFormatting sqref="B148:I149">
    <cfRule type="cellIs" dxfId="1667" priority="131" operator="equal">
      <formula>"Cancelled"</formula>
    </cfRule>
    <cfRule type="cellIs" dxfId="1666" priority="132" operator="equal">
      <formula>"Obsolete"</formula>
    </cfRule>
    <cfRule type="cellIs" dxfId="1665" priority="133" operator="equal">
      <formula>"EOSS"</formula>
    </cfRule>
  </conditionalFormatting>
  <conditionalFormatting sqref="M3">
    <cfRule type="cellIs" dxfId="1664" priority="134" operator="equal">
      <formula>"Cancelled"</formula>
    </cfRule>
    <cfRule type="cellIs" dxfId="1663" priority="135" operator="equal">
      <formula>"Obsolete"</formula>
    </cfRule>
    <cfRule type="cellIs" dxfId="1662" priority="136" operator="equal">
      <formula>"EOSS"</formula>
    </cfRule>
  </conditionalFormatting>
  <conditionalFormatting sqref="N3">
    <cfRule type="cellIs" dxfId="1661" priority="137" operator="equal">
      <formula>"Cancelled"</formula>
    </cfRule>
    <cfRule type="cellIs" dxfId="1660" priority="138" operator="equal">
      <formula>"Obsolete"</formula>
    </cfRule>
    <cfRule type="cellIs" dxfId="1659" priority="139" operator="equal">
      <formula>"EOSS"</formula>
    </cfRule>
  </conditionalFormatting>
  <conditionalFormatting sqref="L7">
    <cfRule type="cellIs" dxfId="1658" priority="140" operator="equal">
      <formula>"Cancelled"</formula>
    </cfRule>
    <cfRule type="cellIs" dxfId="1657" priority="141" operator="equal">
      <formula>"Obsolete"</formula>
    </cfRule>
    <cfRule type="cellIs" dxfId="1656" priority="142" operator="equal">
      <formula>"EOSS"</formula>
    </cfRule>
  </conditionalFormatting>
  <conditionalFormatting sqref="M7">
    <cfRule type="cellIs" dxfId="1655" priority="143" operator="equal">
      <formula>"Cancelled"</formula>
    </cfRule>
    <cfRule type="cellIs" dxfId="1654" priority="144" operator="equal">
      <formula>"Obsolete"</formula>
    </cfRule>
    <cfRule type="cellIs" dxfId="1653" priority="145" operator="equal">
      <formula>"EOSS"</formula>
    </cfRule>
  </conditionalFormatting>
  <conditionalFormatting sqref="N7">
    <cfRule type="cellIs" dxfId="1652" priority="146" operator="equal">
      <formula>"Cancelled"</formula>
    </cfRule>
    <cfRule type="cellIs" dxfId="1651" priority="147" operator="equal">
      <formula>"Obsolete"</formula>
    </cfRule>
    <cfRule type="cellIs" dxfId="1650" priority="148" operator="equal">
      <formula>"EOSS"</formula>
    </cfRule>
  </conditionalFormatting>
  <conditionalFormatting sqref="L7:L10">
    <cfRule type="cellIs" dxfId="1649" priority="149" operator="equal">
      <formula>"Cancelled"</formula>
    </cfRule>
    <cfRule type="cellIs" dxfId="1648" priority="150" operator="equal">
      <formula>"Obsolete"</formula>
    </cfRule>
    <cfRule type="cellIs" dxfId="1647" priority="151" operator="equal">
      <formula>"EOSS"</formula>
    </cfRule>
  </conditionalFormatting>
  <conditionalFormatting sqref="M7:M10">
    <cfRule type="cellIs" dxfId="1646" priority="152" operator="equal">
      <formula>"Cancelled"</formula>
    </cfRule>
    <cfRule type="cellIs" dxfId="1645" priority="153" operator="equal">
      <formula>"Obsolete"</formula>
    </cfRule>
    <cfRule type="cellIs" dxfId="1644" priority="154" operator="equal">
      <formula>"EOSS"</formula>
    </cfRule>
  </conditionalFormatting>
  <conditionalFormatting sqref="N7:N10">
    <cfRule type="cellIs" dxfId="1643" priority="155" operator="equal">
      <formula>"Cancelled"</formula>
    </cfRule>
    <cfRule type="cellIs" dxfId="1642" priority="156" operator="equal">
      <formula>"Obsolete"</formula>
    </cfRule>
    <cfRule type="cellIs" dxfId="1641" priority="157" operator="equal">
      <formula>"EOSS"</formula>
    </cfRule>
  </conditionalFormatting>
  <conditionalFormatting sqref="L5:N10">
    <cfRule type="cellIs" dxfId="1640" priority="158" operator="equal">
      <formula>"Cancelled"</formula>
    </cfRule>
    <cfRule type="cellIs" dxfId="1639" priority="159" operator="equal">
      <formula>"Obsolete"</formula>
    </cfRule>
    <cfRule type="cellIs" dxfId="1638" priority="160" operator="equal">
      <formula>"EOSS"</formula>
    </cfRule>
  </conditionalFormatting>
  <conditionalFormatting sqref="M10">
    <cfRule type="cellIs" dxfId="1637" priority="161" operator="equal">
      <formula>"Cancelled"</formula>
    </cfRule>
    <cfRule type="cellIs" dxfId="1636" priority="162" operator="equal">
      <formula>"Obsolete"</formula>
    </cfRule>
    <cfRule type="cellIs" dxfId="1635" priority="163" operator="equal">
      <formula>"EOSS"</formula>
    </cfRule>
  </conditionalFormatting>
  <conditionalFormatting sqref="N10">
    <cfRule type="cellIs" dxfId="1634" priority="164" operator="equal">
      <formula>"Cancelled"</formula>
    </cfRule>
    <cfRule type="cellIs" dxfId="1633" priority="165" operator="equal">
      <formula>"Obsolete"</formula>
    </cfRule>
    <cfRule type="cellIs" dxfId="1632" priority="166" operator="equal">
      <formula>"EOSS"</formula>
    </cfRule>
  </conditionalFormatting>
  <conditionalFormatting sqref="L32:L35 L37:L41">
    <cfRule type="cellIs" dxfId="1631" priority="167" operator="equal">
      <formula>"Cancelled"</formula>
    </cfRule>
    <cfRule type="cellIs" dxfId="1630" priority="168" operator="equal">
      <formula>"Obsolete"</formula>
    </cfRule>
    <cfRule type="cellIs" dxfId="1629" priority="169" operator="equal">
      <formula>"EOSS"</formula>
    </cfRule>
  </conditionalFormatting>
  <conditionalFormatting sqref="M32:M35 M37:M41">
    <cfRule type="cellIs" dxfId="1628" priority="170" operator="equal">
      <formula>"Cancelled"</formula>
    </cfRule>
    <cfRule type="cellIs" dxfId="1627" priority="171" operator="equal">
      <formula>"Obsolete"</formula>
    </cfRule>
    <cfRule type="cellIs" dxfId="1626" priority="172" operator="equal">
      <formula>"EOSS"</formula>
    </cfRule>
  </conditionalFormatting>
  <conditionalFormatting sqref="N32:N35 N37:N41">
    <cfRule type="cellIs" dxfId="1625" priority="173" operator="equal">
      <formula>"Cancelled"</formula>
    </cfRule>
    <cfRule type="cellIs" dxfId="1624" priority="174" operator="equal">
      <formula>"Obsolete"</formula>
    </cfRule>
    <cfRule type="cellIs" dxfId="1623" priority="175" operator="equal">
      <formula>"EOSS"</formula>
    </cfRule>
  </conditionalFormatting>
  <conditionalFormatting sqref="L60">
    <cfRule type="cellIs" dxfId="1622" priority="176" operator="equal">
      <formula>"Cancelled"</formula>
    </cfRule>
    <cfRule type="cellIs" dxfId="1621" priority="177" operator="equal">
      <formula>"Obsolete"</formula>
    </cfRule>
    <cfRule type="cellIs" dxfId="1620" priority="178" operator="equal">
      <formula>"EOSS"</formula>
    </cfRule>
  </conditionalFormatting>
  <conditionalFormatting sqref="M60">
    <cfRule type="cellIs" dxfId="1619" priority="179" operator="equal">
      <formula>"Cancelled"</formula>
    </cfRule>
    <cfRule type="cellIs" dxfId="1618" priority="180" operator="equal">
      <formula>"Obsolete"</formula>
    </cfRule>
    <cfRule type="cellIs" dxfId="1617" priority="181" operator="equal">
      <formula>"EOSS"</formula>
    </cfRule>
  </conditionalFormatting>
  <conditionalFormatting sqref="N60">
    <cfRule type="cellIs" dxfId="1616" priority="182" operator="equal">
      <formula>"Cancelled"</formula>
    </cfRule>
    <cfRule type="cellIs" dxfId="1615" priority="183" operator="equal">
      <formula>"Obsolete"</formula>
    </cfRule>
    <cfRule type="cellIs" dxfId="1614" priority="184" operator="equal">
      <formula>"EOSS"</formula>
    </cfRule>
  </conditionalFormatting>
  <conditionalFormatting sqref="L61">
    <cfRule type="cellIs" dxfId="1613" priority="185" operator="equal">
      <formula>"Cancelled"</formula>
    </cfRule>
    <cfRule type="cellIs" dxfId="1612" priority="186" operator="equal">
      <formula>"Obsolete"</formula>
    </cfRule>
    <cfRule type="cellIs" dxfId="1611" priority="187" operator="equal">
      <formula>"EOSS"</formula>
    </cfRule>
  </conditionalFormatting>
  <conditionalFormatting sqref="M61">
    <cfRule type="cellIs" dxfId="1610" priority="188" operator="equal">
      <formula>"Cancelled"</formula>
    </cfRule>
    <cfRule type="cellIs" dxfId="1609" priority="189" operator="equal">
      <formula>"Obsolete"</formula>
    </cfRule>
    <cfRule type="cellIs" dxfId="1608" priority="190" operator="equal">
      <formula>"EOSS"</formula>
    </cfRule>
  </conditionalFormatting>
  <conditionalFormatting sqref="N61">
    <cfRule type="cellIs" dxfId="1607" priority="191" operator="equal">
      <formula>"Cancelled"</formula>
    </cfRule>
    <cfRule type="cellIs" dxfId="1606" priority="192" operator="equal">
      <formula>"Obsolete"</formula>
    </cfRule>
    <cfRule type="cellIs" dxfId="1605" priority="193" operator="equal">
      <formula>"EOSS"</formula>
    </cfRule>
  </conditionalFormatting>
  <conditionalFormatting sqref="L65">
    <cfRule type="cellIs" dxfId="1604" priority="194" operator="equal">
      <formula>"Cancelled"</formula>
    </cfRule>
    <cfRule type="cellIs" dxfId="1603" priority="195" operator="equal">
      <formula>"Obsolete"</formula>
    </cfRule>
    <cfRule type="cellIs" dxfId="1602" priority="196" operator="equal">
      <formula>"EOSS"</formula>
    </cfRule>
  </conditionalFormatting>
  <conditionalFormatting sqref="M65">
    <cfRule type="cellIs" dxfId="1601" priority="197" operator="equal">
      <formula>"Cancelled"</formula>
    </cfRule>
    <cfRule type="cellIs" dxfId="1600" priority="198" operator="equal">
      <formula>"Obsolete"</formula>
    </cfRule>
    <cfRule type="cellIs" dxfId="1599" priority="199" operator="equal">
      <formula>"EOSS"</formula>
    </cfRule>
  </conditionalFormatting>
  <conditionalFormatting sqref="N65">
    <cfRule type="cellIs" dxfId="1598" priority="200" operator="equal">
      <formula>"Cancelled"</formula>
    </cfRule>
    <cfRule type="cellIs" dxfId="1597" priority="201" operator="equal">
      <formula>"Obsolete"</formula>
    </cfRule>
    <cfRule type="cellIs" dxfId="1596" priority="202" operator="equal">
      <formula>"EOSS"</formula>
    </cfRule>
  </conditionalFormatting>
  <conditionalFormatting sqref="L68">
    <cfRule type="cellIs" dxfId="1595" priority="203" operator="equal">
      <formula>"Cancelled"</formula>
    </cfRule>
    <cfRule type="cellIs" dxfId="1594" priority="204" operator="equal">
      <formula>"Obsolete"</formula>
    </cfRule>
    <cfRule type="cellIs" dxfId="1593" priority="205" operator="equal">
      <formula>"EOSS"</formula>
    </cfRule>
  </conditionalFormatting>
  <conditionalFormatting sqref="M68">
    <cfRule type="cellIs" dxfId="1592" priority="206" operator="equal">
      <formula>"Cancelled"</formula>
    </cfRule>
    <cfRule type="cellIs" dxfId="1591" priority="207" operator="equal">
      <formula>"Obsolete"</formula>
    </cfRule>
    <cfRule type="cellIs" dxfId="1590" priority="208" operator="equal">
      <formula>"EOSS"</formula>
    </cfRule>
  </conditionalFormatting>
  <conditionalFormatting sqref="N68">
    <cfRule type="cellIs" dxfId="1589" priority="209" operator="equal">
      <formula>"Cancelled"</formula>
    </cfRule>
    <cfRule type="cellIs" dxfId="1588" priority="210" operator="equal">
      <formula>"Obsolete"</formula>
    </cfRule>
    <cfRule type="cellIs" dxfId="1587" priority="211" operator="equal">
      <formula>"EOSS"</formula>
    </cfRule>
  </conditionalFormatting>
  <conditionalFormatting sqref="M69">
    <cfRule type="cellIs" dxfId="1586" priority="212" operator="equal">
      <formula>"Cancelled"</formula>
    </cfRule>
    <cfRule type="cellIs" dxfId="1585" priority="213" operator="equal">
      <formula>"Obsolete"</formula>
    </cfRule>
    <cfRule type="cellIs" dxfId="1584" priority="214" operator="equal">
      <formula>"EOSS"</formula>
    </cfRule>
  </conditionalFormatting>
  <conditionalFormatting sqref="N69">
    <cfRule type="cellIs" dxfId="1583" priority="215" operator="equal">
      <formula>"Cancelled"</formula>
    </cfRule>
    <cfRule type="cellIs" dxfId="1582" priority="216" operator="equal">
      <formula>"Obsolete"</formula>
    </cfRule>
    <cfRule type="cellIs" dxfId="1581" priority="217" operator="equal">
      <formula>"EOSS"</formula>
    </cfRule>
  </conditionalFormatting>
  <conditionalFormatting sqref="L81:L84">
    <cfRule type="cellIs" dxfId="1580" priority="218" operator="equal">
      <formula>"Cancelled"</formula>
    </cfRule>
    <cfRule type="cellIs" dxfId="1579" priority="219" operator="equal">
      <formula>"Obsolete"</formula>
    </cfRule>
    <cfRule type="cellIs" dxfId="1578" priority="220" operator="equal">
      <formula>"EOSS"</formula>
    </cfRule>
  </conditionalFormatting>
  <conditionalFormatting sqref="M81:M84">
    <cfRule type="cellIs" dxfId="1577" priority="221" operator="equal">
      <formula>"Cancelled"</formula>
    </cfRule>
    <cfRule type="cellIs" dxfId="1576" priority="222" operator="equal">
      <formula>"Obsolete"</formula>
    </cfRule>
    <cfRule type="cellIs" dxfId="1575" priority="223" operator="equal">
      <formula>"EOSS"</formula>
    </cfRule>
  </conditionalFormatting>
  <conditionalFormatting sqref="N81:N84">
    <cfRule type="cellIs" dxfId="1574" priority="224" operator="equal">
      <formula>"Cancelled"</formula>
    </cfRule>
    <cfRule type="cellIs" dxfId="1573" priority="225" operator="equal">
      <formula>"Obsolete"</formula>
    </cfRule>
    <cfRule type="cellIs" dxfId="1572" priority="226" operator="equal">
      <formula>"EOSS"</formula>
    </cfRule>
  </conditionalFormatting>
  <conditionalFormatting sqref="L93:L98 L105">
    <cfRule type="cellIs" dxfId="1571" priority="227" operator="equal">
      <formula>"Cancelled"</formula>
    </cfRule>
    <cfRule type="cellIs" dxfId="1570" priority="228" operator="equal">
      <formula>"Obsolete"</formula>
    </cfRule>
    <cfRule type="cellIs" dxfId="1569" priority="229" operator="equal">
      <formula>"EOSS"</formula>
    </cfRule>
  </conditionalFormatting>
  <conditionalFormatting sqref="M93:M98 M105">
    <cfRule type="cellIs" dxfId="1568" priority="230" operator="equal">
      <formula>"Cancelled"</formula>
    </cfRule>
    <cfRule type="cellIs" dxfId="1567" priority="231" operator="equal">
      <formula>"Obsolete"</formula>
    </cfRule>
    <cfRule type="cellIs" dxfId="1566" priority="232" operator="equal">
      <formula>"EOSS"</formula>
    </cfRule>
  </conditionalFormatting>
  <conditionalFormatting sqref="N93:N98 N105">
    <cfRule type="cellIs" dxfId="1565" priority="233" operator="equal">
      <formula>"Cancelled"</formula>
    </cfRule>
    <cfRule type="cellIs" dxfId="1564" priority="234" operator="equal">
      <formula>"Obsolete"</formula>
    </cfRule>
    <cfRule type="cellIs" dxfId="1563" priority="235" operator="equal">
      <formula>"EOSS"</formula>
    </cfRule>
  </conditionalFormatting>
  <conditionalFormatting sqref="L111:L112 L121:L122 L124:L125 L127">
    <cfRule type="cellIs" dxfId="1562" priority="236" operator="equal">
      <formula>"Cancelled"</formula>
    </cfRule>
    <cfRule type="cellIs" dxfId="1561" priority="237" operator="equal">
      <formula>"Obsolete"</formula>
    </cfRule>
    <cfRule type="cellIs" dxfId="1560" priority="238" operator="equal">
      <formula>"EOSS"</formula>
    </cfRule>
  </conditionalFormatting>
  <conditionalFormatting sqref="M111:M112 M121:M122 M124:M125 M127">
    <cfRule type="cellIs" dxfId="1559" priority="239" operator="equal">
      <formula>"Cancelled"</formula>
    </cfRule>
    <cfRule type="cellIs" dxfId="1558" priority="240" operator="equal">
      <formula>"Obsolete"</formula>
    </cfRule>
    <cfRule type="cellIs" dxfId="1557" priority="241" operator="equal">
      <formula>"EOSS"</formula>
    </cfRule>
  </conditionalFormatting>
  <conditionalFormatting sqref="N111:N112 N121:N122 N124:N125 N127">
    <cfRule type="cellIs" dxfId="1556" priority="242" operator="equal">
      <formula>"Cancelled"</formula>
    </cfRule>
    <cfRule type="cellIs" dxfId="1555" priority="243" operator="equal">
      <formula>"Obsolete"</formula>
    </cfRule>
    <cfRule type="cellIs" dxfId="1554" priority="244" operator="equal">
      <formula>"EOSS"</formula>
    </cfRule>
  </conditionalFormatting>
  <conditionalFormatting sqref="L140:L145">
    <cfRule type="cellIs" dxfId="1553" priority="245" operator="equal">
      <formula>"Cancelled"</formula>
    </cfRule>
    <cfRule type="cellIs" dxfId="1552" priority="246" operator="equal">
      <formula>"Obsolete"</formula>
    </cfRule>
    <cfRule type="cellIs" dxfId="1551" priority="247" operator="equal">
      <formula>"EOSS"</formula>
    </cfRule>
  </conditionalFormatting>
  <conditionalFormatting sqref="M140:M145">
    <cfRule type="cellIs" dxfId="1550" priority="248" operator="equal">
      <formula>"Cancelled"</formula>
    </cfRule>
    <cfRule type="cellIs" dxfId="1549" priority="249" operator="equal">
      <formula>"Obsolete"</formula>
    </cfRule>
    <cfRule type="cellIs" dxfId="1548" priority="250" operator="equal">
      <formula>"EOSS"</formula>
    </cfRule>
  </conditionalFormatting>
  <conditionalFormatting sqref="N140:N145">
    <cfRule type="cellIs" dxfId="1547" priority="251" operator="equal">
      <formula>"Cancelled"</formula>
    </cfRule>
    <cfRule type="cellIs" dxfId="1546" priority="252" operator="equal">
      <formula>"Obsolete"</formula>
    </cfRule>
    <cfRule type="cellIs" dxfId="1545" priority="253" operator="equal">
      <formula>"EOSS"</formula>
    </cfRule>
  </conditionalFormatting>
  <conditionalFormatting sqref="L175">
    <cfRule type="cellIs" dxfId="1544" priority="254" operator="equal">
      <formula>"Cancelled"</formula>
    </cfRule>
    <cfRule type="cellIs" dxfId="1543" priority="255" operator="equal">
      <formula>"Obsolete"</formula>
    </cfRule>
    <cfRule type="cellIs" dxfId="1542" priority="256" operator="equal">
      <formula>"EOSS"</formula>
    </cfRule>
  </conditionalFormatting>
  <conditionalFormatting sqref="M175">
    <cfRule type="cellIs" dxfId="1541" priority="257" operator="equal">
      <formula>"Cancelled"</formula>
    </cfRule>
    <cfRule type="cellIs" dxfId="1540" priority="258" operator="equal">
      <formula>"Obsolete"</formula>
    </cfRule>
    <cfRule type="cellIs" dxfId="1539" priority="259" operator="equal">
      <formula>"EOSS"</formula>
    </cfRule>
  </conditionalFormatting>
  <conditionalFormatting sqref="N175">
    <cfRule type="cellIs" dxfId="1538" priority="260" operator="equal">
      <formula>"Cancelled"</formula>
    </cfRule>
    <cfRule type="cellIs" dxfId="1537" priority="261" operator="equal">
      <formula>"Obsolete"</formula>
    </cfRule>
    <cfRule type="cellIs" dxfId="1536" priority="262" operator="equal">
      <formula>"EOSS"</formula>
    </cfRule>
  </conditionalFormatting>
  <conditionalFormatting sqref="L183">
    <cfRule type="cellIs" dxfId="1535" priority="263" operator="equal">
      <formula>"Cancelled"</formula>
    </cfRule>
    <cfRule type="cellIs" dxfId="1534" priority="264" operator="equal">
      <formula>"Obsolete"</formula>
    </cfRule>
    <cfRule type="cellIs" dxfId="1533" priority="265" operator="equal">
      <formula>"EOSS"</formula>
    </cfRule>
  </conditionalFormatting>
  <conditionalFormatting sqref="M183">
    <cfRule type="cellIs" dxfId="1532" priority="266" operator="equal">
      <formula>"Cancelled"</formula>
    </cfRule>
    <cfRule type="cellIs" dxfId="1531" priority="267" operator="equal">
      <formula>"Obsolete"</formula>
    </cfRule>
    <cfRule type="cellIs" dxfId="1530" priority="268" operator="equal">
      <formula>"EOSS"</formula>
    </cfRule>
  </conditionalFormatting>
  <conditionalFormatting sqref="N183">
    <cfRule type="cellIs" dxfId="1529" priority="269" operator="equal">
      <formula>"Cancelled"</formula>
    </cfRule>
    <cfRule type="cellIs" dxfId="1528" priority="270" operator="equal">
      <formula>"Obsolete"</formula>
    </cfRule>
    <cfRule type="cellIs" dxfId="1527" priority="271" operator="equal">
      <formula>"EOSS"</formula>
    </cfRule>
  </conditionalFormatting>
  <conditionalFormatting sqref="L184">
    <cfRule type="cellIs" dxfId="1526" priority="272" operator="equal">
      <formula>"Cancelled"</formula>
    </cfRule>
    <cfRule type="cellIs" dxfId="1525" priority="273" operator="equal">
      <formula>"Obsolete"</formula>
    </cfRule>
    <cfRule type="cellIs" dxfId="1524" priority="274" operator="equal">
      <formula>"EOSS"</formula>
    </cfRule>
  </conditionalFormatting>
  <conditionalFormatting sqref="M184">
    <cfRule type="cellIs" dxfId="1523" priority="275" operator="equal">
      <formula>"Cancelled"</formula>
    </cfRule>
    <cfRule type="cellIs" dxfId="1522" priority="276" operator="equal">
      <formula>"Obsolete"</formula>
    </cfRule>
    <cfRule type="cellIs" dxfId="1521" priority="277" operator="equal">
      <formula>"EOSS"</formula>
    </cfRule>
  </conditionalFormatting>
  <conditionalFormatting sqref="N184">
    <cfRule type="cellIs" dxfId="1520" priority="278" operator="equal">
      <formula>"Cancelled"</formula>
    </cfRule>
    <cfRule type="cellIs" dxfId="1519" priority="279" operator="equal">
      <formula>"Obsolete"</formula>
    </cfRule>
    <cfRule type="cellIs" dxfId="1518" priority="280" operator="equal">
      <formula>"EOSS"</formula>
    </cfRule>
  </conditionalFormatting>
  <conditionalFormatting sqref="L185">
    <cfRule type="cellIs" dxfId="1517" priority="281" operator="equal">
      <formula>"Cancelled"</formula>
    </cfRule>
    <cfRule type="cellIs" dxfId="1516" priority="282" operator="equal">
      <formula>"Obsolete"</formula>
    </cfRule>
    <cfRule type="cellIs" dxfId="1515" priority="283" operator="equal">
      <formula>"EOSS"</formula>
    </cfRule>
  </conditionalFormatting>
  <conditionalFormatting sqref="M185">
    <cfRule type="cellIs" dxfId="1514" priority="284" operator="equal">
      <formula>"Cancelled"</formula>
    </cfRule>
    <cfRule type="cellIs" dxfId="1513" priority="285" operator="equal">
      <formula>"Obsolete"</formula>
    </cfRule>
    <cfRule type="cellIs" dxfId="1512" priority="286" operator="equal">
      <formula>"EOSS"</formula>
    </cfRule>
  </conditionalFormatting>
  <conditionalFormatting sqref="N185">
    <cfRule type="cellIs" dxfId="1511" priority="287" operator="equal">
      <formula>"Cancelled"</formula>
    </cfRule>
    <cfRule type="cellIs" dxfId="1510" priority="288" operator="equal">
      <formula>"Obsolete"</formula>
    </cfRule>
    <cfRule type="cellIs" dxfId="1509" priority="289" operator="equal">
      <formula>"EOSS"</formula>
    </cfRule>
  </conditionalFormatting>
  <conditionalFormatting sqref="L189:L191">
    <cfRule type="cellIs" dxfId="1508" priority="290" operator="equal">
      <formula>"Cancelled"</formula>
    </cfRule>
    <cfRule type="cellIs" dxfId="1507" priority="291" operator="equal">
      <formula>"Obsolete"</formula>
    </cfRule>
    <cfRule type="cellIs" dxfId="1506" priority="292" operator="equal">
      <formula>"EOSS"</formula>
    </cfRule>
  </conditionalFormatting>
  <conditionalFormatting sqref="M189:M191">
    <cfRule type="cellIs" dxfId="1505" priority="293" operator="equal">
      <formula>"Cancelled"</formula>
    </cfRule>
    <cfRule type="cellIs" dxfId="1504" priority="294" operator="equal">
      <formula>"Obsolete"</formula>
    </cfRule>
    <cfRule type="cellIs" dxfId="1503" priority="295" operator="equal">
      <formula>"EOSS"</formula>
    </cfRule>
  </conditionalFormatting>
  <conditionalFormatting sqref="N189:N191">
    <cfRule type="cellIs" dxfId="1502" priority="296" operator="equal">
      <formula>"Cancelled"</formula>
    </cfRule>
    <cfRule type="cellIs" dxfId="1501" priority="297" operator="equal">
      <formula>"Obsolete"</formula>
    </cfRule>
    <cfRule type="cellIs" dxfId="1500" priority="298" operator="equal">
      <formula>"EOSS"</formula>
    </cfRule>
  </conditionalFormatting>
  <conditionalFormatting sqref="L201:L203">
    <cfRule type="cellIs" dxfId="1499" priority="299" operator="equal">
      <formula>"Cancelled"</formula>
    </cfRule>
    <cfRule type="cellIs" dxfId="1498" priority="300" operator="equal">
      <formula>"Obsolete"</formula>
    </cfRule>
    <cfRule type="cellIs" dxfId="1497" priority="301" operator="equal">
      <formula>"EOSS"</formula>
    </cfRule>
  </conditionalFormatting>
  <conditionalFormatting sqref="M201:M203">
    <cfRule type="cellIs" dxfId="1496" priority="302" operator="equal">
      <formula>"Cancelled"</formula>
    </cfRule>
    <cfRule type="cellIs" dxfId="1495" priority="303" operator="equal">
      <formula>"Obsolete"</formula>
    </cfRule>
    <cfRule type="cellIs" dxfId="1494" priority="304" operator="equal">
      <formula>"EOSS"</formula>
    </cfRule>
  </conditionalFormatting>
  <conditionalFormatting sqref="L196">
    <cfRule type="cellIs" dxfId="1493" priority="305" operator="equal">
      <formula>"Cancelled"</formula>
    </cfRule>
    <cfRule type="cellIs" dxfId="1492" priority="306" operator="equal">
      <formula>"Obsolete"</formula>
    </cfRule>
    <cfRule type="cellIs" dxfId="1491" priority="307" operator="equal">
      <formula>"EOSS"</formula>
    </cfRule>
  </conditionalFormatting>
  <conditionalFormatting sqref="M196">
    <cfRule type="cellIs" dxfId="1490" priority="308" operator="equal">
      <formula>"Cancelled"</formula>
    </cfRule>
    <cfRule type="cellIs" dxfId="1489" priority="309" operator="equal">
      <formula>"Obsolete"</formula>
    </cfRule>
    <cfRule type="cellIs" dxfId="1488" priority="310" operator="equal">
      <formula>"EOSS"</formula>
    </cfRule>
  </conditionalFormatting>
  <conditionalFormatting sqref="N196">
    <cfRule type="cellIs" dxfId="1487" priority="311" operator="equal">
      <formula>"Cancelled"</formula>
    </cfRule>
    <cfRule type="cellIs" dxfId="1486" priority="312" operator="equal">
      <formula>"Obsolete"</formula>
    </cfRule>
    <cfRule type="cellIs" dxfId="1485" priority="313" operator="equal">
      <formula>"EOSS"</formula>
    </cfRule>
  </conditionalFormatting>
  <conditionalFormatting sqref="L197">
    <cfRule type="cellIs" dxfId="1484" priority="314" operator="equal">
      <formula>"Cancelled"</formula>
    </cfRule>
    <cfRule type="cellIs" dxfId="1483" priority="315" operator="equal">
      <formula>"Obsolete"</formula>
    </cfRule>
    <cfRule type="cellIs" dxfId="1482" priority="316" operator="equal">
      <formula>"EOSS"</formula>
    </cfRule>
  </conditionalFormatting>
  <conditionalFormatting sqref="M197">
    <cfRule type="cellIs" dxfId="1481" priority="317" operator="equal">
      <formula>"Cancelled"</formula>
    </cfRule>
    <cfRule type="cellIs" dxfId="1480" priority="318" operator="equal">
      <formula>"Obsolete"</formula>
    </cfRule>
    <cfRule type="cellIs" dxfId="1479" priority="319" operator="equal">
      <formula>"EOSS"</formula>
    </cfRule>
  </conditionalFormatting>
  <conditionalFormatting sqref="N197">
    <cfRule type="cellIs" dxfId="1478" priority="320" operator="equal">
      <formula>"Cancelled"</formula>
    </cfRule>
    <cfRule type="cellIs" dxfId="1477" priority="321" operator="equal">
      <formula>"Obsolete"</formula>
    </cfRule>
    <cfRule type="cellIs" dxfId="1476" priority="322" operator="equal">
      <formula>"EOSS"</formula>
    </cfRule>
  </conditionalFormatting>
  <conditionalFormatting sqref="O21:Y22 N23:Y27 A21:K21 A22:J27 L23:L27">
    <cfRule type="cellIs" dxfId="1475" priority="323" operator="equal">
      <formula>"Cancelled"</formula>
    </cfRule>
    <cfRule type="cellIs" dxfId="1474" priority="324" operator="equal">
      <formula>"Obsolete"</formula>
    </cfRule>
    <cfRule type="cellIs" dxfId="1473" priority="325" operator="equal">
      <formula>"EOSS"</formula>
    </cfRule>
  </conditionalFormatting>
  <conditionalFormatting sqref="X36:Y42">
    <cfRule type="cellIs" dxfId="1472" priority="326" operator="equal">
      <formula>"Cancelled"</formula>
    </cfRule>
    <cfRule type="cellIs" dxfId="1471" priority="327" operator="equal">
      <formula>"Obsolete"</formula>
    </cfRule>
    <cfRule type="cellIs" dxfId="1470" priority="328" operator="equal">
      <formula>"EOSS"</formula>
    </cfRule>
  </conditionalFormatting>
  <conditionalFormatting sqref="L42">
    <cfRule type="cellIs" dxfId="1469" priority="329" operator="equal">
      <formula>"Cancelled"</formula>
    </cfRule>
    <cfRule type="cellIs" dxfId="1468" priority="330" operator="equal">
      <formula>"Obsolete"</formula>
    </cfRule>
    <cfRule type="cellIs" dxfId="1467" priority="331" operator="equal">
      <formula>"EOSS"</formula>
    </cfRule>
  </conditionalFormatting>
  <conditionalFormatting sqref="M42">
    <cfRule type="cellIs" dxfId="1466" priority="332" operator="equal">
      <formula>"Cancelled"</formula>
    </cfRule>
    <cfRule type="cellIs" dxfId="1465" priority="333" operator="equal">
      <formula>"Obsolete"</formula>
    </cfRule>
    <cfRule type="cellIs" dxfId="1464" priority="334" operator="equal">
      <formula>"EOSS"</formula>
    </cfRule>
  </conditionalFormatting>
  <conditionalFormatting sqref="N42">
    <cfRule type="cellIs" dxfId="1463" priority="335" operator="equal">
      <formula>"Cancelled"</formula>
    </cfRule>
    <cfRule type="cellIs" dxfId="1462" priority="336" operator="equal">
      <formula>"Obsolete"</formula>
    </cfRule>
    <cfRule type="cellIs" dxfId="1461" priority="337" operator="equal">
      <formula>"EOSS"</formula>
    </cfRule>
  </conditionalFormatting>
  <conditionalFormatting sqref="O42:P42">
    <cfRule type="cellIs" dxfId="1460" priority="338" operator="equal">
      <formula>"Cancelled"</formula>
    </cfRule>
    <cfRule type="cellIs" dxfId="1459" priority="339" operator="equal">
      <formula>"Obsolete"</formula>
    </cfRule>
    <cfRule type="cellIs" dxfId="1458" priority="340" operator="equal">
      <formula>"EOSS"</formula>
    </cfRule>
  </conditionalFormatting>
  <conditionalFormatting sqref="J43:Y58">
    <cfRule type="cellIs" dxfId="1457" priority="341" operator="equal">
      <formula>"Cancelled"</formula>
    </cfRule>
    <cfRule type="cellIs" dxfId="1456" priority="342" operator="equal">
      <formula>"Obsolete"</formula>
    </cfRule>
    <cfRule type="cellIs" dxfId="1455" priority="343" operator="equal">
      <formula>"EOSS"</formula>
    </cfRule>
  </conditionalFormatting>
  <conditionalFormatting sqref="U59:Y66">
    <cfRule type="cellIs" dxfId="1454" priority="344" operator="equal">
      <formula>"Cancelled"</formula>
    </cfRule>
    <cfRule type="cellIs" dxfId="1453" priority="345" operator="equal">
      <formula>"Obsolete"</formula>
    </cfRule>
    <cfRule type="cellIs" dxfId="1452" priority="346" operator="equal">
      <formula>"EOSS"</formula>
    </cfRule>
  </conditionalFormatting>
  <conditionalFormatting sqref="L69">
    <cfRule type="cellIs" dxfId="1451" priority="347" operator="equal">
      <formula>"Cancelled"</formula>
    </cfRule>
    <cfRule type="cellIs" dxfId="1450" priority="348" operator="equal">
      <formula>"Obsolete"</formula>
    </cfRule>
    <cfRule type="cellIs" dxfId="1449" priority="349" operator="equal">
      <formula>"EOSS"</formula>
    </cfRule>
  </conditionalFormatting>
  <conditionalFormatting sqref="L75:N80">
    <cfRule type="cellIs" dxfId="1448" priority="350" operator="equal">
      <formula>"Cancelled"</formula>
    </cfRule>
    <cfRule type="cellIs" dxfId="1447" priority="351" operator="equal">
      <formula>"Obsolete"</formula>
    </cfRule>
    <cfRule type="cellIs" dxfId="1446" priority="352" operator="equal">
      <formula>"EOSS"</formula>
    </cfRule>
  </conditionalFormatting>
  <conditionalFormatting sqref="U75:Y80">
    <cfRule type="cellIs" dxfId="1445" priority="353" operator="equal">
      <formula>"Cancelled"</formula>
    </cfRule>
    <cfRule type="cellIs" dxfId="1444" priority="354" operator="equal">
      <formula>"Obsolete"</formula>
    </cfRule>
    <cfRule type="cellIs" dxfId="1443" priority="355" operator="equal">
      <formula>"EOSS"</formula>
    </cfRule>
  </conditionalFormatting>
  <conditionalFormatting sqref="L85:Y92">
    <cfRule type="cellIs" dxfId="1442" priority="356" operator="equal">
      <formula>"Cancelled"</formula>
    </cfRule>
    <cfRule type="cellIs" dxfId="1441" priority="357" operator="equal">
      <formula>"Obsolete"</formula>
    </cfRule>
    <cfRule type="cellIs" dxfId="1440" priority="358" operator="equal">
      <formula>"EOSS"</formula>
    </cfRule>
  </conditionalFormatting>
  <conditionalFormatting sqref="L99:Y104">
    <cfRule type="cellIs" dxfId="1439" priority="359" operator="equal">
      <formula>"Cancelled"</formula>
    </cfRule>
    <cfRule type="cellIs" dxfId="1438" priority="360" operator="equal">
      <formula>"Obsolete"</formula>
    </cfRule>
    <cfRule type="cellIs" dxfId="1437" priority="361" operator="equal">
      <formula>"EOSS"</formula>
    </cfRule>
  </conditionalFormatting>
  <conditionalFormatting sqref="L106:N110">
    <cfRule type="cellIs" dxfId="1436" priority="362" operator="equal">
      <formula>"Cancelled"</formula>
    </cfRule>
    <cfRule type="cellIs" dxfId="1435" priority="363" operator="equal">
      <formula>"Obsolete"</formula>
    </cfRule>
    <cfRule type="cellIs" dxfId="1434" priority="364" operator="equal">
      <formula>"EOSS"</formula>
    </cfRule>
  </conditionalFormatting>
  <conditionalFormatting sqref="L113:Y118">
    <cfRule type="cellIs" dxfId="1433" priority="365" operator="equal">
      <formula>"Cancelled"</formula>
    </cfRule>
    <cfRule type="cellIs" dxfId="1432" priority="366" operator="equal">
      <formula>"Obsolete"</formula>
    </cfRule>
    <cfRule type="cellIs" dxfId="1431" priority="367" operator="equal">
      <formula>"EOSS"</formula>
    </cfRule>
  </conditionalFormatting>
  <conditionalFormatting sqref="L128:P131 L133:P135">
    <cfRule type="cellIs" dxfId="1430" priority="368" operator="equal">
      <formula>"Cancelled"</formula>
    </cfRule>
    <cfRule type="cellIs" dxfId="1429" priority="369" operator="equal">
      <formula>"Obsolete"</formula>
    </cfRule>
    <cfRule type="cellIs" dxfId="1428" priority="370" operator="equal">
      <formula>"EOSS"</formula>
    </cfRule>
  </conditionalFormatting>
  <conditionalFormatting sqref="L136:Z139">
    <cfRule type="cellIs" dxfId="1427" priority="371" operator="equal">
      <formula>"Cancelled"</formula>
    </cfRule>
    <cfRule type="cellIs" dxfId="1426" priority="372" operator="equal">
      <formula>"Obsolete"</formula>
    </cfRule>
    <cfRule type="cellIs" dxfId="1425" priority="373" operator="equal">
      <formula>"EOSS"</formula>
    </cfRule>
  </conditionalFormatting>
  <conditionalFormatting sqref="J146:Y146 J147:K147 O147:Y147 J148:Y151">
    <cfRule type="cellIs" dxfId="1424" priority="374" operator="equal">
      <formula>"Cancelled"</formula>
    </cfRule>
    <cfRule type="cellIs" dxfId="1423" priority="375" operator="equal">
      <formula>"Obsolete"</formula>
    </cfRule>
    <cfRule type="cellIs" dxfId="1422" priority="376" operator="equal">
      <formula>"EOSS"</formula>
    </cfRule>
  </conditionalFormatting>
  <conditionalFormatting sqref="L156:Y159">
    <cfRule type="cellIs" dxfId="1421" priority="377" operator="equal">
      <formula>"Cancelled"</formula>
    </cfRule>
    <cfRule type="cellIs" dxfId="1420" priority="378" operator="equal">
      <formula>"Obsolete"</formula>
    </cfRule>
    <cfRule type="cellIs" dxfId="1419" priority="379" operator="equal">
      <formula>"EOSS"</formula>
    </cfRule>
  </conditionalFormatting>
  <conditionalFormatting sqref="L160:Y166">
    <cfRule type="cellIs" dxfId="1418" priority="380" operator="equal">
      <formula>"Cancelled"</formula>
    </cfRule>
    <cfRule type="cellIs" dxfId="1417" priority="381" operator="equal">
      <formula>"Obsolete"</formula>
    </cfRule>
    <cfRule type="cellIs" dxfId="1416" priority="382" operator="equal">
      <formula>"EOSS"</formula>
    </cfRule>
  </conditionalFormatting>
  <conditionalFormatting sqref="L167:Y174">
    <cfRule type="cellIs" dxfId="1415" priority="383" operator="equal">
      <formula>"Cancelled"</formula>
    </cfRule>
    <cfRule type="cellIs" dxfId="1414" priority="384" operator="equal">
      <formula>"Obsolete"</formula>
    </cfRule>
    <cfRule type="cellIs" dxfId="1413" priority="385" operator="equal">
      <formula>"EOSS"</formula>
    </cfRule>
  </conditionalFormatting>
  <conditionalFormatting sqref="L177:Q182">
    <cfRule type="cellIs" dxfId="1412" priority="386" operator="equal">
      <formula>"Cancelled"</formula>
    </cfRule>
    <cfRule type="cellIs" dxfId="1411" priority="387" operator="equal">
      <formula>"Obsolete"</formula>
    </cfRule>
    <cfRule type="cellIs" dxfId="1410" priority="388" operator="equal">
      <formula>"EOSS"</formula>
    </cfRule>
  </conditionalFormatting>
  <conditionalFormatting sqref="L186:Y186 L187:N188 Q187:Y188">
    <cfRule type="cellIs" dxfId="1409" priority="389" operator="equal">
      <formula>"Cancelled"</formula>
    </cfRule>
    <cfRule type="cellIs" dxfId="1408" priority="390" operator="equal">
      <formula>"Obsolete"</formula>
    </cfRule>
    <cfRule type="cellIs" dxfId="1407" priority="391" operator="equal">
      <formula>"EOSS"</formula>
    </cfRule>
  </conditionalFormatting>
  <conditionalFormatting sqref="L192:N193 Q192:R193">
    <cfRule type="cellIs" dxfId="1406" priority="392" operator="equal">
      <formula>"Cancelled"</formula>
    </cfRule>
    <cfRule type="cellIs" dxfId="1405" priority="393" operator="equal">
      <formula>"Obsolete"</formula>
    </cfRule>
    <cfRule type="cellIs" dxfId="1404" priority="394" operator="equal">
      <formula>"EOSS"</formula>
    </cfRule>
  </conditionalFormatting>
  <conditionalFormatting sqref="L198:Y198 L199:N200 Q199:Y200">
    <cfRule type="cellIs" dxfId="1403" priority="395" operator="equal">
      <formula>"Cancelled"</formula>
    </cfRule>
    <cfRule type="cellIs" dxfId="1402" priority="396" operator="equal">
      <formula>"Obsolete"</formula>
    </cfRule>
    <cfRule type="cellIs" dxfId="1401" priority="397" operator="equal">
      <formula>"EOSS"</formula>
    </cfRule>
  </conditionalFormatting>
  <conditionalFormatting sqref="N201:Y203">
    <cfRule type="cellIs" dxfId="1400" priority="398" operator="equal">
      <formula>"Cancelled"</formula>
    </cfRule>
    <cfRule type="cellIs" dxfId="1399" priority="399" operator="equal">
      <formula>"Obsolete"</formula>
    </cfRule>
    <cfRule type="cellIs" dxfId="1398" priority="400" operator="equal">
      <formula>"EOSS"</formula>
    </cfRule>
  </conditionalFormatting>
  <conditionalFormatting sqref="L204:Y206">
    <cfRule type="cellIs" dxfId="1397" priority="401" operator="equal">
      <formula>"Cancelled"</formula>
    </cfRule>
    <cfRule type="cellIs" dxfId="1396" priority="402" operator="equal">
      <formula>"Obsolete"</formula>
    </cfRule>
    <cfRule type="cellIs" dxfId="1395" priority="403" operator="equal">
      <formula>"EOSS"</formula>
    </cfRule>
  </conditionalFormatting>
  <conditionalFormatting sqref="L207:Y213">
    <cfRule type="cellIs" dxfId="1394" priority="404" operator="equal">
      <formula>"Cancelled"</formula>
    </cfRule>
    <cfRule type="cellIs" dxfId="1393" priority="405" operator="equal">
      <formula>"Obsolete"</formula>
    </cfRule>
    <cfRule type="cellIs" dxfId="1392" priority="406" operator="equal">
      <formula>"EOSS"</formula>
    </cfRule>
  </conditionalFormatting>
  <conditionalFormatting sqref="L214:Y230">
    <cfRule type="cellIs" dxfId="1391" priority="407" operator="equal">
      <formula>"Cancelled"</formula>
    </cfRule>
    <cfRule type="cellIs" dxfId="1390" priority="408" operator="equal">
      <formula>"Obsolete"</formula>
    </cfRule>
    <cfRule type="cellIs" dxfId="1389" priority="409" operator="equal">
      <formula>"EOSS"</formula>
    </cfRule>
  </conditionalFormatting>
  <conditionalFormatting sqref="A12:B19">
    <cfRule type="cellIs" dxfId="1388" priority="410" operator="equal">
      <formula>"Cancelled"</formula>
    </cfRule>
    <cfRule type="cellIs" dxfId="1387" priority="411" operator="equal">
      <formula>"Obsolete"</formula>
    </cfRule>
    <cfRule type="cellIs" dxfId="1386" priority="412" operator="equal">
      <formula>"EOSS"</formula>
    </cfRule>
  </conditionalFormatting>
  <conditionalFormatting sqref="A28:A29">
    <cfRule type="cellIs" dxfId="1385" priority="413" operator="equal">
      <formula>"Cancelled"</formula>
    </cfRule>
    <cfRule type="cellIs" dxfId="1384" priority="414" operator="equal">
      <formula>"Obsolete"</formula>
    </cfRule>
    <cfRule type="cellIs" dxfId="1383" priority="415" operator="equal">
      <formula>"EOSS"</formula>
    </cfRule>
  </conditionalFormatting>
  <conditionalFormatting sqref="A59">
    <cfRule type="cellIs" dxfId="1382" priority="416" operator="equal">
      <formula>"Cancelled"</formula>
    </cfRule>
    <cfRule type="cellIs" dxfId="1381" priority="417" operator="equal">
      <formula>"Obsolete"</formula>
    </cfRule>
    <cfRule type="cellIs" dxfId="1380" priority="418" operator="equal">
      <formula>"EOSS"</formula>
    </cfRule>
  </conditionalFormatting>
  <conditionalFormatting sqref="A60:A66">
    <cfRule type="cellIs" dxfId="1379" priority="419" operator="equal">
      <formula>"Cancelled"</formula>
    </cfRule>
    <cfRule type="cellIs" dxfId="1378" priority="420" operator="equal">
      <formula>"Obsolete"</formula>
    </cfRule>
    <cfRule type="cellIs" dxfId="1377" priority="421" operator="equal">
      <formula>"EOSS"</formula>
    </cfRule>
  </conditionalFormatting>
  <conditionalFormatting sqref="A75:A80">
    <cfRule type="cellIs" dxfId="1376" priority="422" operator="equal">
      <formula>"Cancelled"</formula>
    </cfRule>
    <cfRule type="cellIs" dxfId="1375" priority="423" operator="equal">
      <formula>"Obsolete"</formula>
    </cfRule>
    <cfRule type="cellIs" dxfId="1374" priority="424" operator="equal">
      <formula>"EOSS"</formula>
    </cfRule>
  </conditionalFormatting>
  <conditionalFormatting sqref="A85:A92">
    <cfRule type="cellIs" dxfId="1373" priority="425" operator="equal">
      <formula>"Cancelled"</formula>
    </cfRule>
    <cfRule type="cellIs" dxfId="1372" priority="426" operator="equal">
      <formula>"Obsolete"</formula>
    </cfRule>
    <cfRule type="cellIs" dxfId="1371" priority="427" operator="equal">
      <formula>"EOSS"</formula>
    </cfRule>
  </conditionalFormatting>
  <conditionalFormatting sqref="A99:A104 A117:A119 A134:A135 A148:A149 A166:A167 A180:A181 A194:A195 A208:A209 A222:A223 A155 A158 A161">
    <cfRule type="cellIs" dxfId="1370" priority="428" operator="equal">
      <formula>"Cancelled"</formula>
    </cfRule>
    <cfRule type="cellIs" dxfId="1369" priority="429" operator="equal">
      <formula>"Obsolete"</formula>
    </cfRule>
    <cfRule type="cellIs" dxfId="1368" priority="430" operator="equal">
      <formula>"EOSS"</formula>
    </cfRule>
  </conditionalFormatting>
  <conditionalFormatting sqref="A113:A116 A129:A131 A144:A147 A162:A165 A176:A179 A190:A193 A204:A207 A218:A221 A133">
    <cfRule type="cellIs" dxfId="1367" priority="431" operator="equal">
      <formula>"Cancelled"</formula>
    </cfRule>
    <cfRule type="cellIs" dxfId="1366" priority="432" operator="equal">
      <formula>"Obsolete"</formula>
    </cfRule>
    <cfRule type="cellIs" dxfId="1365" priority="433" operator="equal">
      <formula>"EOSS"</formula>
    </cfRule>
  </conditionalFormatting>
  <conditionalFormatting sqref="L16:L19 N16:N19">
    <cfRule type="cellIs" dxfId="1364" priority="434" operator="equal">
      <formula>"Cancelled"</formula>
    </cfRule>
    <cfRule type="cellIs" dxfId="1363" priority="435" operator="equal">
      <formula>"Obsolete"</formula>
    </cfRule>
    <cfRule type="cellIs" dxfId="1362" priority="436" operator="equal">
      <formula>"EOSS"</formula>
    </cfRule>
  </conditionalFormatting>
  <conditionalFormatting sqref="A36:A42">
    <cfRule type="cellIs" dxfId="1361" priority="437" operator="equal">
      <formula>"Cancelled"</formula>
    </cfRule>
    <cfRule type="cellIs" dxfId="1360" priority="438" operator="equal">
      <formula>"Obsolete"</formula>
    </cfRule>
    <cfRule type="cellIs" dxfId="1359" priority="439" operator="equal">
      <formula>"EOSS"</formula>
    </cfRule>
  </conditionalFormatting>
  <conditionalFormatting sqref="L36:N36">
    <cfRule type="cellIs" dxfId="1358" priority="440" operator="equal">
      <formula>"Cancelled"</formula>
    </cfRule>
    <cfRule type="cellIs" dxfId="1357" priority="441" operator="equal">
      <formula>"Obsolete"</formula>
    </cfRule>
    <cfRule type="cellIs" dxfId="1356" priority="442" operator="equal">
      <formula>"EOSS"</formula>
    </cfRule>
  </conditionalFormatting>
  <conditionalFormatting sqref="L36:N36">
    <cfRule type="cellIs" dxfId="1355" priority="443" operator="equal">
      <formula>"Cancelled"</formula>
    </cfRule>
    <cfRule type="cellIs" dxfId="1354" priority="444" operator="equal">
      <formula>"Obsolete"</formula>
    </cfRule>
    <cfRule type="cellIs" dxfId="1353" priority="445" operator="equal">
      <formula>"EOSS"</formula>
    </cfRule>
  </conditionalFormatting>
  <conditionalFormatting sqref="L4">
    <cfRule type="cellIs" dxfId="1352" priority="446" operator="equal">
      <formula>"Cancelled"</formula>
    </cfRule>
    <cfRule type="cellIs" dxfId="1351" priority="447" operator="equal">
      <formula>"Obsolete"</formula>
    </cfRule>
    <cfRule type="cellIs" dxfId="1350" priority="448" operator="equal">
      <formula>"EOSS"</formula>
    </cfRule>
  </conditionalFormatting>
  <conditionalFormatting sqref="M4">
    <cfRule type="cellIs" dxfId="1349" priority="449" operator="equal">
      <formula>"Cancelled"</formula>
    </cfRule>
    <cfRule type="cellIs" dxfId="1348" priority="450" operator="equal">
      <formula>"Obsolete"</formula>
    </cfRule>
    <cfRule type="cellIs" dxfId="1347" priority="451" operator="equal">
      <formula>"EOSS"</formula>
    </cfRule>
  </conditionalFormatting>
  <conditionalFormatting sqref="N4">
    <cfRule type="cellIs" dxfId="1346" priority="452" operator="equal">
      <formula>"Cancelled"</formula>
    </cfRule>
    <cfRule type="cellIs" dxfId="1345" priority="453" operator="equal">
      <formula>"Obsolete"</formula>
    </cfRule>
    <cfRule type="cellIs" dxfId="1344" priority="454" operator="equal">
      <formula>"EOSS"</formula>
    </cfRule>
  </conditionalFormatting>
  <conditionalFormatting sqref="L11:N11">
    <cfRule type="cellIs" dxfId="1343" priority="455" operator="equal">
      <formula>"Cancelled"</formula>
    </cfRule>
    <cfRule type="cellIs" dxfId="1342" priority="456" operator="equal">
      <formula>"Obsolete"</formula>
    </cfRule>
    <cfRule type="cellIs" dxfId="1341" priority="457" operator="equal">
      <formula>"EOSS"</formula>
    </cfRule>
  </conditionalFormatting>
  <conditionalFormatting sqref="L12:N12 L13:L15 N13:N15 M13:M19">
    <cfRule type="cellIs" dxfId="1340" priority="458" operator="equal">
      <formula>"Cancelled"</formula>
    </cfRule>
    <cfRule type="cellIs" dxfId="1339" priority="459" operator="equal">
      <formula>"Obsolete"</formula>
    </cfRule>
    <cfRule type="cellIs" dxfId="1338" priority="460" operator="equal">
      <formula>"EOSS"</formula>
    </cfRule>
  </conditionalFormatting>
  <conditionalFormatting sqref="L20:N20 L21:L22 N21:N22 M21:M27">
    <cfRule type="cellIs" dxfId="1337" priority="461" operator="equal">
      <formula>"Cancelled"</formula>
    </cfRule>
    <cfRule type="cellIs" dxfId="1336" priority="462" operator="equal">
      <formula>"Obsolete"</formula>
    </cfRule>
    <cfRule type="cellIs" dxfId="1335" priority="463" operator="equal">
      <formula>"EOSS"</formula>
    </cfRule>
  </conditionalFormatting>
  <conditionalFormatting sqref="L29:N31">
    <cfRule type="cellIs" dxfId="1334" priority="464" operator="equal">
      <formula>"Cancelled"</formula>
    </cfRule>
    <cfRule type="cellIs" dxfId="1333" priority="465" operator="equal">
      <formula>"Obsolete"</formula>
    </cfRule>
    <cfRule type="cellIs" dxfId="1332" priority="466" operator="equal">
      <formula>"EOSS"</formula>
    </cfRule>
  </conditionalFormatting>
  <conditionalFormatting sqref="O187:P187">
    <cfRule type="cellIs" dxfId="1331" priority="467" operator="equal">
      <formula>"Cancelled"</formula>
    </cfRule>
    <cfRule type="cellIs" dxfId="1330" priority="468" operator="equal">
      <formula>"Obsolete"</formula>
    </cfRule>
    <cfRule type="cellIs" dxfId="1329" priority="469" operator="equal">
      <formula>"EOSS"</formula>
    </cfRule>
  </conditionalFormatting>
  <conditionalFormatting sqref="O188:P188">
    <cfRule type="cellIs" dxfId="1328" priority="470" operator="equal">
      <formula>"Cancelled"</formula>
    </cfRule>
    <cfRule type="cellIs" dxfId="1327" priority="471" operator="equal">
      <formula>"Obsolete"</formula>
    </cfRule>
    <cfRule type="cellIs" dxfId="1326" priority="472" operator="equal">
      <formula>"EOSS"</formula>
    </cfRule>
  </conditionalFormatting>
  <conditionalFormatting sqref="O189:P189">
    <cfRule type="cellIs" dxfId="1325" priority="473" operator="equal">
      <formula>"Cancelled"</formula>
    </cfRule>
    <cfRule type="cellIs" dxfId="1324" priority="474" operator="equal">
      <formula>"Obsolete"</formula>
    </cfRule>
    <cfRule type="cellIs" dxfId="1323" priority="475" operator="equal">
      <formula>"EOSS"</formula>
    </cfRule>
  </conditionalFormatting>
  <conditionalFormatting sqref="O190:P190">
    <cfRule type="cellIs" dxfId="1322" priority="476" operator="equal">
      <formula>"Cancelled"</formula>
    </cfRule>
    <cfRule type="cellIs" dxfId="1321" priority="477" operator="equal">
      <formula>"Obsolete"</formula>
    </cfRule>
    <cfRule type="cellIs" dxfId="1320" priority="478" operator="equal">
      <formula>"EOSS"</formula>
    </cfRule>
  </conditionalFormatting>
  <conditionalFormatting sqref="O191:P191">
    <cfRule type="cellIs" dxfId="1319" priority="479" operator="equal">
      <formula>"Cancelled"</formula>
    </cfRule>
    <cfRule type="cellIs" dxfId="1318" priority="480" operator="equal">
      <formula>"Obsolete"</formula>
    </cfRule>
    <cfRule type="cellIs" dxfId="1317" priority="481" operator="equal">
      <formula>"EOSS"</formula>
    </cfRule>
  </conditionalFormatting>
  <conditionalFormatting sqref="O192:P192">
    <cfRule type="cellIs" dxfId="1316" priority="482" operator="equal">
      <formula>"Cancelled"</formula>
    </cfRule>
    <cfRule type="cellIs" dxfId="1315" priority="483" operator="equal">
      <formula>"Obsolete"</formula>
    </cfRule>
    <cfRule type="cellIs" dxfId="1314" priority="484" operator="equal">
      <formula>"EOSS"</formula>
    </cfRule>
  </conditionalFormatting>
  <conditionalFormatting sqref="O193:P193">
    <cfRule type="cellIs" dxfId="1313" priority="485" operator="equal">
      <formula>"Cancelled"</formula>
    </cfRule>
    <cfRule type="cellIs" dxfId="1312" priority="486" operator="equal">
      <formula>"Obsolete"</formula>
    </cfRule>
    <cfRule type="cellIs" dxfId="1311" priority="487" operator="equal">
      <formula>"EOSS"</formula>
    </cfRule>
  </conditionalFormatting>
  <conditionalFormatting sqref="O194:P194">
    <cfRule type="cellIs" dxfId="1310" priority="488" operator="equal">
      <formula>"Cancelled"</formula>
    </cfRule>
    <cfRule type="cellIs" dxfId="1309" priority="489" operator="equal">
      <formula>"Obsolete"</formula>
    </cfRule>
    <cfRule type="cellIs" dxfId="1308" priority="490" operator="equal">
      <formula>"EOSS"</formula>
    </cfRule>
  </conditionalFormatting>
  <conditionalFormatting sqref="O195:P195">
    <cfRule type="cellIs" dxfId="1307" priority="491" operator="equal">
      <formula>"Cancelled"</formula>
    </cfRule>
    <cfRule type="cellIs" dxfId="1306" priority="492" operator="equal">
      <formula>"Obsolete"</formula>
    </cfRule>
    <cfRule type="cellIs" dxfId="1305" priority="493" operator="equal">
      <formula>"EOSS"</formula>
    </cfRule>
  </conditionalFormatting>
  <conditionalFormatting sqref="O199:P199">
    <cfRule type="cellIs" dxfId="1304" priority="494" operator="equal">
      <formula>"Cancelled"</formula>
    </cfRule>
    <cfRule type="cellIs" dxfId="1303" priority="495" operator="equal">
      <formula>"Obsolete"</formula>
    </cfRule>
    <cfRule type="cellIs" dxfId="1302" priority="496" operator="equal">
      <formula>"EOSS"</formula>
    </cfRule>
  </conditionalFormatting>
  <conditionalFormatting sqref="O200:P200">
    <cfRule type="cellIs" dxfId="1301" priority="497" operator="equal">
      <formula>"Cancelled"</formula>
    </cfRule>
    <cfRule type="cellIs" dxfId="1300" priority="498" operator="equal">
      <formula>"Obsolete"</formula>
    </cfRule>
    <cfRule type="cellIs" dxfId="1299" priority="499" operator="equal">
      <formula>"EOSS"</formula>
    </cfRule>
  </conditionalFormatting>
  <conditionalFormatting sqref="L176:N176">
    <cfRule type="cellIs" dxfId="1298" priority="500" operator="equal">
      <formula>"Cancelled"</formula>
    </cfRule>
    <cfRule type="cellIs" dxfId="1297" priority="501" operator="equal">
      <formula>"Obsolete"</formula>
    </cfRule>
    <cfRule type="cellIs" dxfId="1296" priority="502" operator="equal">
      <formula>"EOSS"</formula>
    </cfRule>
  </conditionalFormatting>
  <conditionalFormatting sqref="B118 E118:I118">
    <cfRule type="cellIs" dxfId="1295" priority="503" operator="equal">
      <formula>"Cancelled"</formula>
    </cfRule>
    <cfRule type="cellIs" dxfId="1294" priority="504" operator="equal">
      <formula>"Obsolete"</formula>
    </cfRule>
    <cfRule type="cellIs" dxfId="1293" priority="505" operator="equal">
      <formula>"EOSS"</formula>
    </cfRule>
  </conditionalFormatting>
  <conditionalFormatting sqref="Z120">
    <cfRule type="cellIs" dxfId="1292" priority="506" operator="equal">
      <formula>"Cancelled"</formula>
    </cfRule>
    <cfRule type="cellIs" dxfId="1291" priority="507" operator="equal">
      <formula>"Obsolete"</formula>
    </cfRule>
    <cfRule type="cellIs" dxfId="1290" priority="508" operator="equal">
      <formula>"EOSS"</formula>
    </cfRule>
  </conditionalFormatting>
  <conditionalFormatting sqref="O120:Y120">
    <cfRule type="cellIs" dxfId="1289" priority="509" operator="equal">
      <formula>"Cancelled"</formula>
    </cfRule>
    <cfRule type="cellIs" dxfId="1288" priority="510" operator="equal">
      <formula>"Obsolete"</formula>
    </cfRule>
    <cfRule type="cellIs" dxfId="1287" priority="511" operator="equal">
      <formula>"EOSS"</formula>
    </cfRule>
  </conditionalFormatting>
  <conditionalFormatting sqref="B120 E120:I120">
    <cfRule type="cellIs" dxfId="1286" priority="512" operator="equal">
      <formula>"Cancelled"</formula>
    </cfRule>
    <cfRule type="cellIs" dxfId="1285" priority="513" operator="equal">
      <formula>"Obsolete"</formula>
    </cfRule>
    <cfRule type="cellIs" dxfId="1284" priority="514" operator="equal">
      <formula>"EOSS"</formula>
    </cfRule>
  </conditionalFormatting>
  <conditionalFormatting sqref="Z119">
    <cfRule type="cellIs" dxfId="1283" priority="515" operator="equal">
      <formula>"Cancelled"</formula>
    </cfRule>
    <cfRule type="cellIs" dxfId="1282" priority="516" operator="equal">
      <formula>"Obsolete"</formula>
    </cfRule>
    <cfRule type="cellIs" dxfId="1281" priority="517" operator="equal">
      <formula>"EOSS"</formula>
    </cfRule>
  </conditionalFormatting>
  <conditionalFormatting sqref="O119:Y119">
    <cfRule type="cellIs" dxfId="1280" priority="518" operator="equal">
      <formula>"Cancelled"</formula>
    </cfRule>
    <cfRule type="cellIs" dxfId="1279" priority="519" operator="equal">
      <formula>"Obsolete"</formula>
    </cfRule>
    <cfRule type="cellIs" dxfId="1278" priority="520" operator="equal">
      <formula>"EOSS"</formula>
    </cfRule>
  </conditionalFormatting>
  <conditionalFormatting sqref="B119 E119:I119">
    <cfRule type="cellIs" dxfId="1277" priority="521" operator="equal">
      <formula>"Cancelled"</formula>
    </cfRule>
    <cfRule type="cellIs" dxfId="1276" priority="522" operator="equal">
      <formula>"Obsolete"</formula>
    </cfRule>
    <cfRule type="cellIs" dxfId="1275" priority="523" operator="equal">
      <formula>"EOSS"</formula>
    </cfRule>
  </conditionalFormatting>
  <conditionalFormatting sqref="Q3:T122 Q156:T230 Q124:T125 Q127:T131 Q133:T151">
    <cfRule type="expression" dxfId="1274" priority="524">
      <formula>NOT(ISERROR(SEARCH("y",Q3)))</formula>
    </cfRule>
  </conditionalFormatting>
  <conditionalFormatting sqref="L119:N119">
    <cfRule type="cellIs" dxfId="1273" priority="525" operator="equal">
      <formula>"Cancelled"</formula>
    </cfRule>
    <cfRule type="cellIs" dxfId="1272" priority="526" operator="equal">
      <formula>"Obsolete"</formula>
    </cfRule>
    <cfRule type="cellIs" dxfId="1271" priority="527" operator="equal">
      <formula>"EOSS"</formula>
    </cfRule>
  </conditionalFormatting>
  <conditionalFormatting sqref="L120:N120">
    <cfRule type="cellIs" dxfId="1270" priority="528" operator="equal">
      <formula>"Cancelled"</formula>
    </cfRule>
    <cfRule type="cellIs" dxfId="1269" priority="529" operator="equal">
      <formula>"Obsolete"</formula>
    </cfRule>
    <cfRule type="cellIs" dxfId="1268" priority="530" operator="equal">
      <formula>"EOSS"</formula>
    </cfRule>
  </conditionalFormatting>
  <conditionalFormatting sqref="L71:N74">
    <cfRule type="cellIs" dxfId="1267" priority="531" operator="equal">
      <formula>"Cancelled"</formula>
    </cfRule>
    <cfRule type="cellIs" dxfId="1266" priority="532" operator="equal">
      <formula>"Obsolete"</formula>
    </cfRule>
    <cfRule type="cellIs" dxfId="1265" priority="533" operator="equal">
      <formula>"EOSS"</formula>
    </cfRule>
  </conditionalFormatting>
  <conditionalFormatting sqref="L70:N70">
    <cfRule type="cellIs" dxfId="1264" priority="534" operator="equal">
      <formula>"Cancelled"</formula>
    </cfRule>
    <cfRule type="cellIs" dxfId="1263" priority="535" operator="equal">
      <formula>"Obsolete"</formula>
    </cfRule>
    <cfRule type="cellIs" dxfId="1262" priority="536" operator="equal">
      <formula>"EOSS"</formula>
    </cfRule>
  </conditionalFormatting>
  <conditionalFormatting sqref="K72">
    <cfRule type="cellIs" dxfId="1261" priority="537" operator="equal">
      <formula>"Cancelled"</formula>
    </cfRule>
    <cfRule type="cellIs" dxfId="1260" priority="538" operator="equal">
      <formula>"Obsolete"</formula>
    </cfRule>
    <cfRule type="cellIs" dxfId="1259" priority="539" operator="equal">
      <formula>"EOSS"</formula>
    </cfRule>
  </conditionalFormatting>
  <conditionalFormatting sqref="K22">
    <cfRule type="cellIs" dxfId="1258" priority="540" operator="equal">
      <formula>"Cancelled"</formula>
    </cfRule>
    <cfRule type="cellIs" dxfId="1257" priority="541" operator="equal">
      <formula>"Obsolete"</formula>
    </cfRule>
    <cfRule type="cellIs" dxfId="1256" priority="542" operator="equal">
      <formula>"EOSS"</formula>
    </cfRule>
  </conditionalFormatting>
  <conditionalFormatting sqref="K23">
    <cfRule type="cellIs" dxfId="1255" priority="543" operator="equal">
      <formula>"Cancelled"</formula>
    </cfRule>
    <cfRule type="cellIs" dxfId="1254" priority="544" operator="equal">
      <formula>"Obsolete"</formula>
    </cfRule>
    <cfRule type="cellIs" dxfId="1253" priority="545" operator="equal">
      <formula>"EOSS"</formula>
    </cfRule>
  </conditionalFormatting>
  <conditionalFormatting sqref="K24">
    <cfRule type="cellIs" dxfId="1252" priority="546" operator="equal">
      <formula>"Cancelled"</formula>
    </cfRule>
    <cfRule type="cellIs" dxfId="1251" priority="547" operator="equal">
      <formula>"Obsolete"</formula>
    </cfRule>
    <cfRule type="cellIs" dxfId="1250" priority="548" operator="equal">
      <formula>"EOSS"</formula>
    </cfRule>
  </conditionalFormatting>
  <conditionalFormatting sqref="K25">
    <cfRule type="cellIs" dxfId="1249" priority="549" operator="equal">
      <formula>"Cancelled"</formula>
    </cfRule>
    <cfRule type="cellIs" dxfId="1248" priority="550" operator="equal">
      <formula>"Obsolete"</formula>
    </cfRule>
    <cfRule type="cellIs" dxfId="1247" priority="551" operator="equal">
      <formula>"EOSS"</formula>
    </cfRule>
  </conditionalFormatting>
  <conditionalFormatting sqref="K26">
    <cfRule type="cellIs" dxfId="1246" priority="552" operator="equal">
      <formula>"Cancelled"</formula>
    </cfRule>
    <cfRule type="cellIs" dxfId="1245" priority="553" operator="equal">
      <formula>"Obsolete"</formula>
    </cfRule>
    <cfRule type="cellIs" dxfId="1244" priority="554" operator="equal">
      <formula>"EOSS"</formula>
    </cfRule>
  </conditionalFormatting>
  <conditionalFormatting sqref="K27">
    <cfRule type="cellIs" dxfId="1243" priority="555" operator="equal">
      <formula>"Cancelled"</formula>
    </cfRule>
    <cfRule type="cellIs" dxfId="1242" priority="556" operator="equal">
      <formula>"Obsolete"</formula>
    </cfRule>
    <cfRule type="cellIs" dxfId="1241" priority="557" operator="equal">
      <formula>"EOSS"</formula>
    </cfRule>
  </conditionalFormatting>
  <conditionalFormatting sqref="K70">
    <cfRule type="cellIs" dxfId="1240" priority="558" operator="equal">
      <formula>"Cancelled"</formula>
    </cfRule>
    <cfRule type="cellIs" dxfId="1239" priority="559" operator="equal">
      <formula>"Obsolete"</formula>
    </cfRule>
    <cfRule type="cellIs" dxfId="1238" priority="560" operator="equal">
      <formula>"EOSS"</formula>
    </cfRule>
  </conditionalFormatting>
  <conditionalFormatting sqref="K73">
    <cfRule type="cellIs" dxfId="1237" priority="561" operator="equal">
      <formula>"Cancelled"</formula>
    </cfRule>
    <cfRule type="cellIs" dxfId="1236" priority="562" operator="equal">
      <formula>"Obsolete"</formula>
    </cfRule>
    <cfRule type="cellIs" dxfId="1235" priority="563" operator="equal">
      <formula>"EOSS"</formula>
    </cfRule>
  </conditionalFormatting>
  <conditionalFormatting sqref="B153:I153">
    <cfRule type="cellIs" dxfId="1234" priority="564" operator="equal">
      <formula>"Cancelled"</formula>
    </cfRule>
    <cfRule type="cellIs" dxfId="1233" priority="565" operator="equal">
      <formula>"Obsolete"</formula>
    </cfRule>
    <cfRule type="cellIs" dxfId="1232" priority="566" operator="equal">
      <formula>"EOSS"</formula>
    </cfRule>
  </conditionalFormatting>
  <conditionalFormatting sqref="Z153">
    <cfRule type="cellIs" dxfId="1231" priority="567" operator="equal">
      <formula>"Cancelled"</formula>
    </cfRule>
    <cfRule type="cellIs" dxfId="1230" priority="568" operator="equal">
      <formula>"Obsolete"</formula>
    </cfRule>
    <cfRule type="cellIs" dxfId="1229" priority="569" operator="equal">
      <formula>"EOSS"</formula>
    </cfRule>
  </conditionalFormatting>
  <conditionalFormatting sqref="K153:N153 Q153:Y153">
    <cfRule type="cellIs" dxfId="1228" priority="570" operator="equal">
      <formula>"Cancelled"</formula>
    </cfRule>
    <cfRule type="cellIs" dxfId="1227" priority="571" operator="equal">
      <formula>"Obsolete"</formula>
    </cfRule>
    <cfRule type="cellIs" dxfId="1226" priority="572" operator="equal">
      <formula>"EOSS"</formula>
    </cfRule>
  </conditionalFormatting>
  <conditionalFormatting sqref="Q153:T153">
    <cfRule type="expression" dxfId="1225" priority="573">
      <formula>NOT(ISERROR(SEARCH("y",Q153)))</formula>
    </cfRule>
  </conditionalFormatting>
  <conditionalFormatting sqref="B152:I152">
    <cfRule type="cellIs" dxfId="1224" priority="574" operator="equal">
      <formula>"Cancelled"</formula>
    </cfRule>
    <cfRule type="cellIs" dxfId="1223" priority="575" operator="equal">
      <formula>"Obsolete"</formula>
    </cfRule>
    <cfRule type="cellIs" dxfId="1222" priority="576" operator="equal">
      <formula>"EOSS"</formula>
    </cfRule>
  </conditionalFormatting>
  <conditionalFormatting sqref="Z152">
    <cfRule type="cellIs" dxfId="1221" priority="577" operator="equal">
      <formula>"Cancelled"</formula>
    </cfRule>
    <cfRule type="cellIs" dxfId="1220" priority="578" operator="equal">
      <formula>"Obsolete"</formula>
    </cfRule>
    <cfRule type="cellIs" dxfId="1219" priority="579" operator="equal">
      <formula>"EOSS"</formula>
    </cfRule>
  </conditionalFormatting>
  <conditionalFormatting sqref="J152:Y152">
    <cfRule type="cellIs" dxfId="1218" priority="580" operator="equal">
      <formula>"Cancelled"</formula>
    </cfRule>
    <cfRule type="cellIs" dxfId="1217" priority="581" operator="equal">
      <formula>"Obsolete"</formula>
    </cfRule>
    <cfRule type="cellIs" dxfId="1216" priority="582" operator="equal">
      <formula>"EOSS"</formula>
    </cfRule>
  </conditionalFormatting>
  <conditionalFormatting sqref="Q152:T152">
    <cfRule type="expression" dxfId="1215" priority="583">
      <formula>NOT(ISERROR(SEARCH("y",Q152)))</formula>
    </cfRule>
  </conditionalFormatting>
  <conditionalFormatting sqref="B155 D155:I155">
    <cfRule type="cellIs" dxfId="1214" priority="584" operator="equal">
      <formula>"Cancelled"</formula>
    </cfRule>
    <cfRule type="cellIs" dxfId="1213" priority="585" operator="equal">
      <formula>"Obsolete"</formula>
    </cfRule>
    <cfRule type="cellIs" dxfId="1212" priority="586" operator="equal">
      <formula>"EOSS"</formula>
    </cfRule>
  </conditionalFormatting>
  <conditionalFormatting sqref="A155 A170 A185 A200 A215">
    <cfRule type="cellIs" dxfId="1211" priority="587" operator="equal">
      <formula>"Cancelled"</formula>
    </cfRule>
    <cfRule type="cellIs" dxfId="1210" priority="588" operator="equal">
      <formula>"Obsolete"</formula>
    </cfRule>
    <cfRule type="cellIs" dxfId="1209" priority="589" operator="equal">
      <formula>"EOSS"</formula>
    </cfRule>
  </conditionalFormatting>
  <conditionalFormatting sqref="Z155">
    <cfRule type="cellIs" dxfId="1208" priority="590" operator="equal">
      <formula>"Cancelled"</formula>
    </cfRule>
    <cfRule type="cellIs" dxfId="1207" priority="591" operator="equal">
      <formula>"Obsolete"</formula>
    </cfRule>
    <cfRule type="cellIs" dxfId="1206" priority="592" operator="equal">
      <formula>"EOSS"</formula>
    </cfRule>
  </conditionalFormatting>
  <conditionalFormatting sqref="L155:N155 Q155:Y155">
    <cfRule type="cellIs" dxfId="1205" priority="593" operator="equal">
      <formula>"Cancelled"</formula>
    </cfRule>
    <cfRule type="cellIs" dxfId="1204" priority="594" operator="equal">
      <formula>"Obsolete"</formula>
    </cfRule>
    <cfRule type="cellIs" dxfId="1203" priority="595" operator="equal">
      <formula>"EOSS"</formula>
    </cfRule>
  </conditionalFormatting>
  <conditionalFormatting sqref="Q155:T155">
    <cfRule type="expression" dxfId="1202" priority="596">
      <formula>NOT(ISERROR(SEARCH("y",Q155)))</formula>
    </cfRule>
  </conditionalFormatting>
  <conditionalFormatting sqref="B154:I154">
    <cfRule type="cellIs" dxfId="1201" priority="597" operator="equal">
      <formula>"Cancelled"</formula>
    </cfRule>
    <cfRule type="cellIs" dxfId="1200" priority="598" operator="equal">
      <formula>"Obsolete"</formula>
    </cfRule>
    <cfRule type="cellIs" dxfId="1199" priority="599" operator="equal">
      <formula>"EOSS"</formula>
    </cfRule>
  </conditionalFormatting>
  <conditionalFormatting sqref="Z154">
    <cfRule type="cellIs" dxfId="1198" priority="600" operator="equal">
      <formula>"Cancelled"</formula>
    </cfRule>
    <cfRule type="cellIs" dxfId="1197" priority="601" operator="equal">
      <formula>"Obsolete"</formula>
    </cfRule>
    <cfRule type="cellIs" dxfId="1196" priority="602" operator="equal">
      <formula>"EOSS"</formula>
    </cfRule>
  </conditionalFormatting>
  <conditionalFormatting sqref="K154:N154 Q154:Y154">
    <cfRule type="cellIs" dxfId="1195" priority="603" operator="equal">
      <formula>"Cancelled"</formula>
    </cfRule>
    <cfRule type="cellIs" dxfId="1194" priority="604" operator="equal">
      <formula>"Obsolete"</formula>
    </cfRule>
    <cfRule type="cellIs" dxfId="1193" priority="605" operator="equal">
      <formula>"EOSS"</formula>
    </cfRule>
  </conditionalFormatting>
  <conditionalFormatting sqref="Q154:T154">
    <cfRule type="expression" dxfId="1192" priority="606">
      <formula>NOT(ISERROR(SEARCH("y",Q154)))</formula>
    </cfRule>
  </conditionalFormatting>
  <conditionalFormatting sqref="C155">
    <cfRule type="cellIs" dxfId="1191" priority="607" operator="equal">
      <formula>"Cancelled"</formula>
    </cfRule>
    <cfRule type="cellIs" dxfId="1190" priority="608" operator="equal">
      <formula>"Obsolete"</formula>
    </cfRule>
    <cfRule type="cellIs" dxfId="1189" priority="609" operator="equal">
      <formula>"EOSS"</formula>
    </cfRule>
  </conditionalFormatting>
  <conditionalFormatting sqref="K155">
    <cfRule type="cellIs" dxfId="1188" priority="610" operator="equal">
      <formula>"Cancelled"</formula>
    </cfRule>
    <cfRule type="cellIs" dxfId="1187" priority="611" operator="equal">
      <formula>"Obsolete"</formula>
    </cfRule>
    <cfRule type="cellIs" dxfId="1186" priority="612" operator="equal">
      <formula>"EOSS"</formula>
    </cfRule>
  </conditionalFormatting>
  <conditionalFormatting sqref="A153">
    <cfRule type="cellIs" dxfId="1185" priority="613" operator="equal">
      <formula>"Cancelled"</formula>
    </cfRule>
    <cfRule type="cellIs" dxfId="1184" priority="614" operator="equal">
      <formula>"Obsolete"</formula>
    </cfRule>
    <cfRule type="cellIs" dxfId="1183" priority="615" operator="equal">
      <formula>"EOSS"</formula>
    </cfRule>
  </conditionalFormatting>
  <conditionalFormatting sqref="J153">
    <cfRule type="cellIs" dxfId="1182" priority="616" operator="equal">
      <formula>"Cancelled"</formula>
    </cfRule>
    <cfRule type="cellIs" dxfId="1181" priority="617" operator="equal">
      <formula>"Obsolete"</formula>
    </cfRule>
    <cfRule type="cellIs" dxfId="1180" priority="618" operator="equal">
      <formula>"EOSS"</formula>
    </cfRule>
  </conditionalFormatting>
  <conditionalFormatting sqref="J154">
    <cfRule type="cellIs" dxfId="1179" priority="619" operator="equal">
      <formula>"Cancelled"</formula>
    </cfRule>
    <cfRule type="cellIs" dxfId="1178" priority="620" operator="equal">
      <formula>"Obsolete"</formula>
    </cfRule>
    <cfRule type="cellIs" dxfId="1177" priority="621" operator="equal">
      <formula>"EOSS"</formula>
    </cfRule>
  </conditionalFormatting>
  <conditionalFormatting sqref="J155">
    <cfRule type="cellIs" dxfId="1176" priority="622" operator="equal">
      <formula>"Cancelled"</formula>
    </cfRule>
    <cfRule type="cellIs" dxfId="1175" priority="623" operator="equal">
      <formula>"Obsolete"</formula>
    </cfRule>
    <cfRule type="cellIs" dxfId="1174" priority="624" operator="equal">
      <formula>"EOSS"</formula>
    </cfRule>
  </conditionalFormatting>
  <conditionalFormatting sqref="O153:P153">
    <cfRule type="cellIs" dxfId="1173" priority="625" operator="equal">
      <formula>"Cancelled"</formula>
    </cfRule>
    <cfRule type="cellIs" dxfId="1172" priority="626" operator="equal">
      <formula>"Obsolete"</formula>
    </cfRule>
    <cfRule type="cellIs" dxfId="1171" priority="627" operator="equal">
      <formula>"EOSS"</formula>
    </cfRule>
  </conditionalFormatting>
  <conditionalFormatting sqref="O154:P154">
    <cfRule type="cellIs" dxfId="1170" priority="628" operator="equal">
      <formula>"Cancelled"</formula>
    </cfRule>
    <cfRule type="cellIs" dxfId="1169" priority="629" operator="equal">
      <formula>"Obsolete"</formula>
    </cfRule>
    <cfRule type="cellIs" dxfId="1168" priority="630" operator="equal">
      <formula>"EOSS"</formula>
    </cfRule>
  </conditionalFormatting>
  <conditionalFormatting sqref="O155:P155">
    <cfRule type="cellIs" dxfId="1167" priority="631" operator="equal">
      <formula>"Cancelled"</formula>
    </cfRule>
    <cfRule type="cellIs" dxfId="1166" priority="632" operator="equal">
      <formula>"Obsolete"</formula>
    </cfRule>
    <cfRule type="cellIs" dxfId="1165" priority="633" operator="equal">
      <formula>"EOSS"</formula>
    </cfRule>
  </conditionalFormatting>
  <conditionalFormatting sqref="A154">
    <cfRule type="cellIs" dxfId="1164" priority="634" operator="equal">
      <formula>"Cancelled"</formula>
    </cfRule>
    <cfRule type="cellIs" dxfId="1163" priority="635" operator="equal">
      <formula>"Obsolete"</formula>
    </cfRule>
    <cfRule type="cellIs" dxfId="1162" priority="636" operator="equal">
      <formula>"EOSS"</formula>
    </cfRule>
  </conditionalFormatting>
  <conditionalFormatting sqref="A154">
    <cfRule type="cellIs" dxfId="1161" priority="637" operator="equal">
      <formula>"Cancelled"</formula>
    </cfRule>
    <cfRule type="cellIs" dxfId="1160" priority="638" operator="equal">
      <formula>"Obsolete"</formula>
    </cfRule>
    <cfRule type="cellIs" dxfId="1159" priority="639" operator="equal">
      <formula>"EOSS"</formula>
    </cfRule>
  </conditionalFormatting>
  <conditionalFormatting sqref="A153">
    <cfRule type="cellIs" dxfId="1158" priority="640" operator="equal">
      <formula>"Cancelled"</formula>
    </cfRule>
    <cfRule type="cellIs" dxfId="1157" priority="641" operator="equal">
      <formula>"Obsolete"</formula>
    </cfRule>
    <cfRule type="cellIs" dxfId="1156" priority="642" operator="equal">
      <formula>"EOSS"</formula>
    </cfRule>
  </conditionalFormatting>
  <conditionalFormatting sqref="A152">
    <cfRule type="cellIs" dxfId="1155" priority="643" operator="equal">
      <formula>"Cancelled"</formula>
    </cfRule>
    <cfRule type="cellIs" dxfId="1154" priority="644" operator="equal">
      <formula>"Obsolete"</formula>
    </cfRule>
    <cfRule type="cellIs" dxfId="1153" priority="645" operator="equal">
      <formula>"EOSS"</formula>
    </cfRule>
  </conditionalFormatting>
  <conditionalFormatting sqref="A152">
    <cfRule type="cellIs" dxfId="1152" priority="646" operator="equal">
      <formula>"Cancelled"</formula>
    </cfRule>
    <cfRule type="cellIs" dxfId="1151" priority="647" operator="equal">
      <formula>"Obsolete"</formula>
    </cfRule>
    <cfRule type="cellIs" dxfId="1150" priority="648" operator="equal">
      <formula>"EOSS"</formula>
    </cfRule>
  </conditionalFormatting>
  <conditionalFormatting sqref="F185">
    <cfRule type="cellIs" dxfId="1149" priority="649" operator="equal">
      <formula>"Cancelled"</formula>
    </cfRule>
    <cfRule type="cellIs" dxfId="1148" priority="650" operator="equal">
      <formula>"Obsolete"</formula>
    </cfRule>
    <cfRule type="cellIs" dxfId="1147" priority="651" operator="equal">
      <formula>"EOSS"</formula>
    </cfRule>
  </conditionalFormatting>
  <conditionalFormatting sqref="O123:P123 A123:K123">
    <cfRule type="cellIs" dxfId="1146" priority="652" operator="equal">
      <formula>"Cancelled"</formula>
    </cfRule>
    <cfRule type="cellIs" dxfId="1145" priority="653" operator="equal">
      <formula>"Obsolete"</formula>
    </cfRule>
    <cfRule type="cellIs" dxfId="1144" priority="654" operator="equal">
      <formula>"EOSS"</formula>
    </cfRule>
  </conditionalFormatting>
  <conditionalFormatting sqref="Q123">
    <cfRule type="cellIs" dxfId="1143" priority="655" operator="equal">
      <formula>"Cancelled"</formula>
    </cfRule>
    <cfRule type="cellIs" dxfId="1142" priority="656" operator="equal">
      <formula>"Obsolete"</formula>
    </cfRule>
    <cfRule type="cellIs" dxfId="1141" priority="657" operator="equal">
      <formula>"EOSS"</formula>
    </cfRule>
  </conditionalFormatting>
  <conditionalFormatting sqref="R123:Z123">
    <cfRule type="cellIs" dxfId="1140" priority="658" operator="equal">
      <formula>"Cancelled"</formula>
    </cfRule>
    <cfRule type="cellIs" dxfId="1139" priority="659" operator="equal">
      <formula>"Obsolete"</formula>
    </cfRule>
    <cfRule type="cellIs" dxfId="1138" priority="660" operator="equal">
      <formula>"EOSS"</formula>
    </cfRule>
  </conditionalFormatting>
  <conditionalFormatting sqref="L123">
    <cfRule type="cellIs" dxfId="1137" priority="661" operator="equal">
      <formula>"Cancelled"</formula>
    </cfRule>
    <cfRule type="cellIs" dxfId="1136" priority="662" operator="equal">
      <formula>"Obsolete"</formula>
    </cfRule>
    <cfRule type="cellIs" dxfId="1135" priority="663" operator="equal">
      <formula>"EOSS"</formula>
    </cfRule>
  </conditionalFormatting>
  <conditionalFormatting sqref="M123">
    <cfRule type="cellIs" dxfId="1134" priority="664" operator="equal">
      <formula>"Cancelled"</formula>
    </cfRule>
    <cfRule type="cellIs" dxfId="1133" priority="665" operator="equal">
      <formula>"Obsolete"</formula>
    </cfRule>
    <cfRule type="cellIs" dxfId="1132" priority="666" operator="equal">
      <formula>"EOSS"</formula>
    </cfRule>
  </conditionalFormatting>
  <conditionalFormatting sqref="N123">
    <cfRule type="cellIs" dxfId="1131" priority="667" operator="equal">
      <formula>"Cancelled"</formula>
    </cfRule>
    <cfRule type="cellIs" dxfId="1130" priority="668" operator="equal">
      <formula>"Obsolete"</formula>
    </cfRule>
    <cfRule type="cellIs" dxfId="1129" priority="669" operator="equal">
      <formula>"EOSS"</formula>
    </cfRule>
  </conditionalFormatting>
  <conditionalFormatting sqref="Q123:T123">
    <cfRule type="expression" dxfId="1128" priority="670">
      <formula>NOT(ISERROR(SEARCH("y",Q123)))</formula>
    </cfRule>
  </conditionalFormatting>
  <conditionalFormatting sqref="A126:K126 O126:P126">
    <cfRule type="cellIs" dxfId="1127" priority="671" operator="equal">
      <formula>"Cancelled"</formula>
    </cfRule>
    <cfRule type="cellIs" dxfId="1126" priority="672" operator="equal">
      <formula>"Obsolete"</formula>
    </cfRule>
    <cfRule type="cellIs" dxfId="1125" priority="673" operator="equal">
      <formula>"EOSS"</formula>
    </cfRule>
  </conditionalFormatting>
  <conditionalFormatting sqref="Q126">
    <cfRule type="cellIs" dxfId="1124" priority="674" operator="equal">
      <formula>"Cancelled"</formula>
    </cfRule>
    <cfRule type="cellIs" dxfId="1123" priority="675" operator="equal">
      <formula>"Obsolete"</formula>
    </cfRule>
    <cfRule type="cellIs" dxfId="1122" priority="676" operator="equal">
      <formula>"EOSS"</formula>
    </cfRule>
  </conditionalFormatting>
  <conditionalFormatting sqref="R126:Z126">
    <cfRule type="cellIs" dxfId="1121" priority="677" operator="equal">
      <formula>"Cancelled"</formula>
    </cfRule>
    <cfRule type="cellIs" dxfId="1120" priority="678" operator="equal">
      <formula>"Obsolete"</formula>
    </cfRule>
    <cfRule type="cellIs" dxfId="1119" priority="679" operator="equal">
      <formula>"EOSS"</formula>
    </cfRule>
  </conditionalFormatting>
  <conditionalFormatting sqref="L126">
    <cfRule type="cellIs" dxfId="1118" priority="680" operator="equal">
      <formula>"Cancelled"</formula>
    </cfRule>
    <cfRule type="cellIs" dxfId="1117" priority="681" operator="equal">
      <formula>"Obsolete"</formula>
    </cfRule>
    <cfRule type="cellIs" dxfId="1116" priority="682" operator="equal">
      <formula>"EOSS"</formula>
    </cfRule>
  </conditionalFormatting>
  <conditionalFormatting sqref="M126">
    <cfRule type="cellIs" dxfId="1115" priority="683" operator="equal">
      <formula>"Cancelled"</formula>
    </cfRule>
    <cfRule type="cellIs" dxfId="1114" priority="684" operator="equal">
      <formula>"Obsolete"</formula>
    </cfRule>
    <cfRule type="cellIs" dxfId="1113" priority="685" operator="equal">
      <formula>"EOSS"</formula>
    </cfRule>
  </conditionalFormatting>
  <conditionalFormatting sqref="N126">
    <cfRule type="cellIs" dxfId="1112" priority="686" operator="equal">
      <formula>"Cancelled"</formula>
    </cfRule>
    <cfRule type="cellIs" dxfId="1111" priority="687" operator="equal">
      <formula>"Obsolete"</formula>
    </cfRule>
    <cfRule type="cellIs" dxfId="1110" priority="688" operator="equal">
      <formula>"EOSS"</formula>
    </cfRule>
  </conditionalFormatting>
  <conditionalFormatting sqref="Q126:T126">
    <cfRule type="expression" dxfId="1109" priority="689">
      <formula>NOT(ISERROR(SEARCH("y",Q126)))</formula>
    </cfRule>
  </conditionalFormatting>
  <conditionalFormatting sqref="B132:K132">
    <cfRule type="cellIs" dxfId="1108" priority="690" operator="equal">
      <formula>"Cancelled"</formula>
    </cfRule>
    <cfRule type="cellIs" dxfId="1107" priority="691" operator="equal">
      <formula>"Obsolete"</formula>
    </cfRule>
    <cfRule type="cellIs" dxfId="1106" priority="692" operator="equal">
      <formula>"EOSS"</formula>
    </cfRule>
  </conditionalFormatting>
  <conditionalFormatting sqref="Q132">
    <cfRule type="cellIs" dxfId="1105" priority="693" operator="equal">
      <formula>"Cancelled"</formula>
    </cfRule>
    <cfRule type="cellIs" dxfId="1104" priority="694" operator="equal">
      <formula>"Obsolete"</formula>
    </cfRule>
    <cfRule type="cellIs" dxfId="1103" priority="695" operator="equal">
      <formula>"EOSS"</formula>
    </cfRule>
  </conditionalFormatting>
  <conditionalFormatting sqref="R132:Z132">
    <cfRule type="cellIs" dxfId="1102" priority="696" operator="equal">
      <formula>"Cancelled"</formula>
    </cfRule>
    <cfRule type="cellIs" dxfId="1101" priority="697" operator="equal">
      <formula>"Obsolete"</formula>
    </cfRule>
    <cfRule type="cellIs" dxfId="1100" priority="698" operator="equal">
      <formula>"EOSS"</formula>
    </cfRule>
  </conditionalFormatting>
  <conditionalFormatting sqref="L132:P132">
    <cfRule type="cellIs" dxfId="1099" priority="699" operator="equal">
      <formula>"Cancelled"</formula>
    </cfRule>
    <cfRule type="cellIs" dxfId="1098" priority="700" operator="equal">
      <formula>"Obsolete"</formula>
    </cfRule>
    <cfRule type="cellIs" dxfId="1097" priority="701" operator="equal">
      <formula>"EOSS"</formula>
    </cfRule>
  </conditionalFormatting>
  <conditionalFormatting sqref="A132">
    <cfRule type="cellIs" dxfId="1096" priority="702" operator="equal">
      <formula>"Cancelled"</formula>
    </cfRule>
    <cfRule type="cellIs" dxfId="1095" priority="703" operator="equal">
      <formula>"Obsolete"</formula>
    </cfRule>
    <cfRule type="cellIs" dxfId="1094" priority="704" operator="equal">
      <formula>"EOSS"</formula>
    </cfRule>
  </conditionalFormatting>
  <conditionalFormatting sqref="Q132:T132">
    <cfRule type="expression" dxfId="1093" priority="705">
      <formula>NOT(ISERROR(SEARCH("y",Q132)))</formula>
    </cfRule>
  </conditionalFormatting>
  <hyperlinks>
    <hyperlink ref="J64" r:id="rId1" xr:uid="{00000000-0004-0000-0A00-000000000000}"/>
  </hyperlinks>
  <pageMargins left="0.7" right="0.7" top="0.75" bottom="0.75" header="0.51180555555555496" footer="0.51180555555555496"/>
  <pageSetup paperSize="9" firstPageNumber="0" orientation="portrait" horizontalDpi="300" verticalDpi="300"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tabColor rgb="FFFF0000"/>
  </sheetPr>
  <dimension ref="A1:B42"/>
  <sheetViews>
    <sheetView topLeftCell="A15" zoomScale="85" zoomScaleNormal="85" workbookViewId="0">
      <selection activeCell="A41" sqref="A41"/>
    </sheetView>
  </sheetViews>
  <sheetFormatPr defaultColWidth="9" defaultRowHeight="15"/>
  <cols>
    <col min="1" max="1" width="48.140625" customWidth="1"/>
    <col min="2" max="2" width="163.7109375" customWidth="1"/>
  </cols>
  <sheetData>
    <row r="1" spans="1:2" ht="23.25">
      <c r="A1" s="1022" t="s">
        <v>0</v>
      </c>
      <c r="B1" s="1022"/>
    </row>
    <row r="2" spans="1:2" s="3" customFormat="1" ht="71.25" customHeight="1">
      <c r="B2" s="4" t="s">
        <v>2080</v>
      </c>
    </row>
    <row r="3" spans="1:2" s="3" customFormat="1" ht="63">
      <c r="B3" s="4" t="s">
        <v>2081</v>
      </c>
    </row>
    <row r="4" spans="1:2" s="3" customFormat="1" ht="21">
      <c r="B4" s="5" t="s">
        <v>2082</v>
      </c>
    </row>
    <row r="5" spans="1:2" s="3" customFormat="1" ht="63">
      <c r="B5" s="4" t="s">
        <v>2083</v>
      </c>
    </row>
    <row r="6" spans="1:2" s="3" customFormat="1" ht="21">
      <c r="B6" s="4"/>
    </row>
    <row r="7" spans="1:2" s="3" customFormat="1" ht="21">
      <c r="B7" s="927" t="s">
        <v>2292</v>
      </c>
    </row>
    <row r="8" spans="1:2" s="3" customFormat="1" ht="21">
      <c r="B8" s="6" t="s">
        <v>2084</v>
      </c>
    </row>
    <row r="9" spans="1:2" s="3" customFormat="1" ht="21">
      <c r="B9" s="4" t="s">
        <v>2085</v>
      </c>
    </row>
    <row r="10" spans="1:2" s="3" customFormat="1" ht="30.75" customHeight="1">
      <c r="B10" s="6" t="s">
        <v>1</v>
      </c>
    </row>
    <row r="11" spans="1:2" s="3" customFormat="1" ht="30.75" customHeight="1">
      <c r="B11" s="5" t="s">
        <v>2</v>
      </c>
    </row>
    <row r="12" spans="1:2" s="3" customFormat="1" ht="29.25" customHeight="1">
      <c r="B12" s="6" t="s">
        <v>3</v>
      </c>
    </row>
    <row r="13" spans="1:2" s="3" customFormat="1" ht="27.75" customHeight="1">
      <c r="B13" s="5" t="s">
        <v>4</v>
      </c>
    </row>
    <row r="14" spans="1:2" ht="24" customHeight="1">
      <c r="A14" s="902"/>
      <c r="B14" s="6" t="s">
        <v>5</v>
      </c>
    </row>
    <row r="15" spans="1:2" ht="63">
      <c r="B15" s="4" t="s">
        <v>2269</v>
      </c>
    </row>
    <row r="16" spans="1:2" s="9" customFormat="1" ht="34.5" customHeight="1">
      <c r="A16" s="901" t="s">
        <v>2270</v>
      </c>
      <c r="B16" s="8" t="s">
        <v>6</v>
      </c>
    </row>
    <row r="17" spans="1:2" ht="30">
      <c r="A17" s="10" t="s">
        <v>7</v>
      </c>
      <c r="B17" s="11" t="s">
        <v>8</v>
      </c>
    </row>
    <row r="18" spans="1:2">
      <c r="A18" s="10" t="s">
        <v>9</v>
      </c>
      <c r="B18" s="10" t="s">
        <v>10</v>
      </c>
    </row>
    <row r="19" spans="1:2">
      <c r="A19" s="10" t="s">
        <v>11</v>
      </c>
      <c r="B19" s="10" t="s">
        <v>11</v>
      </c>
    </row>
    <row r="20" spans="1:2">
      <c r="A20" s="10" t="s">
        <v>12</v>
      </c>
      <c r="B20" s="10" t="s">
        <v>13</v>
      </c>
    </row>
    <row r="21" spans="1:2">
      <c r="A21" s="10" t="s">
        <v>14</v>
      </c>
      <c r="B21" s="10" t="s">
        <v>15</v>
      </c>
    </row>
    <row r="22" spans="1:2">
      <c r="A22" s="10" t="s">
        <v>6</v>
      </c>
      <c r="B22" s="10" t="s">
        <v>16</v>
      </c>
    </row>
    <row r="23" spans="1:2">
      <c r="A23" s="10" t="s">
        <v>17</v>
      </c>
      <c r="B23" s="10" t="s">
        <v>18</v>
      </c>
    </row>
    <row r="24" spans="1:2">
      <c r="A24" s="10" t="s">
        <v>19</v>
      </c>
      <c r="B24" s="10" t="s">
        <v>20</v>
      </c>
    </row>
    <row r="25" spans="1:2">
      <c r="A25" s="10" t="s">
        <v>21</v>
      </c>
      <c r="B25" s="10" t="s">
        <v>22</v>
      </c>
    </row>
    <row r="26" spans="1:2">
      <c r="A26" s="10" t="s">
        <v>23</v>
      </c>
      <c r="B26" s="10" t="s">
        <v>24</v>
      </c>
    </row>
    <row r="27" spans="1:2">
      <c r="A27" s="10" t="s">
        <v>25</v>
      </c>
      <c r="B27" s="10" t="s">
        <v>26</v>
      </c>
    </row>
    <row r="28" spans="1:2">
      <c r="A28" s="10" t="s">
        <v>27</v>
      </c>
      <c r="B28" s="10" t="s">
        <v>28</v>
      </c>
    </row>
    <row r="29" spans="1:2">
      <c r="A29" s="10" t="s">
        <v>29</v>
      </c>
      <c r="B29" s="10" t="s">
        <v>30</v>
      </c>
    </row>
    <row r="30" spans="1:2">
      <c r="A30" s="10" t="s">
        <v>31</v>
      </c>
      <c r="B30" s="10" t="s">
        <v>32</v>
      </c>
    </row>
    <row r="31" spans="1:2">
      <c r="B31" s="12"/>
    </row>
    <row r="32" spans="1:2">
      <c r="A32" s="13" t="s">
        <v>33</v>
      </c>
      <c r="B32" s="8" t="s">
        <v>6</v>
      </c>
    </row>
    <row r="33" spans="1:2">
      <c r="A33" s="14" t="s">
        <v>34</v>
      </c>
      <c r="B33" s="10" t="s">
        <v>35</v>
      </c>
    </row>
    <row r="34" spans="1:2" ht="45">
      <c r="A34" s="14" t="s">
        <v>2271</v>
      </c>
      <c r="B34" s="11" t="s">
        <v>36</v>
      </c>
    </row>
    <row r="35" spans="1:2">
      <c r="A35" s="903" t="s">
        <v>2272</v>
      </c>
      <c r="B35" s="904" t="s">
        <v>2277</v>
      </c>
    </row>
    <row r="36" spans="1:2">
      <c r="A36" s="903" t="s">
        <v>2273</v>
      </c>
      <c r="B36" s="904" t="s">
        <v>2276</v>
      </c>
    </row>
    <row r="37" spans="1:2">
      <c r="A37" s="903" t="s">
        <v>2274</v>
      </c>
      <c r="B37" s="904" t="s">
        <v>2275</v>
      </c>
    </row>
    <row r="38" spans="1:2" ht="30">
      <c r="A38" s="7" t="s">
        <v>37</v>
      </c>
      <c r="B38" s="8" t="s">
        <v>6</v>
      </c>
    </row>
    <row r="39" spans="1:2">
      <c r="A39" s="10" t="s">
        <v>38</v>
      </c>
      <c r="B39" s="10" t="s">
        <v>39</v>
      </c>
    </row>
    <row r="40" spans="1:2">
      <c r="A40" s="10" t="s">
        <v>40</v>
      </c>
      <c r="B40" s="10" t="s">
        <v>2286</v>
      </c>
    </row>
    <row r="41" spans="1:2">
      <c r="A41" s="10" t="s">
        <v>41</v>
      </c>
      <c r="B41" s="10"/>
    </row>
    <row r="42" spans="1:2">
      <c r="A42" s="10" t="s">
        <v>42</v>
      </c>
      <c r="B42" s="10"/>
    </row>
  </sheetData>
  <mergeCells count="1">
    <mergeCell ref="A1:B1"/>
  </mergeCells>
  <hyperlinks>
    <hyperlink ref="B10" r:id="rId1" xr:uid="{00000000-0004-0000-0000-000000000000}"/>
    <hyperlink ref="B12" r:id="rId2" location="point" xr:uid="{00000000-0004-0000-0000-000001000000}"/>
    <hyperlink ref="B14" r:id="rId3" xr:uid="{00000000-0004-0000-0000-000002000000}"/>
    <hyperlink ref="B8" r:id="rId4" location="Running_the_Script" display="Rules WIKI page" xr:uid="{00000000-0004-0000-0000-000003000000}"/>
    <hyperlink ref="A16" r:id="rId5" display="DATA that is now in the wiki page Qualification_Transceiver_Inventory WIKI page" xr:uid="{F32E9662-8A59-43F6-945A-D760681743C7}"/>
    <hyperlink ref="B7" r:id="rId6" display="https://wiki.atlnz.lc/awpwiki/index.php/Transceiver_Qualification_Rules" xr:uid="{DD0420AB-0908-47FC-A064-A2B6A9ACC8C3}"/>
  </hyperlinks>
  <pageMargins left="0.7" right="0.7" top="0.75" bottom="0.75" header="0.51180555555555496" footer="0.51180555555555496"/>
  <pageSetup firstPageNumber="0" orientation="portrait" horizontalDpi="300" verticalDpi="300"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8">
    <tabColor rgb="FF00B0F0"/>
    <pageSetUpPr fitToPage="1"/>
  </sheetPr>
  <dimension ref="A1:HD317"/>
  <sheetViews>
    <sheetView zoomScaleNormal="100" workbookViewId="0">
      <pane xSplit="4" ySplit="2" topLeftCell="E176" activePane="bottomRight" state="frozen"/>
      <selection pane="topRight" activeCell="AC1" sqref="AC1"/>
      <selection pane="bottomLeft" activeCell="A213" sqref="A213"/>
      <selection pane="bottomRight" activeCell="M194" sqref="M194"/>
    </sheetView>
  </sheetViews>
  <sheetFormatPr defaultColWidth="9" defaultRowHeight="15"/>
  <cols>
    <col min="1" max="1" width="11.140625" customWidth="1"/>
    <col min="2" max="2" width="14.5703125" customWidth="1"/>
    <col min="3" max="3" width="9.85546875" customWidth="1"/>
    <col min="4" max="4" width="19.28515625" bestFit="1" customWidth="1"/>
    <col min="5" max="5" width="109.85546875" bestFit="1" customWidth="1"/>
    <col min="6" max="6" width="12.42578125" bestFit="1" customWidth="1"/>
    <col min="7" max="7" width="9.7109375" bestFit="1" customWidth="1"/>
    <col min="8" max="8" width="13.85546875" bestFit="1" customWidth="1"/>
    <col min="9" max="9" width="48.42578125" bestFit="1" customWidth="1"/>
    <col min="10" max="10" width="18.5703125" customWidth="1"/>
    <col min="11" max="11" width="21.140625" customWidth="1"/>
    <col min="12" max="12" width="7.28515625" customWidth="1"/>
    <col min="13" max="13" width="27" customWidth="1"/>
    <col min="14" max="14" width="20" customWidth="1"/>
    <col min="15" max="15" width="42.7109375" customWidth="1"/>
    <col min="16" max="16" width="17.42578125" customWidth="1"/>
    <col min="17" max="17" width="5.140625" customWidth="1"/>
    <col min="18" max="18" width="6.28515625" customWidth="1"/>
    <col min="19" max="21" width="6.140625" customWidth="1"/>
    <col min="22" max="23" width="7.28515625" customWidth="1"/>
    <col min="24" max="24" width="5" customWidth="1"/>
    <col min="25" max="27" width="6.140625" customWidth="1"/>
    <col min="28" max="28" width="18.5703125" customWidth="1"/>
    <col min="29" max="29" width="10.85546875" customWidth="1"/>
    <col min="30" max="30" width="19.7109375" customWidth="1"/>
    <col min="31" max="31" width="37.7109375" customWidth="1"/>
    <col min="32" max="32" width="7.7109375" style="15" customWidth="1"/>
    <col min="33" max="33" width="8.140625" style="15" customWidth="1"/>
    <col min="34" max="36" width="6.140625" style="15" customWidth="1"/>
    <col min="37" max="38" width="7.28515625" style="15" customWidth="1"/>
    <col min="39" max="40" width="5" style="15" customWidth="1"/>
    <col min="41" max="42" width="6.140625" style="15" customWidth="1"/>
    <col min="43" max="43" width="44.28515625" customWidth="1"/>
  </cols>
  <sheetData>
    <row r="1" spans="1:212" ht="15.75" customHeight="1" thickBot="1">
      <c r="A1" s="1023" t="s">
        <v>1175</v>
      </c>
      <c r="B1" s="1023"/>
      <c r="C1" s="1023"/>
      <c r="D1" s="1023"/>
      <c r="E1" s="1023"/>
      <c r="F1" s="1023"/>
      <c r="G1" s="1023"/>
      <c r="H1" s="1023"/>
      <c r="I1" s="1024" t="s">
        <v>627</v>
      </c>
      <c r="J1" s="1024"/>
      <c r="K1" s="1025" t="s">
        <v>629</v>
      </c>
      <c r="L1" s="1025"/>
      <c r="M1" s="1025"/>
      <c r="N1" s="1026" t="s">
        <v>634</v>
      </c>
      <c r="O1" s="1026"/>
      <c r="P1" s="1026"/>
      <c r="Q1" s="1026"/>
      <c r="R1" s="1026"/>
      <c r="S1" s="1026"/>
      <c r="T1" s="1026"/>
      <c r="U1" s="1026"/>
      <c r="V1" s="1026"/>
      <c r="W1" s="1026"/>
      <c r="X1" s="1026"/>
      <c r="Y1" s="1026"/>
      <c r="Z1" s="1026"/>
      <c r="AA1" s="1026"/>
      <c r="AB1" s="1026"/>
      <c r="AC1" s="1026"/>
      <c r="AD1" s="1026"/>
      <c r="AE1" s="489" t="s">
        <v>1176</v>
      </c>
      <c r="AF1" s="1027" t="s">
        <v>1177</v>
      </c>
      <c r="AG1" s="1027"/>
      <c r="AH1" s="1027"/>
      <c r="AI1" s="1027"/>
      <c r="AJ1" s="1027"/>
      <c r="AK1" s="1027"/>
      <c r="AL1" s="1027"/>
      <c r="AM1" s="1027"/>
      <c r="AN1" s="1027"/>
      <c r="AO1" s="1027"/>
      <c r="AP1" s="1027"/>
      <c r="AQ1" s="490" t="s">
        <v>651</v>
      </c>
    </row>
    <row r="2" spans="1:212" ht="15.75" thickBot="1">
      <c r="A2" s="491" t="s">
        <v>623</v>
      </c>
      <c r="B2" s="492" t="s">
        <v>624</v>
      </c>
      <c r="C2" s="493" t="s">
        <v>1178</v>
      </c>
      <c r="D2" s="492" t="s">
        <v>1179</v>
      </c>
      <c r="E2" s="492" t="s">
        <v>1180</v>
      </c>
      <c r="F2" s="494" t="s">
        <v>1181</v>
      </c>
      <c r="G2" s="495" t="s">
        <v>642</v>
      </c>
      <c r="H2" s="496" t="s">
        <v>626</v>
      </c>
      <c r="I2" s="497" t="s">
        <v>632</v>
      </c>
      <c r="J2" s="498" t="s">
        <v>1182</v>
      </c>
      <c r="K2" s="499" t="s">
        <v>639</v>
      </c>
      <c r="L2" s="500" t="s">
        <v>640</v>
      </c>
      <c r="M2" s="499" t="s">
        <v>641</v>
      </c>
      <c r="N2" s="501" t="s">
        <v>1183</v>
      </c>
      <c r="O2" s="502" t="s">
        <v>638</v>
      </c>
      <c r="P2" s="502" t="s">
        <v>1184</v>
      </c>
      <c r="Q2" s="502" t="s">
        <v>1185</v>
      </c>
      <c r="R2" s="502" t="s">
        <v>643</v>
      </c>
      <c r="S2" s="502" t="s">
        <v>644</v>
      </c>
      <c r="T2" s="502" t="s">
        <v>1186</v>
      </c>
      <c r="U2" s="502" t="s">
        <v>1187</v>
      </c>
      <c r="V2" s="502" t="s">
        <v>645</v>
      </c>
      <c r="W2" s="502" t="s">
        <v>2282</v>
      </c>
      <c r="X2" s="502" t="s">
        <v>646</v>
      </c>
      <c r="Y2" s="502" t="s">
        <v>2034</v>
      </c>
      <c r="Z2" s="502" t="s">
        <v>647</v>
      </c>
      <c r="AA2" s="502" t="s">
        <v>2035</v>
      </c>
      <c r="AB2" s="502" t="s">
        <v>1183</v>
      </c>
      <c r="AC2" s="502" t="s">
        <v>1188</v>
      </c>
      <c r="AD2" s="502" t="s">
        <v>1184</v>
      </c>
      <c r="AE2" s="499" t="s">
        <v>1176</v>
      </c>
      <c r="AF2" s="905" t="s">
        <v>1185</v>
      </c>
      <c r="AG2" s="905" t="s">
        <v>643</v>
      </c>
      <c r="AH2" s="905" t="s">
        <v>644</v>
      </c>
      <c r="AI2" s="905" t="s">
        <v>1186</v>
      </c>
      <c r="AJ2" s="905" t="s">
        <v>1187</v>
      </c>
      <c r="AK2" s="905" t="s">
        <v>645</v>
      </c>
      <c r="AL2" s="905" t="s">
        <v>2282</v>
      </c>
      <c r="AM2" s="905" t="s">
        <v>646</v>
      </c>
      <c r="AN2" s="905" t="s">
        <v>2034</v>
      </c>
      <c r="AO2" s="905" t="s">
        <v>647</v>
      </c>
      <c r="AP2" s="905" t="s">
        <v>2035</v>
      </c>
      <c r="AQ2" s="503" t="s">
        <v>651</v>
      </c>
    </row>
    <row r="3" spans="1:212">
      <c r="A3" s="504">
        <v>3</v>
      </c>
      <c r="B3" s="504" t="s">
        <v>186</v>
      </c>
      <c r="C3" s="505">
        <v>422</v>
      </c>
      <c r="D3" s="504" t="s">
        <v>1098</v>
      </c>
      <c r="E3" s="504" t="s">
        <v>1189</v>
      </c>
      <c r="F3" s="504" t="s">
        <v>663</v>
      </c>
      <c r="G3" s="504" t="s">
        <v>661</v>
      </c>
      <c r="H3" s="506" t="s">
        <v>1095</v>
      </c>
      <c r="I3" s="507" t="s">
        <v>1099</v>
      </c>
      <c r="J3" s="508" t="s">
        <v>688</v>
      </c>
      <c r="K3" s="507" t="s">
        <v>197</v>
      </c>
      <c r="L3" s="509" t="s">
        <v>197</v>
      </c>
      <c r="M3" s="508" t="s">
        <v>197</v>
      </c>
      <c r="N3" s="510" t="s">
        <v>827</v>
      </c>
      <c r="O3" s="511" t="s">
        <v>1190</v>
      </c>
      <c r="P3" s="512" t="s">
        <v>1191</v>
      </c>
      <c r="Q3" s="511" t="s">
        <v>663</v>
      </c>
      <c r="R3" s="511" t="s">
        <v>663</v>
      </c>
      <c r="S3" s="512" t="s">
        <v>662</v>
      </c>
      <c r="T3" s="512" t="s">
        <v>663</v>
      </c>
      <c r="U3" s="512" t="s">
        <v>663</v>
      </c>
      <c r="V3" s="511" t="s">
        <v>663</v>
      </c>
      <c r="W3" s="519" t="s">
        <v>663</v>
      </c>
      <c r="X3" s="511" t="s">
        <v>663</v>
      </c>
      <c r="Y3" s="511" t="s">
        <v>663</v>
      </c>
      <c r="Z3" s="511" t="s">
        <v>663</v>
      </c>
      <c r="AA3" s="511" t="s">
        <v>663</v>
      </c>
      <c r="AB3" s="512" t="str">
        <f t="shared" ref="AB3:AB19" si="0">IF(O3="N/A","",IF(J3="DC","DC","PHY"))</f>
        <v>DC</v>
      </c>
      <c r="AC3" s="512" t="s">
        <v>1192</v>
      </c>
      <c r="AD3" s="513" t="str" cm="1">
        <f t="array" ref="AD3">IF(SUMPRODUCT(ISNUMBER(SEARCH("y",R3:AA3))+0)=0,"",IF(AA3="y","400G",IF(Z3="y","100G",IF(X3="y","40G",IF(V3="y","10G",IF(S3="y","1G",IF(R3="y","100M",""))))))&amp;" "&amp;AB3&amp;" "&amp;AC3)</f>
        <v>1G DC UPLINK</v>
      </c>
      <c r="AE3" s="514" t="str">
        <f>IF(K3="-","",_xlfn.CONCAT(K3," ",AD3))</f>
        <v/>
      </c>
      <c r="AF3" s="906" t="str">
        <f t="shared" ref="AF3:AF66" si="1">IF(Q3="n","ns",".")</f>
        <v>ns</v>
      </c>
      <c r="AG3" s="906" t="str">
        <f t="shared" ref="AG3:AG66" si="2">IF(R3="n","ns",".")</f>
        <v>ns</v>
      </c>
      <c r="AH3" s="908" t="s">
        <v>2252</v>
      </c>
      <c r="AI3" s="907" t="str">
        <f t="shared" ref="AI3:AI66" si="3">IF(T3="n","ns",".")</f>
        <v>ns</v>
      </c>
      <c r="AJ3" s="907" t="str">
        <f t="shared" ref="AJ3:AJ66" si="4">IF(U3="n","ns",".")</f>
        <v>ns</v>
      </c>
      <c r="AK3" s="919" t="str">
        <f t="shared" ref="AK3:AL66" si="5">IF(V3="n","ns",".")</f>
        <v>ns</v>
      </c>
      <c r="AL3" s="908" t="str">
        <f t="shared" si="5"/>
        <v>ns</v>
      </c>
      <c r="AM3" s="909" t="str">
        <f t="shared" ref="AM3:AM66" si="6">IF(X3="n","ns",".")</f>
        <v>ns</v>
      </c>
      <c r="AN3" s="908" t="str">
        <f t="shared" ref="AN3:AN66" si="7">IF(Y3="n","ns",".")</f>
        <v>ns</v>
      </c>
      <c r="AO3" s="908" t="str">
        <f t="shared" ref="AO3:AO66" si="8">IF(Z3="n","ns",".")</f>
        <v>ns</v>
      </c>
      <c r="AP3" s="908" t="str">
        <f t="shared" ref="AP3:AP66" si="9">IF(AA3="n","ns",".")</f>
        <v>ns</v>
      </c>
      <c r="AQ3" s="514"/>
      <c r="AR3" t="s">
        <v>2337</v>
      </c>
    </row>
    <row r="4" spans="1:212">
      <c r="A4" s="504">
        <v>4</v>
      </c>
      <c r="B4" s="504" t="s">
        <v>186</v>
      </c>
      <c r="C4" s="505">
        <v>425</v>
      </c>
      <c r="D4" s="504" t="s">
        <v>1103</v>
      </c>
      <c r="E4" s="504" t="s">
        <v>1193</v>
      </c>
      <c r="F4" s="504" t="s">
        <v>663</v>
      </c>
      <c r="G4" s="504" t="s">
        <v>661</v>
      </c>
      <c r="H4" s="506" t="s">
        <v>1095</v>
      </c>
      <c r="I4" s="515" t="s">
        <v>1104</v>
      </c>
      <c r="J4" s="516" t="s">
        <v>688</v>
      </c>
      <c r="K4" s="515" t="s">
        <v>1103</v>
      </c>
      <c r="L4" s="517" t="s">
        <v>699</v>
      </c>
      <c r="M4" s="516" t="s">
        <v>1102</v>
      </c>
      <c r="N4" s="518" t="s">
        <v>827</v>
      </c>
      <c r="O4" s="519" t="s">
        <v>1190</v>
      </c>
      <c r="P4" s="504" t="s">
        <v>1191</v>
      </c>
      <c r="Q4" s="519" t="s">
        <v>663</v>
      </c>
      <c r="R4" s="519" t="s">
        <v>663</v>
      </c>
      <c r="S4" s="504" t="s">
        <v>662</v>
      </c>
      <c r="T4" s="504" t="s">
        <v>663</v>
      </c>
      <c r="U4" s="504" t="s">
        <v>663</v>
      </c>
      <c r="V4" s="519" t="s">
        <v>663</v>
      </c>
      <c r="W4" s="519" t="s">
        <v>663</v>
      </c>
      <c r="X4" s="519" t="s">
        <v>663</v>
      </c>
      <c r="Y4" s="519" t="s">
        <v>663</v>
      </c>
      <c r="Z4" s="519" t="s">
        <v>663</v>
      </c>
      <c r="AA4" s="519" t="s">
        <v>663</v>
      </c>
      <c r="AB4" s="504" t="str">
        <f t="shared" si="0"/>
        <v>DC</v>
      </c>
      <c r="AC4" s="504" t="s">
        <v>1192</v>
      </c>
      <c r="AD4" s="520" t="str" cm="1">
        <f t="array" ref="AD4">IF(SUMPRODUCT(ISNUMBER(SEARCH("y",R4:AA4))+0)=0,"",IF(AA4="y","400G",IF(Z4="y","100G",IF(X4="y","40G",IF(V4="y","10G",IF(S4="y","1G",IF(R4="y","100M",""))))))&amp;" "&amp;AB4&amp;" "&amp;AC4)</f>
        <v>1G DC UPLINK</v>
      </c>
      <c r="AE4" s="521" t="str">
        <f>IF(K4="-","",_xlfn.CONCAT(K4," ",AD4))</f>
        <v>AR4050S 1G DC UPLINK</v>
      </c>
      <c r="AF4" s="909" t="str">
        <f t="shared" si="1"/>
        <v>ns</v>
      </c>
      <c r="AG4" s="908" t="str">
        <f t="shared" si="2"/>
        <v>ns</v>
      </c>
      <c r="AH4" s="908" t="s">
        <v>2252</v>
      </c>
      <c r="AI4" s="908" t="str">
        <f t="shared" si="3"/>
        <v>ns</v>
      </c>
      <c r="AJ4" s="908" t="str">
        <f t="shared" si="4"/>
        <v>ns</v>
      </c>
      <c r="AK4" s="920" t="str">
        <f t="shared" si="5"/>
        <v>ns</v>
      </c>
      <c r="AL4" s="908" t="str">
        <f t="shared" si="5"/>
        <v>ns</v>
      </c>
      <c r="AM4" s="909" t="str">
        <f t="shared" si="6"/>
        <v>ns</v>
      </c>
      <c r="AN4" s="908" t="str">
        <f t="shared" si="7"/>
        <v>ns</v>
      </c>
      <c r="AO4" s="908" t="str">
        <f t="shared" si="8"/>
        <v>ns</v>
      </c>
      <c r="AP4" s="908" t="str">
        <f t="shared" si="9"/>
        <v>ns</v>
      </c>
      <c r="AQ4" s="522"/>
      <c r="AR4" t="s">
        <v>2337</v>
      </c>
    </row>
    <row r="5" spans="1:212">
      <c r="A5" s="504">
        <v>5</v>
      </c>
      <c r="B5" s="504" t="s">
        <v>186</v>
      </c>
      <c r="C5" s="505">
        <v>453</v>
      </c>
      <c r="D5" s="504" t="s">
        <v>1097</v>
      </c>
      <c r="E5" s="504" t="s">
        <v>1194</v>
      </c>
      <c r="F5" s="504" t="s">
        <v>663</v>
      </c>
      <c r="G5" s="504" t="s">
        <v>661</v>
      </c>
      <c r="H5" s="506" t="s">
        <v>1095</v>
      </c>
      <c r="I5" s="515" t="s">
        <v>1096</v>
      </c>
      <c r="J5" s="516" t="s">
        <v>688</v>
      </c>
      <c r="K5" s="515" t="s">
        <v>197</v>
      </c>
      <c r="L5" s="523" t="s">
        <v>197</v>
      </c>
      <c r="M5" s="524" t="s">
        <v>197</v>
      </c>
      <c r="N5" s="518" t="s">
        <v>159</v>
      </c>
      <c r="O5" s="504" t="s">
        <v>159</v>
      </c>
      <c r="P5" s="504" t="s">
        <v>197</v>
      </c>
      <c r="Q5" s="519" t="s">
        <v>663</v>
      </c>
      <c r="R5" s="519" t="s">
        <v>663</v>
      </c>
      <c r="S5" s="519" t="s">
        <v>663</v>
      </c>
      <c r="T5" s="504" t="s">
        <v>663</v>
      </c>
      <c r="U5" s="504" t="s">
        <v>663</v>
      </c>
      <c r="V5" s="519" t="s">
        <v>663</v>
      </c>
      <c r="W5" s="519" t="s">
        <v>663</v>
      </c>
      <c r="X5" s="519" t="s">
        <v>663</v>
      </c>
      <c r="Y5" s="519" t="s">
        <v>663</v>
      </c>
      <c r="Z5" s="519" t="s">
        <v>663</v>
      </c>
      <c r="AA5" s="519" t="s">
        <v>663</v>
      </c>
      <c r="AB5" s="504" t="str">
        <f t="shared" si="0"/>
        <v/>
      </c>
      <c r="AC5" s="504"/>
      <c r="AD5" s="520" t="str" cm="1">
        <f t="array" ref="AD5">IF(SUMPRODUCT(ISNUMBER(SEARCH("y",R5:AA5))+0)=0,"",IF(AA5="y","400G",IF(Z5="y","100G",IF(X5="y","40G",IF(V5="y","10G",IF(S5="y","1G",IF(R5="y","100M",""))))))&amp;" "&amp;AB5&amp;" "&amp;AC5)</f>
        <v/>
      </c>
      <c r="AE5" s="521" t="str">
        <f>IF(K5="-","",_xlfn.CONCAT(K5," ",AD5))</f>
        <v/>
      </c>
      <c r="AF5" s="909" t="str">
        <f t="shared" si="1"/>
        <v>ns</v>
      </c>
      <c r="AG5" s="908" t="str">
        <f t="shared" si="2"/>
        <v>ns</v>
      </c>
      <c r="AH5" s="908" t="str">
        <f t="shared" ref="AH5:AH67" si="10">IF(S5="n","ns",".")</f>
        <v>ns</v>
      </c>
      <c r="AI5" s="908" t="str">
        <f t="shared" si="3"/>
        <v>ns</v>
      </c>
      <c r="AJ5" s="908" t="str">
        <f t="shared" si="4"/>
        <v>ns</v>
      </c>
      <c r="AK5" s="920" t="str">
        <f t="shared" si="5"/>
        <v>ns</v>
      </c>
      <c r="AL5" s="908" t="str">
        <f t="shared" si="5"/>
        <v>ns</v>
      </c>
      <c r="AM5" s="909" t="str">
        <f t="shared" si="6"/>
        <v>ns</v>
      </c>
      <c r="AN5" s="908" t="str">
        <f t="shared" si="7"/>
        <v>ns</v>
      </c>
      <c r="AO5" s="908" t="str">
        <f t="shared" si="8"/>
        <v>ns</v>
      </c>
      <c r="AP5" s="908" t="str">
        <f t="shared" si="9"/>
        <v>ns</v>
      </c>
      <c r="AQ5" s="522"/>
      <c r="AR5" t="s">
        <v>2337</v>
      </c>
    </row>
    <row r="6" spans="1:212">
      <c r="A6" s="504">
        <v>6</v>
      </c>
      <c r="B6" s="504" t="s">
        <v>186</v>
      </c>
      <c r="C6" s="505">
        <v>454</v>
      </c>
      <c r="D6" s="504" t="s">
        <v>1094</v>
      </c>
      <c r="E6" s="504" t="s">
        <v>1195</v>
      </c>
      <c r="F6" s="504" t="s">
        <v>663</v>
      </c>
      <c r="G6" s="504" t="s">
        <v>661</v>
      </c>
      <c r="H6" s="506" t="s">
        <v>1095</v>
      </c>
      <c r="I6" s="515" t="s">
        <v>1096</v>
      </c>
      <c r="J6" s="516" t="s">
        <v>688</v>
      </c>
      <c r="K6" s="515" t="s">
        <v>197</v>
      </c>
      <c r="L6" s="523" t="s">
        <v>197</v>
      </c>
      <c r="M6" s="524" t="s">
        <v>197</v>
      </c>
      <c r="N6" s="518" t="s">
        <v>159</v>
      </c>
      <c r="O6" s="504" t="s">
        <v>159</v>
      </c>
      <c r="P6" s="504" t="s">
        <v>197</v>
      </c>
      <c r="Q6" s="519" t="s">
        <v>663</v>
      </c>
      <c r="R6" s="519" t="s">
        <v>663</v>
      </c>
      <c r="S6" s="519" t="s">
        <v>663</v>
      </c>
      <c r="T6" s="504" t="s">
        <v>663</v>
      </c>
      <c r="U6" s="504" t="s">
        <v>663</v>
      </c>
      <c r="V6" s="519" t="s">
        <v>663</v>
      </c>
      <c r="W6" s="519" t="s">
        <v>663</v>
      </c>
      <c r="X6" s="519" t="s">
        <v>663</v>
      </c>
      <c r="Y6" s="519" t="s">
        <v>663</v>
      </c>
      <c r="Z6" s="519" t="s">
        <v>663</v>
      </c>
      <c r="AA6" s="519" t="s">
        <v>663</v>
      </c>
      <c r="AB6" s="504" t="str">
        <f t="shared" si="0"/>
        <v/>
      </c>
      <c r="AC6" s="504"/>
      <c r="AD6" s="520" t="str" cm="1">
        <f t="array" ref="AD6">IF(SUMPRODUCT(ISNUMBER(SEARCH("y",R6:AA6))+0)=0,"",IF(AA6="y","400G",IF(Z6="y","100G",IF(X6="y","40G",IF(V6="y","10G",IF(S6="y","1G",IF(R6="y","100M",""))))))&amp;" "&amp;AB6&amp;" "&amp;AC6)</f>
        <v/>
      </c>
      <c r="AE6" s="521" t="str">
        <f>IF(K6="-","",_xlfn.CONCAT(K6," ",AD6))</f>
        <v/>
      </c>
      <c r="AF6" s="909" t="str">
        <f t="shared" si="1"/>
        <v>ns</v>
      </c>
      <c r="AG6" s="908" t="str">
        <f t="shared" si="2"/>
        <v>ns</v>
      </c>
      <c r="AH6" s="908" t="str">
        <f t="shared" si="10"/>
        <v>ns</v>
      </c>
      <c r="AI6" s="908" t="str">
        <f t="shared" si="3"/>
        <v>ns</v>
      </c>
      <c r="AJ6" s="908" t="str">
        <f t="shared" si="4"/>
        <v>ns</v>
      </c>
      <c r="AK6" s="920" t="str">
        <f t="shared" si="5"/>
        <v>ns</v>
      </c>
      <c r="AL6" s="908" t="str">
        <f t="shared" si="5"/>
        <v>ns</v>
      </c>
      <c r="AM6" s="909" t="str">
        <f t="shared" si="6"/>
        <v>ns</v>
      </c>
      <c r="AN6" s="908" t="str">
        <f t="shared" si="7"/>
        <v>ns</v>
      </c>
      <c r="AO6" s="908" t="str">
        <f t="shared" si="8"/>
        <v>ns</v>
      </c>
      <c r="AP6" s="908" t="str">
        <f t="shared" si="9"/>
        <v>ns</v>
      </c>
      <c r="AQ6" s="522"/>
      <c r="AR6" t="s">
        <v>2337</v>
      </c>
    </row>
    <row r="7" spans="1:212">
      <c r="A7" s="504">
        <v>7</v>
      </c>
      <c r="B7" s="504" t="s">
        <v>186</v>
      </c>
      <c r="C7" s="505">
        <v>560</v>
      </c>
      <c r="D7" s="504" t="s">
        <v>1090</v>
      </c>
      <c r="E7" s="504" t="s">
        <v>1196</v>
      </c>
      <c r="F7" s="504" t="s">
        <v>663</v>
      </c>
      <c r="G7" s="504" t="s">
        <v>661</v>
      </c>
      <c r="H7" s="506" t="s">
        <v>1091</v>
      </c>
      <c r="I7" s="515" t="s">
        <v>1092</v>
      </c>
      <c r="J7" s="516" t="s">
        <v>1093</v>
      </c>
      <c r="K7" s="515" t="s">
        <v>197</v>
      </c>
      <c r="L7" s="523" t="s">
        <v>197</v>
      </c>
      <c r="M7" s="524" t="s">
        <v>197</v>
      </c>
      <c r="N7" s="518" t="s">
        <v>159</v>
      </c>
      <c r="O7" s="504" t="s">
        <v>159</v>
      </c>
      <c r="P7" s="504" t="s">
        <v>197</v>
      </c>
      <c r="Q7" s="519" t="s">
        <v>663</v>
      </c>
      <c r="R7" s="519" t="s">
        <v>663</v>
      </c>
      <c r="S7" s="519" t="s">
        <v>663</v>
      </c>
      <c r="T7" s="504" t="s">
        <v>663</v>
      </c>
      <c r="U7" s="504" t="s">
        <v>663</v>
      </c>
      <c r="V7" s="519" t="s">
        <v>663</v>
      </c>
      <c r="W7" s="519" t="s">
        <v>663</v>
      </c>
      <c r="X7" s="519" t="s">
        <v>663</v>
      </c>
      <c r="Y7" s="519" t="s">
        <v>663</v>
      </c>
      <c r="Z7" s="519" t="s">
        <v>663</v>
      </c>
      <c r="AA7" s="519" t="s">
        <v>663</v>
      </c>
      <c r="AB7" s="504" t="str">
        <f t="shared" si="0"/>
        <v/>
      </c>
      <c r="AC7" s="504"/>
      <c r="AD7" s="520" t="str" cm="1">
        <f t="array" ref="AD7">IF(SUMPRODUCT(ISNUMBER(SEARCH("y",R7:AA7))+0)=0,"",IF(AA7="y","400G",IF(Z7="y","100G",IF(X7="y","40G",IF(V7="y","10G",IF(S7="y","1G",IF(R7="y","100M",""))))))&amp;" "&amp;AB7&amp;" "&amp;AC7)</f>
        <v/>
      </c>
      <c r="AE7" s="521" t="str">
        <f>IF(K7="-","",_xlfn.CONCAT(K7," ",AD7))</f>
        <v/>
      </c>
      <c r="AF7" s="909" t="str">
        <f t="shared" si="1"/>
        <v>ns</v>
      </c>
      <c r="AG7" s="908" t="str">
        <f t="shared" si="2"/>
        <v>ns</v>
      </c>
      <c r="AH7" s="908" t="str">
        <f t="shared" si="10"/>
        <v>ns</v>
      </c>
      <c r="AI7" s="908" t="str">
        <f t="shared" si="3"/>
        <v>ns</v>
      </c>
      <c r="AJ7" s="908" t="str">
        <f t="shared" si="4"/>
        <v>ns</v>
      </c>
      <c r="AK7" s="920" t="str">
        <f t="shared" si="5"/>
        <v>ns</v>
      </c>
      <c r="AL7" s="908" t="str">
        <f t="shared" si="5"/>
        <v>ns</v>
      </c>
      <c r="AM7" s="909" t="str">
        <f t="shared" si="6"/>
        <v>ns</v>
      </c>
      <c r="AN7" s="908" t="str">
        <f t="shared" si="7"/>
        <v>ns</v>
      </c>
      <c r="AO7" s="908" t="str">
        <f t="shared" si="8"/>
        <v>ns</v>
      </c>
      <c r="AP7" s="908" t="str">
        <f t="shared" si="9"/>
        <v>ns</v>
      </c>
      <c r="AQ7" s="522"/>
      <c r="AR7" t="s">
        <v>2337</v>
      </c>
    </row>
    <row r="8" spans="1:212" s="536" customFormat="1">
      <c r="A8" s="504">
        <v>8</v>
      </c>
      <c r="B8" s="525" t="s">
        <v>186</v>
      </c>
      <c r="C8" s="526">
        <v>598</v>
      </c>
      <c r="D8" s="525" t="s">
        <v>1197</v>
      </c>
      <c r="E8" s="525" t="s">
        <v>1193</v>
      </c>
      <c r="F8" s="525" t="s">
        <v>663</v>
      </c>
      <c r="G8" s="525" t="s">
        <v>661</v>
      </c>
      <c r="H8" s="527" t="s">
        <v>1095</v>
      </c>
      <c r="I8" s="528" t="s">
        <v>1104</v>
      </c>
      <c r="J8" s="529" t="s">
        <v>159</v>
      </c>
      <c r="K8" s="528" t="s">
        <v>197</v>
      </c>
      <c r="L8" s="530" t="s">
        <v>197</v>
      </c>
      <c r="M8" s="529"/>
      <c r="N8" s="531" t="s">
        <v>159</v>
      </c>
      <c r="O8" s="532" t="s">
        <v>159</v>
      </c>
      <c r="P8" s="525" t="s">
        <v>197</v>
      </c>
      <c r="Q8" s="532" t="s">
        <v>663</v>
      </c>
      <c r="R8" s="532" t="s">
        <v>663</v>
      </c>
      <c r="S8" s="525" t="s">
        <v>663</v>
      </c>
      <c r="T8" s="525" t="s">
        <v>663</v>
      </c>
      <c r="U8" s="525" t="s">
        <v>663</v>
      </c>
      <c r="V8" s="532" t="s">
        <v>663</v>
      </c>
      <c r="W8" s="532" t="s">
        <v>663</v>
      </c>
      <c r="X8" s="532" t="s">
        <v>663</v>
      </c>
      <c r="Y8" s="532" t="s">
        <v>663</v>
      </c>
      <c r="Z8" s="532" t="s">
        <v>663</v>
      </c>
      <c r="AA8" s="532" t="s">
        <v>663</v>
      </c>
      <c r="AB8" s="525" t="str">
        <f t="shared" si="0"/>
        <v/>
      </c>
      <c r="AC8" s="525"/>
      <c r="AD8" s="533" t="str" cm="1">
        <f t="array" ref="AD8">IF(SUMPRODUCT(ISNUMBER(SEARCH("y",R8:AA8))+0)=0,"",IF(AA8="y","400G",IF(Z8="y","100G",IF(X8="y","40G",IF(V8="y","10G",IF(S8="y","1G",IF(R8="y","100M",""))))))&amp;" "&amp;AB8&amp;" "&amp;AC8)</f>
        <v/>
      </c>
      <c r="AE8" s="534"/>
      <c r="AF8" s="910" t="str">
        <f t="shared" si="1"/>
        <v>ns</v>
      </c>
      <c r="AG8" s="911" t="str">
        <f t="shared" si="2"/>
        <v>ns</v>
      </c>
      <c r="AH8" s="911" t="str">
        <f t="shared" si="10"/>
        <v>ns</v>
      </c>
      <c r="AI8" s="911" t="str">
        <f t="shared" si="3"/>
        <v>ns</v>
      </c>
      <c r="AJ8" s="911" t="str">
        <f t="shared" si="4"/>
        <v>ns</v>
      </c>
      <c r="AK8" s="921" t="str">
        <f t="shared" si="5"/>
        <v>ns</v>
      </c>
      <c r="AL8" s="908" t="str">
        <f t="shared" si="5"/>
        <v>ns</v>
      </c>
      <c r="AM8" s="909" t="str">
        <f t="shared" si="6"/>
        <v>ns</v>
      </c>
      <c r="AN8" s="908" t="str">
        <f t="shared" si="7"/>
        <v>ns</v>
      </c>
      <c r="AO8" s="908" t="str">
        <f t="shared" si="8"/>
        <v>ns</v>
      </c>
      <c r="AP8" s="908" t="str">
        <f t="shared" si="9"/>
        <v>ns</v>
      </c>
      <c r="AQ8" s="535"/>
      <c r="AR8" t="s">
        <v>2337</v>
      </c>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row>
    <row r="9" spans="1:212">
      <c r="A9" s="537">
        <v>9</v>
      </c>
      <c r="B9" s="537" t="s">
        <v>195</v>
      </c>
      <c r="C9" s="538">
        <v>413</v>
      </c>
      <c r="D9" s="537" t="s">
        <v>1105</v>
      </c>
      <c r="E9" s="537" t="s">
        <v>1198</v>
      </c>
      <c r="F9" s="537" t="s">
        <v>663</v>
      </c>
      <c r="G9" s="537" t="s">
        <v>1110</v>
      </c>
      <c r="H9" s="539" t="s">
        <v>233</v>
      </c>
      <c r="I9" s="540" t="s">
        <v>1106</v>
      </c>
      <c r="J9" s="541" t="s">
        <v>1107</v>
      </c>
      <c r="K9" s="540" t="s">
        <v>1105</v>
      </c>
      <c r="L9" s="460" t="s">
        <v>829</v>
      </c>
      <c r="M9" s="542" t="s">
        <v>1109</v>
      </c>
      <c r="N9" s="543" t="s">
        <v>740</v>
      </c>
      <c r="O9" s="544" t="s">
        <v>1199</v>
      </c>
      <c r="P9" s="537" t="s">
        <v>1200</v>
      </c>
      <c r="Q9" s="544" t="s">
        <v>663</v>
      </c>
      <c r="R9" s="544" t="s">
        <v>663</v>
      </c>
      <c r="S9" s="537" t="s">
        <v>662</v>
      </c>
      <c r="T9" s="537" t="s">
        <v>663</v>
      </c>
      <c r="U9" s="537" t="s">
        <v>663</v>
      </c>
      <c r="V9" s="544" t="s">
        <v>662</v>
      </c>
      <c r="W9" s="544" t="s">
        <v>663</v>
      </c>
      <c r="X9" s="544" t="s">
        <v>663</v>
      </c>
      <c r="Y9" s="544" t="s">
        <v>663</v>
      </c>
      <c r="Z9" s="544" t="s">
        <v>663</v>
      </c>
      <c r="AA9" s="544" t="s">
        <v>663</v>
      </c>
      <c r="AB9" s="537" t="str">
        <f t="shared" si="0"/>
        <v>PHY</v>
      </c>
      <c r="AC9" s="537" t="s">
        <v>1201</v>
      </c>
      <c r="AD9" s="545" t="str" cm="1">
        <f t="array" ref="AD9">IF(SUMPRODUCT(ISNUMBER(SEARCH("y",R9:AA9))+0)=0,"",IF(AA9="y","400G",IF(Z9="y","100G",IF(X9="y","40G",IF(V9="y","10G",IF(S9="y","1G",IF(R9="y","100M",""))))))&amp;" "&amp;AB9&amp;" "&amp;AC9)</f>
        <v>10G PHY BASE</v>
      </c>
      <c r="AE9" s="546" t="str">
        <f t="shared" ref="AE9:AE72" si="11">IF(K9="-","",_xlfn.CONCAT(K9," ",AD9))</f>
        <v>AT-DC2552XS 10G PHY BASE</v>
      </c>
      <c r="AF9" s="912" t="str">
        <f t="shared" si="1"/>
        <v>ns</v>
      </c>
      <c r="AG9" s="405" t="str">
        <f t="shared" si="2"/>
        <v>ns</v>
      </c>
      <c r="AH9" s="405" t="str">
        <f t="shared" si="10"/>
        <v>.</v>
      </c>
      <c r="AI9" s="405" t="str">
        <f t="shared" si="3"/>
        <v>ns</v>
      </c>
      <c r="AJ9" s="405" t="str">
        <f t="shared" si="4"/>
        <v>ns</v>
      </c>
      <c r="AK9" s="912" t="str">
        <f t="shared" si="5"/>
        <v>.</v>
      </c>
      <c r="AL9" s="912" t="str">
        <f t="shared" si="5"/>
        <v>ns</v>
      </c>
      <c r="AM9" s="912" t="str">
        <f t="shared" si="6"/>
        <v>ns</v>
      </c>
      <c r="AN9" s="405" t="str">
        <f t="shared" si="7"/>
        <v>ns</v>
      </c>
      <c r="AO9" s="405" t="str">
        <f t="shared" si="8"/>
        <v>ns</v>
      </c>
      <c r="AP9" s="405" t="str">
        <f t="shared" si="9"/>
        <v>ns</v>
      </c>
      <c r="AQ9" s="547"/>
      <c r="AR9" t="s">
        <v>2337</v>
      </c>
    </row>
    <row r="10" spans="1:212">
      <c r="A10" s="537">
        <v>10</v>
      </c>
      <c r="B10" s="537" t="s">
        <v>195</v>
      </c>
      <c r="C10" s="538">
        <v>413</v>
      </c>
      <c r="D10" s="537" t="s">
        <v>1105</v>
      </c>
      <c r="E10" s="537" t="s">
        <v>1198</v>
      </c>
      <c r="F10" s="537" t="s">
        <v>663</v>
      </c>
      <c r="G10" s="537" t="s">
        <v>1110</v>
      </c>
      <c r="H10" s="539" t="s">
        <v>233</v>
      </c>
      <c r="I10" s="540" t="s">
        <v>1106</v>
      </c>
      <c r="J10" s="541" t="s">
        <v>688</v>
      </c>
      <c r="K10" s="540" t="s">
        <v>1105</v>
      </c>
      <c r="L10" s="460" t="s">
        <v>829</v>
      </c>
      <c r="M10" s="542" t="s">
        <v>1109</v>
      </c>
      <c r="N10" s="543" t="s">
        <v>1111</v>
      </c>
      <c r="O10" s="544" t="s">
        <v>1202</v>
      </c>
      <c r="P10" s="537" t="s">
        <v>1203</v>
      </c>
      <c r="Q10" s="544" t="s">
        <v>663</v>
      </c>
      <c r="R10" s="544" t="s">
        <v>663</v>
      </c>
      <c r="S10" s="544" t="s">
        <v>663</v>
      </c>
      <c r="T10" s="537" t="s">
        <v>663</v>
      </c>
      <c r="U10" s="537" t="s">
        <v>663</v>
      </c>
      <c r="V10" s="544" t="s">
        <v>663</v>
      </c>
      <c r="W10" s="544" t="s">
        <v>663</v>
      </c>
      <c r="X10" s="544" t="s">
        <v>662</v>
      </c>
      <c r="Y10" s="544" t="s">
        <v>663</v>
      </c>
      <c r="Z10" s="544" t="s">
        <v>663</v>
      </c>
      <c r="AA10" s="544" t="s">
        <v>663</v>
      </c>
      <c r="AB10" s="537" t="str">
        <f t="shared" si="0"/>
        <v>DC</v>
      </c>
      <c r="AC10" s="537" t="s">
        <v>1192</v>
      </c>
      <c r="AD10" s="545" t="str" cm="1">
        <f t="array" ref="AD10">IF(SUMPRODUCT(ISNUMBER(SEARCH("y",R10:AA10))+0)=0,"",IF(AA10="y","400G",IF(Z10="y","100G",IF(X10="y","40G",IF(V10="y","10G",IF(S10="y","1G",IF(R10="y","100M",""))))))&amp;" "&amp;AB10&amp;" "&amp;AC10)</f>
        <v>40G DC UPLINK</v>
      </c>
      <c r="AE10" s="546" t="str">
        <f t="shared" si="11"/>
        <v>AT-DC2552XS 40G DC UPLINK</v>
      </c>
      <c r="AF10" s="912" t="str">
        <f t="shared" si="1"/>
        <v>ns</v>
      </c>
      <c r="AG10" s="405" t="str">
        <f t="shared" si="2"/>
        <v>ns</v>
      </c>
      <c r="AH10" s="405" t="str">
        <f t="shared" si="10"/>
        <v>ns</v>
      </c>
      <c r="AI10" s="405" t="str">
        <f t="shared" si="3"/>
        <v>ns</v>
      </c>
      <c r="AJ10" s="405" t="str">
        <f t="shared" si="4"/>
        <v>ns</v>
      </c>
      <c r="AK10" s="912" t="str">
        <f t="shared" si="5"/>
        <v>ns</v>
      </c>
      <c r="AL10" s="912" t="str">
        <f t="shared" si="5"/>
        <v>ns</v>
      </c>
      <c r="AM10" s="909" t="str">
        <f t="shared" si="6"/>
        <v>.</v>
      </c>
      <c r="AN10" s="405" t="str">
        <f t="shared" si="7"/>
        <v>ns</v>
      </c>
      <c r="AO10" s="405" t="str">
        <f t="shared" si="8"/>
        <v>ns</v>
      </c>
      <c r="AP10" s="405" t="str">
        <f t="shared" si="9"/>
        <v>ns</v>
      </c>
      <c r="AQ10" s="547"/>
      <c r="AR10" t="s">
        <v>2337</v>
      </c>
    </row>
    <row r="11" spans="1:212">
      <c r="A11" s="504">
        <v>11</v>
      </c>
      <c r="B11" s="504" t="s">
        <v>60</v>
      </c>
      <c r="C11" s="505">
        <v>475</v>
      </c>
      <c r="D11" s="504" t="s">
        <v>652</v>
      </c>
      <c r="E11" s="504" t="s">
        <v>1204</v>
      </c>
      <c r="F11" s="504" t="s">
        <v>663</v>
      </c>
      <c r="G11" s="504" t="s">
        <v>661</v>
      </c>
      <c r="H11" s="506" t="s">
        <v>234</v>
      </c>
      <c r="I11" s="515" t="s">
        <v>653</v>
      </c>
      <c r="J11" s="516" t="s">
        <v>654</v>
      </c>
      <c r="K11" s="515" t="s">
        <v>197</v>
      </c>
      <c r="L11" s="523" t="s">
        <v>197</v>
      </c>
      <c r="M11" s="524" t="s">
        <v>197</v>
      </c>
      <c r="N11" s="518" t="s">
        <v>655</v>
      </c>
      <c r="O11" s="504" t="s">
        <v>1205</v>
      </c>
      <c r="P11" s="504" t="s">
        <v>1125</v>
      </c>
      <c r="Q11" s="504" t="s">
        <v>663</v>
      </c>
      <c r="R11" s="504" t="s">
        <v>662</v>
      </c>
      <c r="S11" s="504" t="s">
        <v>662</v>
      </c>
      <c r="T11" s="504" t="s">
        <v>663</v>
      </c>
      <c r="U11" s="504" t="s">
        <v>663</v>
      </c>
      <c r="V11" s="504" t="s">
        <v>663</v>
      </c>
      <c r="W11" s="504" t="s">
        <v>663</v>
      </c>
      <c r="X11" s="504" t="s">
        <v>663</v>
      </c>
      <c r="Y11" s="504" t="s">
        <v>663</v>
      </c>
      <c r="Z11" s="504" t="s">
        <v>663</v>
      </c>
      <c r="AA11" s="504" t="s">
        <v>663</v>
      </c>
      <c r="AB11" s="504" t="str">
        <f t="shared" si="0"/>
        <v>PHY</v>
      </c>
      <c r="AC11" s="504" t="s">
        <v>1206</v>
      </c>
      <c r="AD11" s="520" t="str" cm="1">
        <f t="array" ref="AD11">IF(SUMPRODUCT(ISNUMBER(SEARCH("y",R11:AA11))+0)=0,"",IF(AA11="y","400G",IF(Z11="y","100G",IF(X11="y","40G",IF(V11="y","10G",IF(S11="y","1G",IF(R11="y","100M",""))))))&amp;" "&amp;AB11&amp;" "&amp;AC11)</f>
        <v>1G PHY COMBO</v>
      </c>
      <c r="AE11" s="521" t="str">
        <f t="shared" si="11"/>
        <v/>
      </c>
      <c r="AF11" s="909" t="str">
        <f t="shared" si="1"/>
        <v>ns</v>
      </c>
      <c r="AG11" s="908" t="str">
        <f t="shared" si="2"/>
        <v>.</v>
      </c>
      <c r="AH11" s="908" t="str">
        <f t="shared" si="10"/>
        <v>.</v>
      </c>
      <c r="AI11" s="908" t="str">
        <f t="shared" si="3"/>
        <v>ns</v>
      </c>
      <c r="AJ11" s="908" t="str">
        <f t="shared" si="4"/>
        <v>ns</v>
      </c>
      <c r="AK11" s="920" t="str">
        <f t="shared" si="5"/>
        <v>ns</v>
      </c>
      <c r="AL11" s="908" t="str">
        <f t="shared" si="5"/>
        <v>ns</v>
      </c>
      <c r="AM11" s="909" t="str">
        <f t="shared" si="6"/>
        <v>ns</v>
      </c>
      <c r="AN11" s="908" t="str">
        <f t="shared" si="7"/>
        <v>ns</v>
      </c>
      <c r="AO11" s="908" t="str">
        <f t="shared" si="8"/>
        <v>ns</v>
      </c>
      <c r="AP11" s="908" t="str">
        <f t="shared" si="9"/>
        <v>ns</v>
      </c>
      <c r="AQ11" s="522"/>
      <c r="AR11" t="s">
        <v>2337</v>
      </c>
    </row>
    <row r="12" spans="1:212">
      <c r="A12" s="504">
        <v>12</v>
      </c>
      <c r="B12" s="504" t="s">
        <v>60</v>
      </c>
      <c r="C12" s="505">
        <v>476</v>
      </c>
      <c r="D12" s="504" t="s">
        <v>665</v>
      </c>
      <c r="E12" s="504" t="s">
        <v>1207</v>
      </c>
      <c r="F12" s="504" t="s">
        <v>663</v>
      </c>
      <c r="G12" s="504" t="s">
        <v>661</v>
      </c>
      <c r="H12" s="506" t="s">
        <v>234</v>
      </c>
      <c r="I12" s="515" t="s">
        <v>653</v>
      </c>
      <c r="J12" s="516" t="s">
        <v>654</v>
      </c>
      <c r="K12" s="515" t="s">
        <v>197</v>
      </c>
      <c r="L12" s="523" t="s">
        <v>197</v>
      </c>
      <c r="M12" s="524" t="s">
        <v>197</v>
      </c>
      <c r="N12" s="518" t="s">
        <v>655</v>
      </c>
      <c r="O12" s="504" t="s">
        <v>1205</v>
      </c>
      <c r="P12" s="504" t="s">
        <v>1125</v>
      </c>
      <c r="Q12" s="504" t="s">
        <v>663</v>
      </c>
      <c r="R12" s="504" t="s">
        <v>662</v>
      </c>
      <c r="S12" s="504" t="s">
        <v>662</v>
      </c>
      <c r="T12" s="504" t="s">
        <v>663</v>
      </c>
      <c r="U12" s="504" t="s">
        <v>663</v>
      </c>
      <c r="V12" s="504" t="s">
        <v>663</v>
      </c>
      <c r="W12" s="504" t="s">
        <v>663</v>
      </c>
      <c r="X12" s="504" t="s">
        <v>663</v>
      </c>
      <c r="Y12" s="504" t="s">
        <v>663</v>
      </c>
      <c r="Z12" s="504" t="s">
        <v>663</v>
      </c>
      <c r="AA12" s="504" t="s">
        <v>663</v>
      </c>
      <c r="AB12" s="504" t="str">
        <f t="shared" si="0"/>
        <v>PHY</v>
      </c>
      <c r="AC12" s="504" t="s">
        <v>1206</v>
      </c>
      <c r="AD12" s="520" t="str" cm="1">
        <f t="array" ref="AD12">IF(SUMPRODUCT(ISNUMBER(SEARCH("y",R12:AA12))+0)=0,"",IF(AA12="y","400G",IF(Z12="y","100G",IF(X12="y","40G",IF(V12="y","10G",IF(S12="y","1G",IF(R12="y","100M",""))))))&amp;" "&amp;AB12&amp;" "&amp;AC12)</f>
        <v>1G PHY COMBO</v>
      </c>
      <c r="AE12" s="521" t="str">
        <f t="shared" si="11"/>
        <v/>
      </c>
      <c r="AF12" s="909" t="str">
        <f t="shared" si="1"/>
        <v>ns</v>
      </c>
      <c r="AG12" s="908" t="str">
        <f t="shared" si="2"/>
        <v>.</v>
      </c>
      <c r="AH12" s="908" t="str">
        <f t="shared" si="10"/>
        <v>.</v>
      </c>
      <c r="AI12" s="908" t="str">
        <f t="shared" si="3"/>
        <v>ns</v>
      </c>
      <c r="AJ12" s="908" t="str">
        <f t="shared" si="4"/>
        <v>ns</v>
      </c>
      <c r="AK12" s="920" t="str">
        <f t="shared" si="5"/>
        <v>ns</v>
      </c>
      <c r="AL12" s="908" t="str">
        <f t="shared" si="5"/>
        <v>ns</v>
      </c>
      <c r="AM12" s="909" t="str">
        <f t="shared" si="6"/>
        <v>ns</v>
      </c>
      <c r="AN12" s="908" t="str">
        <f t="shared" si="7"/>
        <v>ns</v>
      </c>
      <c r="AO12" s="908" t="str">
        <f t="shared" si="8"/>
        <v>ns</v>
      </c>
      <c r="AP12" s="908" t="str">
        <f t="shared" si="9"/>
        <v>ns</v>
      </c>
      <c r="AQ12" s="522"/>
      <c r="AR12" t="s">
        <v>2337</v>
      </c>
    </row>
    <row r="13" spans="1:212">
      <c r="A13" s="504">
        <v>13</v>
      </c>
      <c r="B13" s="504" t="s">
        <v>60</v>
      </c>
      <c r="C13" s="505">
        <v>477</v>
      </c>
      <c r="D13" s="504" t="s">
        <v>666</v>
      </c>
      <c r="E13" s="504" t="s">
        <v>1208</v>
      </c>
      <c r="F13" s="504" t="s">
        <v>663</v>
      </c>
      <c r="G13" s="504" t="s">
        <v>661</v>
      </c>
      <c r="H13" s="506" t="s">
        <v>234</v>
      </c>
      <c r="I13" s="515" t="s">
        <v>667</v>
      </c>
      <c r="J13" s="516" t="s">
        <v>654</v>
      </c>
      <c r="K13" s="515" t="s">
        <v>197</v>
      </c>
      <c r="L13" s="523" t="s">
        <v>197</v>
      </c>
      <c r="M13" s="524" t="s">
        <v>197</v>
      </c>
      <c r="N13" s="518" t="s">
        <v>655</v>
      </c>
      <c r="O13" s="504" t="s">
        <v>1209</v>
      </c>
      <c r="P13" s="504" t="s">
        <v>1125</v>
      </c>
      <c r="Q13" s="504" t="s">
        <v>663</v>
      </c>
      <c r="R13" s="504" t="s">
        <v>662</v>
      </c>
      <c r="S13" s="504" t="s">
        <v>662</v>
      </c>
      <c r="T13" s="504" t="s">
        <v>663</v>
      </c>
      <c r="U13" s="504" t="s">
        <v>663</v>
      </c>
      <c r="V13" s="504" t="s">
        <v>663</v>
      </c>
      <c r="W13" s="504" t="s">
        <v>663</v>
      </c>
      <c r="X13" s="504" t="s">
        <v>663</v>
      </c>
      <c r="Y13" s="504" t="s">
        <v>663</v>
      </c>
      <c r="Z13" s="504" t="s">
        <v>663</v>
      </c>
      <c r="AA13" s="504" t="s">
        <v>663</v>
      </c>
      <c r="AB13" s="504" t="str">
        <f t="shared" si="0"/>
        <v>PHY</v>
      </c>
      <c r="AC13" s="504" t="s">
        <v>1206</v>
      </c>
      <c r="AD13" s="520" t="str" cm="1">
        <f t="array" ref="AD13">IF(SUMPRODUCT(ISNUMBER(SEARCH("y",R13:AA13))+0)=0,"",IF(AA13="y","400G",IF(Z13="y","100G",IF(X13="y","40G",IF(V13="y","10G",IF(S13="y","1G",IF(R13="y","100M",""))))))&amp;" "&amp;AB13&amp;" "&amp;AC13)</f>
        <v>1G PHY COMBO</v>
      </c>
      <c r="AE13" s="521" t="str">
        <f t="shared" si="11"/>
        <v/>
      </c>
      <c r="AF13" s="909" t="str">
        <f t="shared" si="1"/>
        <v>ns</v>
      </c>
      <c r="AG13" s="908" t="str">
        <f t="shared" si="2"/>
        <v>.</v>
      </c>
      <c r="AH13" s="908" t="str">
        <f t="shared" si="10"/>
        <v>.</v>
      </c>
      <c r="AI13" s="908" t="str">
        <f t="shared" si="3"/>
        <v>ns</v>
      </c>
      <c r="AJ13" s="908" t="str">
        <f t="shared" si="4"/>
        <v>ns</v>
      </c>
      <c r="AK13" s="920" t="str">
        <f t="shared" si="5"/>
        <v>ns</v>
      </c>
      <c r="AL13" s="908" t="str">
        <f t="shared" si="5"/>
        <v>ns</v>
      </c>
      <c r="AM13" s="909" t="str">
        <f t="shared" si="6"/>
        <v>ns</v>
      </c>
      <c r="AN13" s="908" t="str">
        <f t="shared" si="7"/>
        <v>ns</v>
      </c>
      <c r="AO13" s="908" t="str">
        <f t="shared" si="8"/>
        <v>ns</v>
      </c>
      <c r="AP13" s="908" t="str">
        <f t="shared" si="9"/>
        <v>ns</v>
      </c>
      <c r="AQ13" s="522"/>
      <c r="AR13" t="s">
        <v>2337</v>
      </c>
    </row>
    <row r="14" spans="1:212">
      <c r="A14" s="504">
        <v>14</v>
      </c>
      <c r="B14" s="504" t="s">
        <v>60</v>
      </c>
      <c r="C14" s="505">
        <v>478</v>
      </c>
      <c r="D14" s="504" t="s">
        <v>668</v>
      </c>
      <c r="E14" s="504" t="s">
        <v>1210</v>
      </c>
      <c r="F14" s="504" t="s">
        <v>663</v>
      </c>
      <c r="G14" s="504" t="s">
        <v>661</v>
      </c>
      <c r="H14" s="506" t="s">
        <v>234</v>
      </c>
      <c r="I14" s="515" t="s">
        <v>667</v>
      </c>
      <c r="J14" s="516" t="s">
        <v>654</v>
      </c>
      <c r="K14" s="515" t="s">
        <v>668</v>
      </c>
      <c r="L14" s="517" t="s">
        <v>659</v>
      </c>
      <c r="M14" s="516" t="s">
        <v>660</v>
      </c>
      <c r="N14" s="518" t="s">
        <v>655</v>
      </c>
      <c r="O14" s="504" t="s">
        <v>1209</v>
      </c>
      <c r="P14" s="504" t="s">
        <v>1125</v>
      </c>
      <c r="Q14" s="504" t="s">
        <v>663</v>
      </c>
      <c r="R14" s="504" t="s">
        <v>662</v>
      </c>
      <c r="S14" s="504" t="s">
        <v>662</v>
      </c>
      <c r="T14" s="504" t="s">
        <v>663</v>
      </c>
      <c r="U14" s="504" t="s">
        <v>663</v>
      </c>
      <c r="V14" s="504" t="s">
        <v>663</v>
      </c>
      <c r="W14" s="504" t="s">
        <v>663</v>
      </c>
      <c r="X14" s="504" t="s">
        <v>663</v>
      </c>
      <c r="Y14" s="504" t="s">
        <v>663</v>
      </c>
      <c r="Z14" s="504" t="s">
        <v>663</v>
      </c>
      <c r="AA14" s="504" t="s">
        <v>663</v>
      </c>
      <c r="AB14" s="504" t="str">
        <f t="shared" si="0"/>
        <v>PHY</v>
      </c>
      <c r="AC14" s="504" t="s">
        <v>1206</v>
      </c>
      <c r="AD14" s="520" t="str" cm="1">
        <f t="array" ref="AD14">IF(SUMPRODUCT(ISNUMBER(SEARCH("y",R14:AA14))+0)=0,"",IF(AA14="y","400G",IF(Z14="y","100G",IF(X14="y","40G",IF(V14="y","10G",IF(S14="y","1G",IF(R14="y","100M",""))))))&amp;" "&amp;AB14&amp;" "&amp;AC14)</f>
        <v>1G PHY COMBO</v>
      </c>
      <c r="AE14" s="521" t="str">
        <f t="shared" si="11"/>
        <v>AT-FS980M/18PS 1G PHY COMBO</v>
      </c>
      <c r="AF14" s="909" t="str">
        <f t="shared" si="1"/>
        <v>ns</v>
      </c>
      <c r="AG14" s="908" t="str">
        <f t="shared" si="2"/>
        <v>.</v>
      </c>
      <c r="AH14" s="908" t="str">
        <f t="shared" si="10"/>
        <v>.</v>
      </c>
      <c r="AI14" s="908" t="str">
        <f t="shared" si="3"/>
        <v>ns</v>
      </c>
      <c r="AJ14" s="908" t="str">
        <f t="shared" si="4"/>
        <v>ns</v>
      </c>
      <c r="AK14" s="920" t="str">
        <f t="shared" si="5"/>
        <v>ns</v>
      </c>
      <c r="AL14" s="908" t="str">
        <f t="shared" si="5"/>
        <v>ns</v>
      </c>
      <c r="AM14" s="909" t="str">
        <f t="shared" si="6"/>
        <v>ns</v>
      </c>
      <c r="AN14" s="908" t="str">
        <f t="shared" si="7"/>
        <v>ns</v>
      </c>
      <c r="AO14" s="908" t="str">
        <f t="shared" si="8"/>
        <v>ns</v>
      </c>
      <c r="AP14" s="908" t="str">
        <f t="shared" si="9"/>
        <v>ns</v>
      </c>
      <c r="AQ14" s="522"/>
      <c r="AR14" t="s">
        <v>2337</v>
      </c>
    </row>
    <row r="15" spans="1:212">
      <c r="A15" s="504">
        <v>15</v>
      </c>
      <c r="B15" s="504" t="s">
        <v>60</v>
      </c>
      <c r="C15" s="505">
        <v>479</v>
      </c>
      <c r="D15" s="504" t="s">
        <v>669</v>
      </c>
      <c r="E15" s="504" t="s">
        <v>1211</v>
      </c>
      <c r="F15" s="504" t="s">
        <v>663</v>
      </c>
      <c r="G15" s="504" t="s">
        <v>661</v>
      </c>
      <c r="H15" s="506" t="s">
        <v>234</v>
      </c>
      <c r="I15" s="515" t="s">
        <v>670</v>
      </c>
      <c r="J15" s="516" t="s">
        <v>654</v>
      </c>
      <c r="K15" s="515" t="s">
        <v>197</v>
      </c>
      <c r="L15" s="523" t="s">
        <v>197</v>
      </c>
      <c r="M15" s="524" t="s">
        <v>197</v>
      </c>
      <c r="N15" s="518" t="s">
        <v>671</v>
      </c>
      <c r="O15" s="504" t="s">
        <v>889</v>
      </c>
      <c r="P15" s="504" t="s">
        <v>1191</v>
      </c>
      <c r="Q15" s="504" t="s">
        <v>663</v>
      </c>
      <c r="R15" s="504" t="s">
        <v>662</v>
      </c>
      <c r="S15" s="504" t="s">
        <v>662</v>
      </c>
      <c r="T15" s="504" t="s">
        <v>663</v>
      </c>
      <c r="U15" s="504" t="s">
        <v>663</v>
      </c>
      <c r="V15" s="504" t="s">
        <v>663</v>
      </c>
      <c r="W15" s="504" t="s">
        <v>663</v>
      </c>
      <c r="X15" s="504" t="s">
        <v>663</v>
      </c>
      <c r="Y15" s="504" t="s">
        <v>663</v>
      </c>
      <c r="Z15" s="504" t="s">
        <v>663</v>
      </c>
      <c r="AA15" s="504" t="s">
        <v>663</v>
      </c>
      <c r="AB15" s="504" t="str">
        <f t="shared" si="0"/>
        <v>PHY</v>
      </c>
      <c r="AC15" s="504" t="s">
        <v>1192</v>
      </c>
      <c r="AD15" s="520" t="str" cm="1">
        <f t="array" ref="AD15">IF(SUMPRODUCT(ISNUMBER(SEARCH("y",R15:AA15))+0)=0,"",IF(AA15="y","400G",IF(Z15="y","100G",IF(X15="y","40G",IF(V15="y","10G",IF(S15="y","1G",IF(R15="y","100M",""))))))&amp;" "&amp;AB15&amp;" "&amp;AC15)</f>
        <v>1G PHY UPLINK</v>
      </c>
      <c r="AE15" s="521" t="str">
        <f t="shared" si="11"/>
        <v/>
      </c>
      <c r="AF15" s="909" t="str">
        <f t="shared" si="1"/>
        <v>ns</v>
      </c>
      <c r="AG15" s="908" t="str">
        <f t="shared" si="2"/>
        <v>.</v>
      </c>
      <c r="AH15" s="908" t="str">
        <f t="shared" si="10"/>
        <v>.</v>
      </c>
      <c r="AI15" s="908" t="str">
        <f t="shared" si="3"/>
        <v>ns</v>
      </c>
      <c r="AJ15" s="908" t="str">
        <f t="shared" si="4"/>
        <v>ns</v>
      </c>
      <c r="AK15" s="920" t="str">
        <f t="shared" si="5"/>
        <v>ns</v>
      </c>
      <c r="AL15" s="908" t="str">
        <f t="shared" si="5"/>
        <v>ns</v>
      </c>
      <c r="AM15" s="909" t="str">
        <f t="shared" si="6"/>
        <v>ns</v>
      </c>
      <c r="AN15" s="908" t="str">
        <f t="shared" si="7"/>
        <v>ns</v>
      </c>
      <c r="AO15" s="908" t="str">
        <f t="shared" si="8"/>
        <v>ns</v>
      </c>
      <c r="AP15" s="908" t="str">
        <f t="shared" si="9"/>
        <v>ns</v>
      </c>
      <c r="AQ15" s="522"/>
      <c r="AR15" t="s">
        <v>2337</v>
      </c>
    </row>
    <row r="16" spans="1:212">
      <c r="A16" s="504">
        <v>16</v>
      </c>
      <c r="B16" s="504" t="s">
        <v>60</v>
      </c>
      <c r="C16" s="505">
        <v>480</v>
      </c>
      <c r="D16" s="504" t="s">
        <v>677</v>
      </c>
      <c r="E16" s="504" t="s">
        <v>1212</v>
      </c>
      <c r="F16" s="504" t="s">
        <v>663</v>
      </c>
      <c r="G16" s="504" t="s">
        <v>661</v>
      </c>
      <c r="H16" s="506" t="s">
        <v>234</v>
      </c>
      <c r="I16" s="515" t="s">
        <v>670</v>
      </c>
      <c r="J16" s="516" t="s">
        <v>654</v>
      </c>
      <c r="K16" s="515" t="s">
        <v>197</v>
      </c>
      <c r="L16" s="523" t="s">
        <v>197</v>
      </c>
      <c r="M16" s="524" t="s">
        <v>197</v>
      </c>
      <c r="N16" s="518" t="s">
        <v>671</v>
      </c>
      <c r="O16" s="504" t="s">
        <v>889</v>
      </c>
      <c r="P16" s="504" t="s">
        <v>1191</v>
      </c>
      <c r="Q16" s="504" t="s">
        <v>663</v>
      </c>
      <c r="R16" s="504" t="s">
        <v>662</v>
      </c>
      <c r="S16" s="504" t="s">
        <v>662</v>
      </c>
      <c r="T16" s="504" t="s">
        <v>663</v>
      </c>
      <c r="U16" s="504" t="s">
        <v>663</v>
      </c>
      <c r="V16" s="504" t="s">
        <v>663</v>
      </c>
      <c r="W16" s="504" t="s">
        <v>663</v>
      </c>
      <c r="X16" s="504" t="s">
        <v>663</v>
      </c>
      <c r="Y16" s="504" t="s">
        <v>663</v>
      </c>
      <c r="Z16" s="504" t="s">
        <v>663</v>
      </c>
      <c r="AA16" s="504" t="s">
        <v>663</v>
      </c>
      <c r="AB16" s="504" t="str">
        <f t="shared" si="0"/>
        <v>PHY</v>
      </c>
      <c r="AC16" s="504" t="s">
        <v>1192</v>
      </c>
      <c r="AD16" s="520" t="str" cm="1">
        <f t="array" ref="AD16">IF(SUMPRODUCT(ISNUMBER(SEARCH("y",R16:AA16))+0)=0,"",IF(AA16="y","400G",IF(Z16="y","100G",IF(X16="y","40G",IF(V16="y","10G",IF(S16="y","1G",IF(R16="y","100M",""))))))&amp;" "&amp;AB16&amp;" "&amp;AC16)</f>
        <v>1G PHY UPLINK</v>
      </c>
      <c r="AE16" s="521" t="str">
        <f t="shared" si="11"/>
        <v/>
      </c>
      <c r="AF16" s="909" t="str">
        <f t="shared" si="1"/>
        <v>ns</v>
      </c>
      <c r="AG16" s="908" t="str">
        <f t="shared" si="2"/>
        <v>.</v>
      </c>
      <c r="AH16" s="908" t="str">
        <f t="shared" si="10"/>
        <v>.</v>
      </c>
      <c r="AI16" s="908" t="str">
        <f t="shared" si="3"/>
        <v>ns</v>
      </c>
      <c r="AJ16" s="908" t="str">
        <f t="shared" si="4"/>
        <v>ns</v>
      </c>
      <c r="AK16" s="920" t="str">
        <f t="shared" si="5"/>
        <v>ns</v>
      </c>
      <c r="AL16" s="908" t="str">
        <f t="shared" si="5"/>
        <v>ns</v>
      </c>
      <c r="AM16" s="909" t="str">
        <f t="shared" si="6"/>
        <v>ns</v>
      </c>
      <c r="AN16" s="908" t="str">
        <f t="shared" si="7"/>
        <v>ns</v>
      </c>
      <c r="AO16" s="908" t="str">
        <f t="shared" si="8"/>
        <v>ns</v>
      </c>
      <c r="AP16" s="908" t="str">
        <f t="shared" si="9"/>
        <v>ns</v>
      </c>
      <c r="AQ16" s="522"/>
      <c r="AR16" t="s">
        <v>2337</v>
      </c>
    </row>
    <row r="17" spans="1:44">
      <c r="A17" s="504">
        <v>17</v>
      </c>
      <c r="B17" s="504" t="s">
        <v>60</v>
      </c>
      <c r="C17" s="505">
        <v>481</v>
      </c>
      <c r="D17" s="504" t="s">
        <v>673</v>
      </c>
      <c r="E17" s="504" t="s">
        <v>1213</v>
      </c>
      <c r="F17" s="504" t="s">
        <v>663</v>
      </c>
      <c r="G17" s="504" t="s">
        <v>661</v>
      </c>
      <c r="H17" s="506" t="s">
        <v>234</v>
      </c>
      <c r="I17" s="515" t="s">
        <v>670</v>
      </c>
      <c r="J17" s="516" t="s">
        <v>654</v>
      </c>
      <c r="K17" s="515" t="s">
        <v>673</v>
      </c>
      <c r="L17" s="517" t="s">
        <v>674</v>
      </c>
      <c r="M17" s="516" t="s">
        <v>675</v>
      </c>
      <c r="N17" s="518" t="s">
        <v>671</v>
      </c>
      <c r="O17" s="504" t="s">
        <v>1202</v>
      </c>
      <c r="P17" s="504" t="s">
        <v>1191</v>
      </c>
      <c r="Q17" s="504" t="s">
        <v>663</v>
      </c>
      <c r="R17" s="504" t="s">
        <v>662</v>
      </c>
      <c r="S17" s="504" t="s">
        <v>662</v>
      </c>
      <c r="T17" s="504" t="s">
        <v>663</v>
      </c>
      <c r="U17" s="504" t="s">
        <v>663</v>
      </c>
      <c r="V17" s="504" t="s">
        <v>663</v>
      </c>
      <c r="W17" s="504" t="s">
        <v>663</v>
      </c>
      <c r="X17" s="504" t="s">
        <v>663</v>
      </c>
      <c r="Y17" s="504" t="s">
        <v>663</v>
      </c>
      <c r="Z17" s="504" t="s">
        <v>663</v>
      </c>
      <c r="AA17" s="504" t="s">
        <v>663</v>
      </c>
      <c r="AB17" s="504" t="str">
        <f t="shared" si="0"/>
        <v>PHY</v>
      </c>
      <c r="AC17" s="504" t="s">
        <v>1192</v>
      </c>
      <c r="AD17" s="520" t="str" cm="1">
        <f t="array" ref="AD17">IF(SUMPRODUCT(ISNUMBER(SEARCH("y",R17:AA17))+0)=0,"",IF(AA17="y","400G",IF(Z17="y","100G",IF(X17="y","40G",IF(V17="y","10G",IF(S17="y","1G",IF(R17="y","100M",""))))))&amp;" "&amp;AB17&amp;" "&amp;AC17)</f>
        <v>1G PHY UPLINK</v>
      </c>
      <c r="AE17" s="521" t="str">
        <f t="shared" si="11"/>
        <v>AT-FS980M/52 1G PHY UPLINK</v>
      </c>
      <c r="AF17" s="909" t="str">
        <f t="shared" si="1"/>
        <v>ns</v>
      </c>
      <c r="AG17" s="908" t="str">
        <f t="shared" si="2"/>
        <v>.</v>
      </c>
      <c r="AH17" s="908" t="str">
        <f t="shared" si="10"/>
        <v>.</v>
      </c>
      <c r="AI17" s="908" t="str">
        <f t="shared" si="3"/>
        <v>ns</v>
      </c>
      <c r="AJ17" s="908" t="str">
        <f t="shared" si="4"/>
        <v>ns</v>
      </c>
      <c r="AK17" s="920" t="str">
        <f t="shared" si="5"/>
        <v>ns</v>
      </c>
      <c r="AL17" s="908" t="str">
        <f t="shared" si="5"/>
        <v>ns</v>
      </c>
      <c r="AM17" s="909" t="str">
        <f t="shared" si="6"/>
        <v>ns</v>
      </c>
      <c r="AN17" s="908" t="str">
        <f t="shared" si="7"/>
        <v>ns</v>
      </c>
      <c r="AO17" s="908" t="str">
        <f t="shared" si="8"/>
        <v>ns</v>
      </c>
      <c r="AP17" s="908" t="str">
        <f t="shared" si="9"/>
        <v>ns</v>
      </c>
      <c r="AQ17" s="522"/>
      <c r="AR17" t="s">
        <v>2337</v>
      </c>
    </row>
    <row r="18" spans="1:44">
      <c r="A18" s="504">
        <v>18</v>
      </c>
      <c r="B18" s="504" t="s">
        <v>60</v>
      </c>
      <c r="C18" s="505">
        <v>482</v>
      </c>
      <c r="D18" s="504" t="s">
        <v>678</v>
      </c>
      <c r="E18" s="504" t="s">
        <v>1214</v>
      </c>
      <c r="F18" s="504" t="s">
        <v>663</v>
      </c>
      <c r="G18" s="504" t="s">
        <v>661</v>
      </c>
      <c r="H18" s="506" t="s">
        <v>234</v>
      </c>
      <c r="I18" s="515" t="s">
        <v>670</v>
      </c>
      <c r="J18" s="516" t="s">
        <v>654</v>
      </c>
      <c r="K18" s="515" t="s">
        <v>197</v>
      </c>
      <c r="L18" s="523" t="s">
        <v>197</v>
      </c>
      <c r="M18" s="524" t="s">
        <v>197</v>
      </c>
      <c r="N18" s="518" t="s">
        <v>671</v>
      </c>
      <c r="O18" s="504" t="s">
        <v>1202</v>
      </c>
      <c r="P18" s="504" t="s">
        <v>1191</v>
      </c>
      <c r="Q18" s="504" t="s">
        <v>663</v>
      </c>
      <c r="R18" s="504" t="s">
        <v>662</v>
      </c>
      <c r="S18" s="504" t="s">
        <v>662</v>
      </c>
      <c r="T18" s="504" t="s">
        <v>663</v>
      </c>
      <c r="U18" s="504" t="s">
        <v>663</v>
      </c>
      <c r="V18" s="504" t="s">
        <v>663</v>
      </c>
      <c r="W18" s="504" t="s">
        <v>663</v>
      </c>
      <c r="X18" s="504" t="s">
        <v>663</v>
      </c>
      <c r="Y18" s="504" t="s">
        <v>663</v>
      </c>
      <c r="Z18" s="504" t="s">
        <v>663</v>
      </c>
      <c r="AA18" s="504" t="s">
        <v>663</v>
      </c>
      <c r="AB18" s="504" t="str">
        <f t="shared" si="0"/>
        <v>PHY</v>
      </c>
      <c r="AC18" s="504" t="s">
        <v>1192</v>
      </c>
      <c r="AD18" s="520" t="str" cm="1">
        <f t="array" ref="AD18">IF(SUMPRODUCT(ISNUMBER(SEARCH("y",R18:AA18))+0)=0,"",IF(AA18="y","400G",IF(Z18="y","100G",IF(X18="y","40G",IF(V18="y","10G",IF(S18="y","1G",IF(R18="y","100M",""))))))&amp;" "&amp;AB18&amp;" "&amp;AC18)</f>
        <v>1G PHY UPLINK</v>
      </c>
      <c r="AE18" s="521" t="str">
        <f t="shared" si="11"/>
        <v/>
      </c>
      <c r="AF18" s="909" t="str">
        <f t="shared" si="1"/>
        <v>ns</v>
      </c>
      <c r="AG18" s="908" t="str">
        <f t="shared" si="2"/>
        <v>.</v>
      </c>
      <c r="AH18" s="908" t="str">
        <f t="shared" si="10"/>
        <v>.</v>
      </c>
      <c r="AI18" s="908" t="str">
        <f t="shared" si="3"/>
        <v>ns</v>
      </c>
      <c r="AJ18" s="908" t="str">
        <f t="shared" si="4"/>
        <v>ns</v>
      </c>
      <c r="AK18" s="920" t="str">
        <f t="shared" si="5"/>
        <v>ns</v>
      </c>
      <c r="AL18" s="908" t="str">
        <f t="shared" si="5"/>
        <v>ns</v>
      </c>
      <c r="AM18" s="909" t="str">
        <f t="shared" si="6"/>
        <v>ns</v>
      </c>
      <c r="AN18" s="908" t="str">
        <f t="shared" si="7"/>
        <v>ns</v>
      </c>
      <c r="AO18" s="908" t="str">
        <f t="shared" si="8"/>
        <v>ns</v>
      </c>
      <c r="AP18" s="908" t="str">
        <f t="shared" si="9"/>
        <v>ns</v>
      </c>
      <c r="AQ18" s="522"/>
      <c r="AR18" t="s">
        <v>2337</v>
      </c>
    </row>
    <row r="19" spans="1:44">
      <c r="A19" s="504">
        <v>19</v>
      </c>
      <c r="B19" s="504" t="s">
        <v>60</v>
      </c>
      <c r="C19" s="505">
        <v>572</v>
      </c>
      <c r="D19" s="504" t="s">
        <v>679</v>
      </c>
      <c r="E19" s="504" t="s">
        <v>1215</v>
      </c>
      <c r="F19" s="504" t="s">
        <v>663</v>
      </c>
      <c r="G19" s="504" t="s">
        <v>661</v>
      </c>
      <c r="H19" s="506" t="s">
        <v>234</v>
      </c>
      <c r="I19" s="515" t="s">
        <v>670</v>
      </c>
      <c r="J19" s="516" t="s">
        <v>654</v>
      </c>
      <c r="K19" s="515" t="s">
        <v>197</v>
      </c>
      <c r="L19" s="523" t="s">
        <v>197</v>
      </c>
      <c r="M19" s="524" t="s">
        <v>197</v>
      </c>
      <c r="N19" s="518" t="s">
        <v>671</v>
      </c>
      <c r="O19" s="504" t="s">
        <v>889</v>
      </c>
      <c r="P19" s="504" t="s">
        <v>1191</v>
      </c>
      <c r="Q19" s="504" t="s">
        <v>663</v>
      </c>
      <c r="R19" s="504" t="s">
        <v>662</v>
      </c>
      <c r="S19" s="504" t="s">
        <v>662</v>
      </c>
      <c r="T19" s="504" t="s">
        <v>663</v>
      </c>
      <c r="U19" s="504" t="s">
        <v>663</v>
      </c>
      <c r="V19" s="504" t="s">
        <v>663</v>
      </c>
      <c r="W19" s="504" t="s">
        <v>663</v>
      </c>
      <c r="X19" s="504" t="s">
        <v>663</v>
      </c>
      <c r="Y19" s="504" t="s">
        <v>663</v>
      </c>
      <c r="Z19" s="504" t="s">
        <v>663</v>
      </c>
      <c r="AA19" s="504" t="s">
        <v>663</v>
      </c>
      <c r="AB19" s="504" t="str">
        <f t="shared" si="0"/>
        <v>PHY</v>
      </c>
      <c r="AC19" s="504" t="s">
        <v>1192</v>
      </c>
      <c r="AD19" s="520" t="str" cm="1">
        <f t="array" ref="AD19">IF(SUMPRODUCT(ISNUMBER(SEARCH("y",R19:AA19))+0)=0,"",IF(AA19="y","400G",IF(Z19="y","100G",IF(X19="y","40G",IF(V19="y","10G",IF(S19="y","1G",IF(R19="y","100M",""))))))&amp;" "&amp;AB19&amp;" "&amp;AC19)</f>
        <v>1G PHY UPLINK</v>
      </c>
      <c r="AE19" s="521" t="str">
        <f t="shared" si="11"/>
        <v/>
      </c>
      <c r="AF19" s="909" t="str">
        <f t="shared" si="1"/>
        <v>ns</v>
      </c>
      <c r="AG19" s="908" t="str">
        <f t="shared" si="2"/>
        <v>.</v>
      </c>
      <c r="AH19" s="908" t="str">
        <f t="shared" si="10"/>
        <v>.</v>
      </c>
      <c r="AI19" s="908" t="str">
        <f t="shared" si="3"/>
        <v>ns</v>
      </c>
      <c r="AJ19" s="908" t="str">
        <f t="shared" si="4"/>
        <v>ns</v>
      </c>
      <c r="AK19" s="920" t="str">
        <f t="shared" si="5"/>
        <v>ns</v>
      </c>
      <c r="AL19" s="908" t="str">
        <f t="shared" si="5"/>
        <v>ns</v>
      </c>
      <c r="AM19" s="909" t="str">
        <f t="shared" si="6"/>
        <v>ns</v>
      </c>
      <c r="AN19" s="908" t="str">
        <f t="shared" si="7"/>
        <v>ns</v>
      </c>
      <c r="AO19" s="908" t="str">
        <f t="shared" si="8"/>
        <v>ns</v>
      </c>
      <c r="AP19" s="908" t="str">
        <f t="shared" si="9"/>
        <v>ns</v>
      </c>
      <c r="AQ19" s="522"/>
      <c r="AR19" t="s">
        <v>2337</v>
      </c>
    </row>
    <row r="20" spans="1:44">
      <c r="A20" s="537">
        <v>20</v>
      </c>
      <c r="B20" s="537" t="s">
        <v>56</v>
      </c>
      <c r="C20" s="538">
        <v>409</v>
      </c>
      <c r="D20" s="537" t="s">
        <v>1216</v>
      </c>
      <c r="E20" s="537" t="s">
        <v>1217</v>
      </c>
      <c r="F20" s="537" t="s">
        <v>663</v>
      </c>
      <c r="G20" s="537" t="s">
        <v>661</v>
      </c>
      <c r="H20" s="539" t="s">
        <v>56</v>
      </c>
      <c r="I20" s="540" t="s">
        <v>694</v>
      </c>
      <c r="J20" s="541" t="s">
        <v>695</v>
      </c>
      <c r="K20" s="540" t="s">
        <v>197</v>
      </c>
      <c r="L20" s="548" t="s">
        <v>197</v>
      </c>
      <c r="M20" s="549" t="s">
        <v>197</v>
      </c>
      <c r="N20" s="543" t="s">
        <v>671</v>
      </c>
      <c r="O20" s="537" t="s">
        <v>697</v>
      </c>
      <c r="P20" s="537" t="s">
        <v>1218</v>
      </c>
      <c r="Q20" s="537" t="s">
        <v>663</v>
      </c>
      <c r="R20" s="537" t="s">
        <v>662</v>
      </c>
      <c r="S20" s="537" t="s">
        <v>662</v>
      </c>
      <c r="T20" s="537" t="s">
        <v>663</v>
      </c>
      <c r="U20" s="537" t="s">
        <v>663</v>
      </c>
      <c r="V20" s="537" t="s">
        <v>663</v>
      </c>
      <c r="W20" s="537" t="s">
        <v>663</v>
      </c>
      <c r="X20" s="537" t="s">
        <v>663</v>
      </c>
      <c r="Y20" s="537" t="s">
        <v>663</v>
      </c>
      <c r="Z20" s="537" t="s">
        <v>663</v>
      </c>
      <c r="AA20" s="537" t="s">
        <v>663</v>
      </c>
      <c r="AB20" s="537" t="s">
        <v>1219</v>
      </c>
      <c r="AC20" s="537" t="s">
        <v>1201</v>
      </c>
      <c r="AD20" s="545" t="str" cm="1">
        <f t="array" ref="AD20">IF(SUMPRODUCT(ISNUMBER(SEARCH("y",R20:AA20))+0)=0,"",IF(AA20="y","400G",IF(Z20="y","100G",IF(X20="y","40G",IF(V20="y","10G",IF(S20="y","1G",IF(R20="y","100M",""))))))&amp;" "&amp;AB20&amp;" "&amp;AC20)</f>
        <v>1G PHY1 BASE</v>
      </c>
      <c r="AE20" s="546" t="str">
        <f t="shared" si="11"/>
        <v/>
      </c>
      <c r="AF20" s="912" t="str">
        <f t="shared" si="1"/>
        <v>ns</v>
      </c>
      <c r="AG20" s="405" t="str">
        <f t="shared" si="2"/>
        <v>.</v>
      </c>
      <c r="AH20" s="405" t="str">
        <f t="shared" si="10"/>
        <v>.</v>
      </c>
      <c r="AI20" s="405" t="str">
        <f t="shared" si="3"/>
        <v>ns</v>
      </c>
      <c r="AJ20" s="405" t="str">
        <f t="shared" si="4"/>
        <v>ns</v>
      </c>
      <c r="AK20" s="922" t="str">
        <f t="shared" si="5"/>
        <v>ns</v>
      </c>
      <c r="AL20" s="405" t="str">
        <f t="shared" si="5"/>
        <v>ns</v>
      </c>
      <c r="AM20" s="912" t="str">
        <f t="shared" si="6"/>
        <v>ns</v>
      </c>
      <c r="AN20" s="405" t="str">
        <f t="shared" si="7"/>
        <v>ns</v>
      </c>
      <c r="AO20" s="405" t="str">
        <f t="shared" si="8"/>
        <v>ns</v>
      </c>
      <c r="AP20" s="405" t="str">
        <f t="shared" si="9"/>
        <v>ns</v>
      </c>
      <c r="AQ20" s="547"/>
      <c r="AR20" t="s">
        <v>2337</v>
      </c>
    </row>
    <row r="21" spans="1:44">
      <c r="A21" s="537">
        <v>21</v>
      </c>
      <c r="B21" s="537" t="s">
        <v>56</v>
      </c>
      <c r="C21" s="538">
        <v>409</v>
      </c>
      <c r="D21" s="537" t="s">
        <v>1216</v>
      </c>
      <c r="E21" s="537" t="s">
        <v>1217</v>
      </c>
      <c r="F21" s="537" t="s">
        <v>663</v>
      </c>
      <c r="G21" s="537" t="s">
        <v>661</v>
      </c>
      <c r="H21" s="539" t="s">
        <v>56</v>
      </c>
      <c r="I21" s="540" t="s">
        <v>694</v>
      </c>
      <c r="J21" s="541" t="s">
        <v>703</v>
      </c>
      <c r="K21" s="540" t="s">
        <v>197</v>
      </c>
      <c r="L21" s="548" t="s">
        <v>197</v>
      </c>
      <c r="M21" s="549" t="s">
        <v>197</v>
      </c>
      <c r="N21" s="543" t="s">
        <v>671</v>
      </c>
      <c r="O21" s="537" t="s">
        <v>705</v>
      </c>
      <c r="P21" s="537" t="s">
        <v>1220</v>
      </c>
      <c r="Q21" s="537" t="s">
        <v>663</v>
      </c>
      <c r="R21" s="537" t="s">
        <v>662</v>
      </c>
      <c r="S21" s="537" t="s">
        <v>662</v>
      </c>
      <c r="T21" s="537" t="s">
        <v>663</v>
      </c>
      <c r="U21" s="537" t="s">
        <v>663</v>
      </c>
      <c r="V21" s="537" t="s">
        <v>663</v>
      </c>
      <c r="W21" s="537" t="s">
        <v>663</v>
      </c>
      <c r="X21" s="537" t="s">
        <v>663</v>
      </c>
      <c r="Y21" s="537" t="s">
        <v>663</v>
      </c>
      <c r="Z21" s="537" t="s">
        <v>663</v>
      </c>
      <c r="AA21" s="537" t="s">
        <v>663</v>
      </c>
      <c r="AB21" s="537" t="s">
        <v>1221</v>
      </c>
      <c r="AC21" s="537" t="s">
        <v>1201</v>
      </c>
      <c r="AD21" s="545" t="str" cm="1">
        <f t="array" ref="AD21">IF(SUMPRODUCT(ISNUMBER(SEARCH("y",R21:AA21))+0)=0,"",IF(AA21="y","400G",IF(Z21="y","100G",IF(X21="y","40G",IF(V21="y","10G",IF(S21="y","1G",IF(R21="y","100M",""))))))&amp;" "&amp;AB21&amp;" "&amp;AC21)</f>
        <v>1G PHY2 BASE</v>
      </c>
      <c r="AE21" s="546" t="str">
        <f t="shared" si="11"/>
        <v/>
      </c>
      <c r="AF21" s="912" t="str">
        <f t="shared" si="1"/>
        <v>ns</v>
      </c>
      <c r="AG21" s="405" t="str">
        <f t="shared" si="2"/>
        <v>.</v>
      </c>
      <c r="AH21" s="405" t="str">
        <f t="shared" si="10"/>
        <v>.</v>
      </c>
      <c r="AI21" s="405" t="str">
        <f t="shared" si="3"/>
        <v>ns</v>
      </c>
      <c r="AJ21" s="405" t="str">
        <f t="shared" si="4"/>
        <v>ns</v>
      </c>
      <c r="AK21" s="922" t="str">
        <f t="shared" si="5"/>
        <v>ns</v>
      </c>
      <c r="AL21" s="405" t="str">
        <f t="shared" si="5"/>
        <v>ns</v>
      </c>
      <c r="AM21" s="912" t="str">
        <f t="shared" si="6"/>
        <v>ns</v>
      </c>
      <c r="AN21" s="405" t="str">
        <f t="shared" si="7"/>
        <v>ns</v>
      </c>
      <c r="AO21" s="405" t="str">
        <f t="shared" si="8"/>
        <v>ns</v>
      </c>
      <c r="AP21" s="405" t="str">
        <f t="shared" si="9"/>
        <v>ns</v>
      </c>
      <c r="AQ21" s="547"/>
      <c r="AR21" t="s">
        <v>2337</v>
      </c>
    </row>
    <row r="22" spans="1:44">
      <c r="A22" s="537">
        <v>22</v>
      </c>
      <c r="B22" s="537" t="s">
        <v>56</v>
      </c>
      <c r="C22" s="538">
        <v>410</v>
      </c>
      <c r="D22" s="537" t="s">
        <v>1222</v>
      </c>
      <c r="E22" s="537" t="s">
        <v>1223</v>
      </c>
      <c r="F22" s="537" t="s">
        <v>663</v>
      </c>
      <c r="G22" s="537" t="s">
        <v>661</v>
      </c>
      <c r="H22" s="539" t="s">
        <v>56</v>
      </c>
      <c r="I22" s="540" t="s">
        <v>694</v>
      </c>
      <c r="J22" s="541" t="s">
        <v>695</v>
      </c>
      <c r="K22" s="540" t="s">
        <v>197</v>
      </c>
      <c r="L22" s="548" t="s">
        <v>197</v>
      </c>
      <c r="M22" s="549" t="s">
        <v>197</v>
      </c>
      <c r="N22" s="543" t="s">
        <v>671</v>
      </c>
      <c r="O22" s="537" t="s">
        <v>697</v>
      </c>
      <c r="P22" s="537" t="s">
        <v>1218</v>
      </c>
      <c r="Q22" s="537" t="s">
        <v>663</v>
      </c>
      <c r="R22" s="537" t="s">
        <v>662</v>
      </c>
      <c r="S22" s="537" t="s">
        <v>662</v>
      </c>
      <c r="T22" s="537" t="s">
        <v>663</v>
      </c>
      <c r="U22" s="537" t="s">
        <v>663</v>
      </c>
      <c r="V22" s="537" t="s">
        <v>663</v>
      </c>
      <c r="W22" s="537" t="s">
        <v>663</v>
      </c>
      <c r="X22" s="537" t="s">
        <v>663</v>
      </c>
      <c r="Y22" s="537" t="s">
        <v>663</v>
      </c>
      <c r="Z22" s="537" t="s">
        <v>663</v>
      </c>
      <c r="AA22" s="537" t="s">
        <v>663</v>
      </c>
      <c r="AB22" s="537" t="s">
        <v>1219</v>
      </c>
      <c r="AC22" s="537" t="s">
        <v>1201</v>
      </c>
      <c r="AD22" s="545" t="str" cm="1">
        <f t="array" ref="AD22">IF(SUMPRODUCT(ISNUMBER(SEARCH("y",R22:AA22))+0)=0,"",IF(AA22="y","400G",IF(Z22="y","100G",IF(X22="y","40G",IF(V22="y","10G",IF(S22="y","1G",IF(R22="y","100M",""))))))&amp;" "&amp;AB22&amp;" "&amp;AC22)</f>
        <v>1G PHY1 BASE</v>
      </c>
      <c r="AE22" s="546" t="str">
        <f t="shared" si="11"/>
        <v/>
      </c>
      <c r="AF22" s="912" t="str">
        <f t="shared" si="1"/>
        <v>ns</v>
      </c>
      <c r="AG22" s="405" t="str">
        <f t="shared" si="2"/>
        <v>.</v>
      </c>
      <c r="AH22" s="405" t="str">
        <f t="shared" si="10"/>
        <v>.</v>
      </c>
      <c r="AI22" s="405" t="str">
        <f t="shared" si="3"/>
        <v>ns</v>
      </c>
      <c r="AJ22" s="405" t="str">
        <f t="shared" si="4"/>
        <v>ns</v>
      </c>
      <c r="AK22" s="922" t="str">
        <f t="shared" si="5"/>
        <v>ns</v>
      </c>
      <c r="AL22" s="405" t="str">
        <f t="shared" si="5"/>
        <v>ns</v>
      </c>
      <c r="AM22" s="912" t="str">
        <f t="shared" si="6"/>
        <v>ns</v>
      </c>
      <c r="AN22" s="405" t="str">
        <f t="shared" si="7"/>
        <v>ns</v>
      </c>
      <c r="AO22" s="405" t="str">
        <f t="shared" si="8"/>
        <v>ns</v>
      </c>
      <c r="AP22" s="405" t="str">
        <f t="shared" si="9"/>
        <v>ns</v>
      </c>
      <c r="AQ22" s="547"/>
      <c r="AR22" t="s">
        <v>2337</v>
      </c>
    </row>
    <row r="23" spans="1:44">
      <c r="A23" s="537">
        <v>23</v>
      </c>
      <c r="B23" s="537" t="s">
        <v>56</v>
      </c>
      <c r="C23" s="538">
        <v>410</v>
      </c>
      <c r="D23" s="537" t="s">
        <v>1222</v>
      </c>
      <c r="E23" s="537" t="s">
        <v>1223</v>
      </c>
      <c r="F23" s="537" t="s">
        <v>663</v>
      </c>
      <c r="G23" s="537" t="s">
        <v>661</v>
      </c>
      <c r="H23" s="539" t="s">
        <v>56</v>
      </c>
      <c r="I23" s="540" t="s">
        <v>694</v>
      </c>
      <c r="J23" s="541" t="s">
        <v>703</v>
      </c>
      <c r="K23" s="540" t="s">
        <v>197</v>
      </c>
      <c r="L23" s="548" t="s">
        <v>197</v>
      </c>
      <c r="M23" s="549" t="s">
        <v>197</v>
      </c>
      <c r="N23" s="543" t="s">
        <v>671</v>
      </c>
      <c r="O23" s="537" t="s">
        <v>705</v>
      </c>
      <c r="P23" s="537" t="s">
        <v>1220</v>
      </c>
      <c r="Q23" s="537" t="s">
        <v>663</v>
      </c>
      <c r="R23" s="537" t="s">
        <v>662</v>
      </c>
      <c r="S23" s="537" t="s">
        <v>662</v>
      </c>
      <c r="T23" s="537" t="s">
        <v>663</v>
      </c>
      <c r="U23" s="537" t="s">
        <v>663</v>
      </c>
      <c r="V23" s="537" t="s">
        <v>663</v>
      </c>
      <c r="W23" s="537" t="s">
        <v>663</v>
      </c>
      <c r="X23" s="537" t="s">
        <v>663</v>
      </c>
      <c r="Y23" s="537" t="s">
        <v>663</v>
      </c>
      <c r="Z23" s="537" t="s">
        <v>663</v>
      </c>
      <c r="AA23" s="537" t="s">
        <v>663</v>
      </c>
      <c r="AB23" s="537" t="s">
        <v>1221</v>
      </c>
      <c r="AC23" s="537" t="s">
        <v>1201</v>
      </c>
      <c r="AD23" s="545" t="str" cm="1">
        <f t="array" ref="AD23">IF(SUMPRODUCT(ISNUMBER(SEARCH("y",R23:AA23))+0)=0,"",IF(AA23="y","400G",IF(Z23="y","100G",IF(X23="y","40G",IF(V23="y","10G",IF(S23="y","1G",IF(R23="y","100M",""))))))&amp;" "&amp;AB23&amp;" "&amp;AC23)</f>
        <v>1G PHY2 BASE</v>
      </c>
      <c r="AE23" s="546" t="str">
        <f t="shared" si="11"/>
        <v/>
      </c>
      <c r="AF23" s="912" t="str">
        <f t="shared" si="1"/>
        <v>ns</v>
      </c>
      <c r="AG23" s="405" t="str">
        <f t="shared" si="2"/>
        <v>.</v>
      </c>
      <c r="AH23" s="405" t="str">
        <f t="shared" si="10"/>
        <v>.</v>
      </c>
      <c r="AI23" s="405" t="str">
        <f t="shared" si="3"/>
        <v>ns</v>
      </c>
      <c r="AJ23" s="405" t="str">
        <f t="shared" si="4"/>
        <v>ns</v>
      </c>
      <c r="AK23" s="922" t="str">
        <f t="shared" si="5"/>
        <v>ns</v>
      </c>
      <c r="AL23" s="405" t="str">
        <f t="shared" si="5"/>
        <v>ns</v>
      </c>
      <c r="AM23" s="912" t="str">
        <f t="shared" si="6"/>
        <v>ns</v>
      </c>
      <c r="AN23" s="405" t="str">
        <f t="shared" si="7"/>
        <v>ns</v>
      </c>
      <c r="AO23" s="405" t="str">
        <f t="shared" si="8"/>
        <v>ns</v>
      </c>
      <c r="AP23" s="405" t="str">
        <f t="shared" si="9"/>
        <v>ns</v>
      </c>
      <c r="AQ23" s="547"/>
      <c r="AR23" t="s">
        <v>2337</v>
      </c>
    </row>
    <row r="24" spans="1:44">
      <c r="A24" s="537">
        <v>24</v>
      </c>
      <c r="B24" s="537" t="s">
        <v>56</v>
      </c>
      <c r="C24" s="538">
        <v>428</v>
      </c>
      <c r="D24" s="537" t="s">
        <v>1224</v>
      </c>
      <c r="E24" s="537" t="s">
        <v>1225</v>
      </c>
      <c r="F24" s="537" t="s">
        <v>663</v>
      </c>
      <c r="G24" s="537" t="s">
        <v>661</v>
      </c>
      <c r="H24" s="539" t="s">
        <v>56</v>
      </c>
      <c r="I24" s="540" t="s">
        <v>694</v>
      </c>
      <c r="J24" s="541" t="s">
        <v>695</v>
      </c>
      <c r="K24" s="540" t="s">
        <v>197</v>
      </c>
      <c r="L24" s="548" t="s">
        <v>197</v>
      </c>
      <c r="M24" s="549" t="s">
        <v>197</v>
      </c>
      <c r="N24" s="543" t="s">
        <v>671</v>
      </c>
      <c r="O24" s="537" t="s">
        <v>697</v>
      </c>
      <c r="P24" s="537" t="s">
        <v>1218</v>
      </c>
      <c r="Q24" s="537" t="s">
        <v>663</v>
      </c>
      <c r="R24" s="537" t="s">
        <v>662</v>
      </c>
      <c r="S24" s="537" t="s">
        <v>662</v>
      </c>
      <c r="T24" s="537" t="s">
        <v>663</v>
      </c>
      <c r="U24" s="537" t="s">
        <v>663</v>
      </c>
      <c r="V24" s="537" t="s">
        <v>663</v>
      </c>
      <c r="W24" s="537" t="s">
        <v>663</v>
      </c>
      <c r="X24" s="537" t="s">
        <v>663</v>
      </c>
      <c r="Y24" s="537" t="s">
        <v>663</v>
      </c>
      <c r="Z24" s="537" t="s">
        <v>663</v>
      </c>
      <c r="AA24" s="537" t="s">
        <v>663</v>
      </c>
      <c r="AB24" s="537" t="s">
        <v>1219</v>
      </c>
      <c r="AC24" s="537" t="s">
        <v>1201</v>
      </c>
      <c r="AD24" s="545" t="str" cm="1">
        <f t="array" ref="AD24">IF(SUMPRODUCT(ISNUMBER(SEARCH("y",R24:AA24))+0)=0,"",IF(AA24="y","400G",IF(Z24="y","100G",IF(X24="y","40G",IF(V24="y","10G",IF(S24="y","1G",IF(R24="y","100M",""))))))&amp;" "&amp;AB24&amp;" "&amp;AC24)</f>
        <v>1G PHY1 BASE</v>
      </c>
      <c r="AE24" s="546" t="str">
        <f t="shared" si="11"/>
        <v/>
      </c>
      <c r="AF24" s="912" t="str">
        <f t="shared" si="1"/>
        <v>ns</v>
      </c>
      <c r="AG24" s="405" t="str">
        <f t="shared" si="2"/>
        <v>.</v>
      </c>
      <c r="AH24" s="405" t="str">
        <f t="shared" si="10"/>
        <v>.</v>
      </c>
      <c r="AI24" s="405" t="str">
        <f t="shared" si="3"/>
        <v>ns</v>
      </c>
      <c r="AJ24" s="405" t="str">
        <f t="shared" si="4"/>
        <v>ns</v>
      </c>
      <c r="AK24" s="922" t="str">
        <f t="shared" si="5"/>
        <v>ns</v>
      </c>
      <c r="AL24" s="405" t="str">
        <f t="shared" si="5"/>
        <v>ns</v>
      </c>
      <c r="AM24" s="912" t="str">
        <f t="shared" si="6"/>
        <v>ns</v>
      </c>
      <c r="AN24" s="405" t="str">
        <f t="shared" si="7"/>
        <v>ns</v>
      </c>
      <c r="AO24" s="405" t="str">
        <f t="shared" si="8"/>
        <v>ns</v>
      </c>
      <c r="AP24" s="405" t="str">
        <f t="shared" si="9"/>
        <v>ns</v>
      </c>
      <c r="AQ24" s="547"/>
      <c r="AR24" t="s">
        <v>2337</v>
      </c>
    </row>
    <row r="25" spans="1:44">
      <c r="A25" s="537">
        <v>25</v>
      </c>
      <c r="B25" s="537" t="s">
        <v>56</v>
      </c>
      <c r="C25" s="538">
        <v>428</v>
      </c>
      <c r="D25" s="537" t="s">
        <v>1224</v>
      </c>
      <c r="E25" s="537" t="s">
        <v>1225</v>
      </c>
      <c r="F25" s="537" t="s">
        <v>663</v>
      </c>
      <c r="G25" s="537" t="s">
        <v>661</v>
      </c>
      <c r="H25" s="539" t="s">
        <v>56</v>
      </c>
      <c r="I25" s="540" t="s">
        <v>694</v>
      </c>
      <c r="J25" s="541" t="s">
        <v>703</v>
      </c>
      <c r="K25" s="540" t="s">
        <v>197</v>
      </c>
      <c r="L25" s="548" t="s">
        <v>197</v>
      </c>
      <c r="M25" s="549" t="s">
        <v>197</v>
      </c>
      <c r="N25" s="543" t="s">
        <v>671</v>
      </c>
      <c r="O25" s="537" t="s">
        <v>705</v>
      </c>
      <c r="P25" s="537" t="s">
        <v>1220</v>
      </c>
      <c r="Q25" s="537" t="s">
        <v>663</v>
      </c>
      <c r="R25" s="537" t="s">
        <v>662</v>
      </c>
      <c r="S25" s="537" t="s">
        <v>662</v>
      </c>
      <c r="T25" s="537" t="s">
        <v>663</v>
      </c>
      <c r="U25" s="537" t="s">
        <v>663</v>
      </c>
      <c r="V25" s="537" t="s">
        <v>663</v>
      </c>
      <c r="W25" s="537" t="s">
        <v>663</v>
      </c>
      <c r="X25" s="537" t="s">
        <v>663</v>
      </c>
      <c r="Y25" s="537" t="s">
        <v>663</v>
      </c>
      <c r="Z25" s="537" t="s">
        <v>663</v>
      </c>
      <c r="AA25" s="537" t="s">
        <v>663</v>
      </c>
      <c r="AB25" s="537" t="s">
        <v>1221</v>
      </c>
      <c r="AC25" s="537" t="s">
        <v>1201</v>
      </c>
      <c r="AD25" s="545" t="str" cm="1">
        <f t="array" ref="AD25">IF(SUMPRODUCT(ISNUMBER(SEARCH("y",R25:AA25))+0)=0,"",IF(AA25="y","400G",IF(Z25="y","100G",IF(X25="y","40G",IF(V25="y","10G",IF(S25="y","1G",IF(R25="y","100M",""))))))&amp;" "&amp;AB25&amp;" "&amp;AC25)</f>
        <v>1G PHY2 BASE</v>
      </c>
      <c r="AE25" s="546" t="str">
        <f t="shared" si="11"/>
        <v/>
      </c>
      <c r="AF25" s="912" t="str">
        <f t="shared" si="1"/>
        <v>ns</v>
      </c>
      <c r="AG25" s="405" t="str">
        <f t="shared" si="2"/>
        <v>.</v>
      </c>
      <c r="AH25" s="405" t="str">
        <f t="shared" si="10"/>
        <v>.</v>
      </c>
      <c r="AI25" s="405" t="str">
        <f t="shared" si="3"/>
        <v>ns</v>
      </c>
      <c r="AJ25" s="405" t="str">
        <f t="shared" si="4"/>
        <v>ns</v>
      </c>
      <c r="AK25" s="922" t="str">
        <f t="shared" si="5"/>
        <v>ns</v>
      </c>
      <c r="AL25" s="405" t="str">
        <f t="shared" si="5"/>
        <v>ns</v>
      </c>
      <c r="AM25" s="912" t="str">
        <f t="shared" si="6"/>
        <v>ns</v>
      </c>
      <c r="AN25" s="405" t="str">
        <f t="shared" si="7"/>
        <v>ns</v>
      </c>
      <c r="AO25" s="405" t="str">
        <f t="shared" si="8"/>
        <v>ns</v>
      </c>
      <c r="AP25" s="405" t="str">
        <f t="shared" si="9"/>
        <v>ns</v>
      </c>
      <c r="AQ25" s="547"/>
      <c r="AR25" t="s">
        <v>2337</v>
      </c>
    </row>
    <row r="26" spans="1:44">
      <c r="A26" s="537">
        <v>26</v>
      </c>
      <c r="B26" s="537" t="s">
        <v>56</v>
      </c>
      <c r="C26" s="538">
        <v>429</v>
      </c>
      <c r="D26" s="537" t="s">
        <v>698</v>
      </c>
      <c r="E26" s="537" t="s">
        <v>1226</v>
      </c>
      <c r="F26" s="537" t="s">
        <v>663</v>
      </c>
      <c r="G26" s="537" t="s">
        <v>661</v>
      </c>
      <c r="H26" s="539" t="s">
        <v>56</v>
      </c>
      <c r="I26" s="540" t="s">
        <v>694</v>
      </c>
      <c r="J26" s="541" t="s">
        <v>695</v>
      </c>
      <c r="K26" s="540" t="s">
        <v>698</v>
      </c>
      <c r="L26" s="550" t="s">
        <v>699</v>
      </c>
      <c r="M26" s="541" t="s">
        <v>700</v>
      </c>
      <c r="N26" s="543" t="s">
        <v>671</v>
      </c>
      <c r="O26" s="537" t="s">
        <v>697</v>
      </c>
      <c r="P26" s="537" t="s">
        <v>1218</v>
      </c>
      <c r="Q26" s="537" t="s">
        <v>663</v>
      </c>
      <c r="R26" s="537" t="s">
        <v>662</v>
      </c>
      <c r="S26" s="537" t="s">
        <v>662</v>
      </c>
      <c r="T26" s="537" t="s">
        <v>663</v>
      </c>
      <c r="U26" s="537" t="s">
        <v>663</v>
      </c>
      <c r="V26" s="537" t="s">
        <v>663</v>
      </c>
      <c r="W26" s="537" t="s">
        <v>663</v>
      </c>
      <c r="X26" s="537" t="s">
        <v>663</v>
      </c>
      <c r="Y26" s="537" t="s">
        <v>663</v>
      </c>
      <c r="Z26" s="537" t="s">
        <v>663</v>
      </c>
      <c r="AA26" s="537" t="s">
        <v>663</v>
      </c>
      <c r="AB26" s="537" t="s">
        <v>1219</v>
      </c>
      <c r="AC26" s="537" t="s">
        <v>1201</v>
      </c>
      <c r="AD26" s="545" t="str" cm="1">
        <f t="array" ref="AD26">IF(SUMPRODUCT(ISNUMBER(SEARCH("y",R26:AA26))+0)=0,"",IF(AA26="y","400G",IF(Z26="y","100G",IF(X26="y","40G",IF(V26="y","10G",IF(S26="y","1G",IF(R26="y","100M",""))))))&amp;" "&amp;AB26&amp;" "&amp;AC26)</f>
        <v>1G PHY1 BASE</v>
      </c>
      <c r="AE26" s="546" t="str">
        <f t="shared" si="11"/>
        <v>AT-IE200-6FP 1G PHY1 BASE</v>
      </c>
      <c r="AF26" s="912" t="str">
        <f t="shared" si="1"/>
        <v>ns</v>
      </c>
      <c r="AG26" s="405" t="str">
        <f t="shared" si="2"/>
        <v>.</v>
      </c>
      <c r="AH26" s="405" t="str">
        <f t="shared" si="10"/>
        <v>.</v>
      </c>
      <c r="AI26" s="405" t="str">
        <f t="shared" si="3"/>
        <v>ns</v>
      </c>
      <c r="AJ26" s="405" t="str">
        <f t="shared" si="4"/>
        <v>ns</v>
      </c>
      <c r="AK26" s="922" t="str">
        <f t="shared" si="5"/>
        <v>ns</v>
      </c>
      <c r="AL26" s="405" t="str">
        <f t="shared" si="5"/>
        <v>ns</v>
      </c>
      <c r="AM26" s="912" t="str">
        <f t="shared" si="6"/>
        <v>ns</v>
      </c>
      <c r="AN26" s="405" t="str">
        <f t="shared" si="7"/>
        <v>ns</v>
      </c>
      <c r="AO26" s="405" t="str">
        <f t="shared" si="8"/>
        <v>ns</v>
      </c>
      <c r="AP26" s="405" t="str">
        <f t="shared" si="9"/>
        <v>ns</v>
      </c>
      <c r="AQ26" s="547"/>
      <c r="AR26" t="s">
        <v>2337</v>
      </c>
    </row>
    <row r="27" spans="1:44">
      <c r="A27" s="537">
        <v>27</v>
      </c>
      <c r="B27" s="537" t="s">
        <v>56</v>
      </c>
      <c r="C27" s="538">
        <v>429</v>
      </c>
      <c r="D27" s="537" t="s">
        <v>698</v>
      </c>
      <c r="E27" s="537" t="s">
        <v>1226</v>
      </c>
      <c r="F27" s="537" t="s">
        <v>663</v>
      </c>
      <c r="G27" s="537" t="s">
        <v>661</v>
      </c>
      <c r="H27" s="539" t="s">
        <v>56</v>
      </c>
      <c r="I27" s="540" t="s">
        <v>694</v>
      </c>
      <c r="J27" s="541" t="s">
        <v>703</v>
      </c>
      <c r="K27" s="540" t="s">
        <v>698</v>
      </c>
      <c r="L27" s="550" t="s">
        <v>699</v>
      </c>
      <c r="M27" s="541" t="s">
        <v>700</v>
      </c>
      <c r="N27" s="543" t="s">
        <v>671</v>
      </c>
      <c r="O27" s="537" t="s">
        <v>705</v>
      </c>
      <c r="P27" s="537" t="s">
        <v>1220</v>
      </c>
      <c r="Q27" s="537" t="s">
        <v>663</v>
      </c>
      <c r="R27" s="537" t="s">
        <v>662</v>
      </c>
      <c r="S27" s="537" t="s">
        <v>662</v>
      </c>
      <c r="T27" s="537" t="s">
        <v>663</v>
      </c>
      <c r="U27" s="537" t="s">
        <v>663</v>
      </c>
      <c r="V27" s="537" t="s">
        <v>663</v>
      </c>
      <c r="W27" s="537" t="s">
        <v>663</v>
      </c>
      <c r="X27" s="537" t="s">
        <v>663</v>
      </c>
      <c r="Y27" s="537" t="s">
        <v>663</v>
      </c>
      <c r="Z27" s="537" t="s">
        <v>663</v>
      </c>
      <c r="AA27" s="537" t="s">
        <v>663</v>
      </c>
      <c r="AB27" s="537" t="s">
        <v>1221</v>
      </c>
      <c r="AC27" s="537" t="s">
        <v>1201</v>
      </c>
      <c r="AD27" s="545" t="str" cm="1">
        <f t="array" ref="AD27">IF(SUMPRODUCT(ISNUMBER(SEARCH("y",R27:AA27))+0)=0,"",IF(AA27="y","400G",IF(Z27="y","100G",IF(X27="y","40G",IF(V27="y","10G",IF(S27="y","1G",IF(R27="y","100M",""))))))&amp;" "&amp;AB27&amp;" "&amp;AC27)</f>
        <v>1G PHY2 BASE</v>
      </c>
      <c r="AE27" s="546" t="str">
        <f t="shared" si="11"/>
        <v>AT-IE200-6FP 1G PHY2 BASE</v>
      </c>
      <c r="AF27" s="912" t="str">
        <f t="shared" si="1"/>
        <v>ns</v>
      </c>
      <c r="AG27" s="405" t="str">
        <f t="shared" si="2"/>
        <v>.</v>
      </c>
      <c r="AH27" s="405" t="str">
        <f t="shared" si="10"/>
        <v>.</v>
      </c>
      <c r="AI27" s="405" t="str">
        <f t="shared" si="3"/>
        <v>ns</v>
      </c>
      <c r="AJ27" s="405" t="str">
        <f t="shared" si="4"/>
        <v>ns</v>
      </c>
      <c r="AK27" s="922" t="str">
        <f t="shared" si="5"/>
        <v>ns</v>
      </c>
      <c r="AL27" s="405" t="str">
        <f t="shared" si="5"/>
        <v>ns</v>
      </c>
      <c r="AM27" s="912" t="str">
        <f t="shared" si="6"/>
        <v>ns</v>
      </c>
      <c r="AN27" s="405" t="str">
        <f t="shared" si="7"/>
        <v>ns</v>
      </c>
      <c r="AO27" s="405" t="str">
        <f t="shared" si="8"/>
        <v>ns</v>
      </c>
      <c r="AP27" s="405" t="str">
        <f t="shared" si="9"/>
        <v>ns</v>
      </c>
      <c r="AQ27" s="547"/>
      <c r="AR27" t="s">
        <v>2337</v>
      </c>
    </row>
    <row r="28" spans="1:44">
      <c r="A28" s="504">
        <v>28</v>
      </c>
      <c r="B28" s="504" t="s">
        <v>47</v>
      </c>
      <c r="C28" s="505">
        <v>316</v>
      </c>
      <c r="D28" s="504" t="s">
        <v>1227</v>
      </c>
      <c r="E28" s="504" t="s">
        <v>1228</v>
      </c>
      <c r="F28" s="504" t="s">
        <v>663</v>
      </c>
      <c r="G28" s="504" t="s">
        <v>661</v>
      </c>
      <c r="H28" s="506" t="s">
        <v>744</v>
      </c>
      <c r="I28" s="515" t="s">
        <v>745</v>
      </c>
      <c r="J28" s="516" t="s">
        <v>159</v>
      </c>
      <c r="K28" s="515" t="s">
        <v>197</v>
      </c>
      <c r="L28" s="517" t="s">
        <v>197</v>
      </c>
      <c r="M28" s="516" t="s">
        <v>197</v>
      </c>
      <c r="N28" s="518" t="s">
        <v>159</v>
      </c>
      <c r="O28" s="504" t="s">
        <v>159</v>
      </c>
      <c r="P28" s="504" t="s">
        <v>197</v>
      </c>
      <c r="Q28" s="519" t="s">
        <v>663</v>
      </c>
      <c r="R28" s="519" t="s">
        <v>663</v>
      </c>
      <c r="S28" s="519" t="s">
        <v>663</v>
      </c>
      <c r="T28" s="504" t="s">
        <v>663</v>
      </c>
      <c r="U28" s="504" t="s">
        <v>663</v>
      </c>
      <c r="V28" s="519" t="s">
        <v>663</v>
      </c>
      <c r="W28" s="519" t="s">
        <v>663</v>
      </c>
      <c r="X28" s="519" t="s">
        <v>663</v>
      </c>
      <c r="Y28" s="519" t="s">
        <v>663</v>
      </c>
      <c r="Z28" s="519" t="s">
        <v>663</v>
      </c>
      <c r="AA28" s="519" t="s">
        <v>663</v>
      </c>
      <c r="AB28" s="504" t="str">
        <f t="shared" ref="AB28:AB91" si="12">IF(O28="N/A","",IF(J28="DC","DC","PHY"))</f>
        <v/>
      </c>
      <c r="AC28" s="504"/>
      <c r="AD28" s="520" t="str" cm="1">
        <f t="array" ref="AD28">IF(SUMPRODUCT(ISNUMBER(SEARCH("y",R28:AA28))+0)=0,"",IF(AA28="y","400G",IF(Z28="y","100G",IF(X28="y","40G",IF(V28="y","10G",IF(S28="y","1G",IF(R28="y","100M",""))))))&amp;" "&amp;AB28&amp;" "&amp;AC28)</f>
        <v/>
      </c>
      <c r="AE28" s="521" t="str">
        <f t="shared" si="11"/>
        <v/>
      </c>
      <c r="AF28" s="909" t="str">
        <f t="shared" si="1"/>
        <v>ns</v>
      </c>
      <c r="AG28" s="908" t="str">
        <f t="shared" si="2"/>
        <v>ns</v>
      </c>
      <c r="AH28" s="908" t="str">
        <f t="shared" si="10"/>
        <v>ns</v>
      </c>
      <c r="AI28" s="908" t="str">
        <f t="shared" si="3"/>
        <v>ns</v>
      </c>
      <c r="AJ28" s="908" t="str">
        <f t="shared" si="4"/>
        <v>ns</v>
      </c>
      <c r="AK28" s="920" t="str">
        <f t="shared" si="5"/>
        <v>ns</v>
      </c>
      <c r="AL28" s="908" t="str">
        <f t="shared" si="5"/>
        <v>ns</v>
      </c>
      <c r="AM28" s="909" t="str">
        <f t="shared" si="6"/>
        <v>ns</v>
      </c>
      <c r="AN28" s="908" t="str">
        <f t="shared" si="7"/>
        <v>ns</v>
      </c>
      <c r="AO28" s="908" t="str">
        <f t="shared" si="8"/>
        <v>ns</v>
      </c>
      <c r="AP28" s="908" t="str">
        <f t="shared" si="9"/>
        <v>ns</v>
      </c>
      <c r="AQ28" s="522"/>
      <c r="AR28" t="s">
        <v>2337</v>
      </c>
    </row>
    <row r="29" spans="1:44">
      <c r="A29" s="504">
        <v>29</v>
      </c>
      <c r="B29" s="504" t="s">
        <v>47</v>
      </c>
      <c r="C29" s="505">
        <v>376</v>
      </c>
      <c r="D29" s="504" t="s">
        <v>1229</v>
      </c>
      <c r="E29" s="504" t="s">
        <v>1230</v>
      </c>
      <c r="F29" s="504" t="s">
        <v>663</v>
      </c>
      <c r="G29" s="504" t="s">
        <v>661</v>
      </c>
      <c r="H29" s="506" t="s">
        <v>106</v>
      </c>
      <c r="I29" s="515" t="s">
        <v>747</v>
      </c>
      <c r="J29" s="516" t="s">
        <v>748</v>
      </c>
      <c r="K29" s="515" t="s">
        <v>1229</v>
      </c>
      <c r="L29" s="517" t="s">
        <v>752</v>
      </c>
      <c r="M29" s="516" t="s">
        <v>753</v>
      </c>
      <c r="N29" s="518" t="s">
        <v>740</v>
      </c>
      <c r="O29" s="519" t="s">
        <v>750</v>
      </c>
      <c r="P29" s="504" t="s">
        <v>1231</v>
      </c>
      <c r="Q29" s="519" t="s">
        <v>663</v>
      </c>
      <c r="R29" s="519" t="s">
        <v>663</v>
      </c>
      <c r="S29" s="519" t="s">
        <v>663</v>
      </c>
      <c r="T29" s="504" t="s">
        <v>663</v>
      </c>
      <c r="U29" s="504" t="s">
        <v>663</v>
      </c>
      <c r="V29" s="504" t="s">
        <v>662</v>
      </c>
      <c r="W29" s="504" t="s">
        <v>663</v>
      </c>
      <c r="X29" s="504" t="s">
        <v>663</v>
      </c>
      <c r="Y29" s="519" t="s">
        <v>663</v>
      </c>
      <c r="Z29" s="519" t="s">
        <v>663</v>
      </c>
      <c r="AA29" s="519" t="s">
        <v>663</v>
      </c>
      <c r="AB29" s="519" t="str">
        <f t="shared" si="12"/>
        <v>PHY</v>
      </c>
      <c r="AC29" s="519" t="s">
        <v>1192</v>
      </c>
      <c r="AD29" s="551" t="str" cm="1">
        <f t="array" ref="AD29">IF(SUMPRODUCT(ISNUMBER(SEARCH("y",R29:AA29))+0)=0,"",IF(AA29="y","400G",IF(Z29="y","100G",IF(X29="y","40G",IF(V29="y","10G",IF(S29="y","1G",IF(R29="y","100M",""))))))&amp;" "&amp;AB29&amp;" "&amp;AC29)</f>
        <v>10G PHY UPLINK</v>
      </c>
      <c r="AE29" s="521" t="str">
        <f t="shared" si="11"/>
        <v>AT-SBx81CFC960 10G PHY UPLINK</v>
      </c>
      <c r="AF29" s="909" t="str">
        <f t="shared" si="1"/>
        <v>ns</v>
      </c>
      <c r="AG29" s="908" t="str">
        <f t="shared" si="2"/>
        <v>ns</v>
      </c>
      <c r="AH29" s="908" t="str">
        <f t="shared" si="10"/>
        <v>ns</v>
      </c>
      <c r="AI29" s="908" t="str">
        <f t="shared" si="3"/>
        <v>ns</v>
      </c>
      <c r="AJ29" s="908" t="str">
        <f t="shared" si="4"/>
        <v>ns</v>
      </c>
      <c r="AK29" s="920" t="s">
        <v>2278</v>
      </c>
      <c r="AL29" s="908" t="str">
        <f t="shared" si="5"/>
        <v>ns</v>
      </c>
      <c r="AM29" s="909" t="str">
        <f t="shared" si="6"/>
        <v>ns</v>
      </c>
      <c r="AN29" s="908" t="str">
        <f t="shared" si="7"/>
        <v>ns</v>
      </c>
      <c r="AO29" s="908" t="str">
        <f t="shared" si="8"/>
        <v>ns</v>
      </c>
      <c r="AP29" s="908" t="str">
        <f t="shared" si="9"/>
        <v>ns</v>
      </c>
      <c r="AQ29" s="522"/>
      <c r="AR29" t="s">
        <v>2337</v>
      </c>
    </row>
    <row r="30" spans="1:44">
      <c r="A30" s="504">
        <v>30</v>
      </c>
      <c r="B30" s="504" t="s">
        <v>47</v>
      </c>
      <c r="C30" s="552">
        <v>379</v>
      </c>
      <c r="D30" s="519" t="s">
        <v>1229</v>
      </c>
      <c r="E30" s="504" t="s">
        <v>1232</v>
      </c>
      <c r="F30" s="504" t="s">
        <v>663</v>
      </c>
      <c r="G30" s="504" t="s">
        <v>661</v>
      </c>
      <c r="H30" s="506" t="s">
        <v>106</v>
      </c>
      <c r="I30" s="515" t="s">
        <v>747</v>
      </c>
      <c r="J30" s="516" t="s">
        <v>755</v>
      </c>
      <c r="K30" s="515" t="s">
        <v>1233</v>
      </c>
      <c r="L30" s="517" t="s">
        <v>659</v>
      </c>
      <c r="M30" s="516" t="s">
        <v>759</v>
      </c>
      <c r="N30" s="518" t="s">
        <v>740</v>
      </c>
      <c r="O30" s="519" t="s">
        <v>750</v>
      </c>
      <c r="P30" s="504" t="s">
        <v>1231</v>
      </c>
      <c r="Q30" s="519" t="s">
        <v>663</v>
      </c>
      <c r="R30" s="519" t="s">
        <v>663</v>
      </c>
      <c r="S30" s="504" t="s">
        <v>662</v>
      </c>
      <c r="T30" s="504" t="s">
        <v>663</v>
      </c>
      <c r="U30" s="504" t="s">
        <v>663</v>
      </c>
      <c r="V30" s="504" t="s">
        <v>662</v>
      </c>
      <c r="W30" s="504" t="s">
        <v>663</v>
      </c>
      <c r="X30" s="504" t="s">
        <v>663</v>
      </c>
      <c r="Y30" s="519" t="s">
        <v>663</v>
      </c>
      <c r="Z30" s="519" t="s">
        <v>663</v>
      </c>
      <c r="AA30" s="519" t="s">
        <v>663</v>
      </c>
      <c r="AB30" s="519" t="str">
        <f t="shared" si="12"/>
        <v>PHY</v>
      </c>
      <c r="AC30" s="519" t="s">
        <v>1192</v>
      </c>
      <c r="AD30" s="551" t="str" cm="1">
        <f t="array" ref="AD30">IF(SUMPRODUCT(ISNUMBER(SEARCH("y",R30:AA30))+0)=0,"",IF(AA30="y","400G",IF(Z30="y","100G",IF(X30="y","40G",IF(V30="y","10G",IF(S30="y","1G",IF(R30="y","100M",""))))))&amp;" "&amp;AB30&amp;" "&amp;AC30)</f>
        <v>10G PHY UPLINK</v>
      </c>
      <c r="AE30" s="521" t="str">
        <f t="shared" si="11"/>
        <v>AT-SBx81CFC960v2 10G PHY UPLINK</v>
      </c>
      <c r="AF30" s="909" t="str">
        <f t="shared" si="1"/>
        <v>ns</v>
      </c>
      <c r="AG30" s="908" t="str">
        <f t="shared" si="2"/>
        <v>ns</v>
      </c>
      <c r="AH30" s="908" t="s">
        <v>2252</v>
      </c>
      <c r="AI30" s="908" t="str">
        <f t="shared" si="3"/>
        <v>ns</v>
      </c>
      <c r="AJ30" s="908" t="str">
        <f t="shared" si="4"/>
        <v>ns</v>
      </c>
      <c r="AK30" s="920" t="s">
        <v>2278</v>
      </c>
      <c r="AL30" s="908" t="str">
        <f t="shared" si="5"/>
        <v>ns</v>
      </c>
      <c r="AM30" s="909" t="str">
        <f t="shared" si="6"/>
        <v>ns</v>
      </c>
      <c r="AN30" s="908" t="str">
        <f t="shared" si="7"/>
        <v>ns</v>
      </c>
      <c r="AO30" s="908" t="str">
        <f t="shared" si="8"/>
        <v>ns</v>
      </c>
      <c r="AP30" s="908" t="str">
        <f t="shared" si="9"/>
        <v>ns</v>
      </c>
      <c r="AQ30" s="522" t="s">
        <v>2279</v>
      </c>
      <c r="AR30" t="s">
        <v>2337</v>
      </c>
    </row>
    <row r="31" spans="1:44">
      <c r="A31" s="504">
        <v>31</v>
      </c>
      <c r="B31" s="504" t="s">
        <v>47</v>
      </c>
      <c r="C31" s="505">
        <v>587</v>
      </c>
      <c r="D31" s="504" t="s">
        <v>1234</v>
      </c>
      <c r="E31" s="504" t="s">
        <v>1235</v>
      </c>
      <c r="F31" s="504" t="s">
        <v>663</v>
      </c>
      <c r="G31" s="504" t="s">
        <v>661</v>
      </c>
      <c r="H31" s="506" t="s">
        <v>106</v>
      </c>
      <c r="I31" s="515" t="s">
        <v>747</v>
      </c>
      <c r="J31" s="516" t="s">
        <v>755</v>
      </c>
      <c r="K31" s="515" t="s">
        <v>1233</v>
      </c>
      <c r="L31" s="523" t="s">
        <v>197</v>
      </c>
      <c r="M31" s="524" t="s">
        <v>197</v>
      </c>
      <c r="N31" s="518" t="s">
        <v>740</v>
      </c>
      <c r="O31" s="519" t="s">
        <v>750</v>
      </c>
      <c r="P31" s="504" t="s">
        <v>1231</v>
      </c>
      <c r="Q31" s="519" t="s">
        <v>663</v>
      </c>
      <c r="R31" s="519" t="s">
        <v>663</v>
      </c>
      <c r="S31" s="504" t="s">
        <v>662</v>
      </c>
      <c r="T31" s="504" t="s">
        <v>663</v>
      </c>
      <c r="U31" s="504" t="s">
        <v>663</v>
      </c>
      <c r="V31" s="504" t="s">
        <v>662</v>
      </c>
      <c r="W31" s="504" t="s">
        <v>663</v>
      </c>
      <c r="X31" s="504" t="s">
        <v>663</v>
      </c>
      <c r="Y31" s="519" t="s">
        <v>663</v>
      </c>
      <c r="Z31" s="519" t="s">
        <v>663</v>
      </c>
      <c r="AA31" s="519" t="s">
        <v>663</v>
      </c>
      <c r="AB31" s="519" t="str">
        <f t="shared" si="12"/>
        <v>PHY</v>
      </c>
      <c r="AC31" s="519" t="s">
        <v>1192</v>
      </c>
      <c r="AD31" s="551" t="str" cm="1">
        <f t="array" ref="AD31">IF(SUMPRODUCT(ISNUMBER(SEARCH("y",R31:AA31))+0)=0,"",IF(AA31="y","400G",IF(Z31="y","100G",IF(X31="y","40G",IF(V31="y","10G",IF(S31="y","1G",IF(R31="y","100M",""))))))&amp;" "&amp;AB31&amp;" "&amp;AC31)</f>
        <v>10G PHY UPLINK</v>
      </c>
      <c r="AE31" s="521" t="str">
        <f t="shared" si="11"/>
        <v>AT-SBx81CFC960v2 10G PHY UPLINK</v>
      </c>
      <c r="AF31" s="909" t="str">
        <f t="shared" si="1"/>
        <v>ns</v>
      </c>
      <c r="AG31" s="908" t="str">
        <f t="shared" si="2"/>
        <v>ns</v>
      </c>
      <c r="AH31" s="908" t="s">
        <v>2278</v>
      </c>
      <c r="AI31" s="908" t="str">
        <f t="shared" si="3"/>
        <v>ns</v>
      </c>
      <c r="AJ31" s="908" t="str">
        <f t="shared" si="4"/>
        <v>ns</v>
      </c>
      <c r="AK31" s="920" t="s">
        <v>2278</v>
      </c>
      <c r="AL31" s="908" t="str">
        <f t="shared" si="5"/>
        <v>ns</v>
      </c>
      <c r="AM31" s="909" t="str">
        <f t="shared" si="6"/>
        <v>ns</v>
      </c>
      <c r="AN31" s="908" t="str">
        <f t="shared" si="7"/>
        <v>ns</v>
      </c>
      <c r="AO31" s="908" t="str">
        <f t="shared" si="8"/>
        <v>ns</v>
      </c>
      <c r="AP31" s="908" t="str">
        <f t="shared" si="9"/>
        <v>ns</v>
      </c>
      <c r="AQ31" s="522"/>
      <c r="AR31" t="s">
        <v>2337</v>
      </c>
    </row>
    <row r="32" spans="1:44">
      <c r="A32" s="504">
        <v>32</v>
      </c>
      <c r="B32" s="504" t="s">
        <v>47</v>
      </c>
      <c r="C32" s="505">
        <v>317</v>
      </c>
      <c r="D32" s="504" t="s">
        <v>1236</v>
      </c>
      <c r="E32" s="504" t="s">
        <v>1237</v>
      </c>
      <c r="F32" s="504" t="s">
        <v>663</v>
      </c>
      <c r="G32" s="504" t="s">
        <v>764</v>
      </c>
      <c r="H32" s="506" t="s">
        <v>761</v>
      </c>
      <c r="I32" s="515" t="s">
        <v>762</v>
      </c>
      <c r="J32" s="516" t="s">
        <v>763</v>
      </c>
      <c r="K32" s="515" t="s">
        <v>1236</v>
      </c>
      <c r="L32" s="553" t="s">
        <v>159</v>
      </c>
      <c r="M32" s="554" t="s">
        <v>159</v>
      </c>
      <c r="N32" s="518" t="s">
        <v>159</v>
      </c>
      <c r="O32" s="504" t="s">
        <v>159</v>
      </c>
      <c r="P32" s="504" t="s">
        <v>197</v>
      </c>
      <c r="Q32" s="519" t="s">
        <v>663</v>
      </c>
      <c r="R32" s="519" t="s">
        <v>663</v>
      </c>
      <c r="S32" s="519" t="s">
        <v>663</v>
      </c>
      <c r="T32" s="504" t="s">
        <v>663</v>
      </c>
      <c r="U32" s="504" t="s">
        <v>663</v>
      </c>
      <c r="V32" s="504" t="s">
        <v>663</v>
      </c>
      <c r="W32" s="504" t="s">
        <v>663</v>
      </c>
      <c r="X32" s="504" t="s">
        <v>663</v>
      </c>
      <c r="Y32" s="519" t="s">
        <v>663</v>
      </c>
      <c r="Z32" s="519" t="s">
        <v>663</v>
      </c>
      <c r="AA32" s="519" t="s">
        <v>663</v>
      </c>
      <c r="AB32" s="519" t="str">
        <f t="shared" si="12"/>
        <v/>
      </c>
      <c r="AC32" s="519"/>
      <c r="AD32" s="551" t="str" cm="1">
        <f t="array" ref="AD32">IF(SUMPRODUCT(ISNUMBER(SEARCH("y",R32:AA32))+0)=0,"",IF(AA32="y","400G",IF(Z32="y","100G",IF(X32="y","40G",IF(V32="y","10G",IF(S32="y","1G",IF(R32="y","100M",""))))))&amp;" "&amp;AB32&amp;" "&amp;AC32)</f>
        <v/>
      </c>
      <c r="AE32" s="521" t="str">
        <f t="shared" si="11"/>
        <v xml:space="preserve">AT-SBx81GP24 </v>
      </c>
      <c r="AF32" s="909" t="str">
        <f t="shared" si="1"/>
        <v>ns</v>
      </c>
      <c r="AG32" s="908" t="str">
        <f t="shared" si="2"/>
        <v>ns</v>
      </c>
      <c r="AH32" s="908" t="str">
        <f t="shared" si="10"/>
        <v>ns</v>
      </c>
      <c r="AI32" s="908" t="str">
        <f t="shared" si="3"/>
        <v>ns</v>
      </c>
      <c r="AJ32" s="908" t="str">
        <f t="shared" si="4"/>
        <v>ns</v>
      </c>
      <c r="AK32" s="920" t="str">
        <f t="shared" si="5"/>
        <v>ns</v>
      </c>
      <c r="AL32" s="908" t="str">
        <f t="shared" si="5"/>
        <v>ns</v>
      </c>
      <c r="AM32" s="909" t="str">
        <f t="shared" si="6"/>
        <v>ns</v>
      </c>
      <c r="AN32" s="908" t="str">
        <f t="shared" si="7"/>
        <v>ns</v>
      </c>
      <c r="AO32" s="908" t="str">
        <f t="shared" si="8"/>
        <v>ns</v>
      </c>
      <c r="AP32" s="908" t="str">
        <f t="shared" si="9"/>
        <v>ns</v>
      </c>
      <c r="AQ32" s="522"/>
      <c r="AR32" t="s">
        <v>2337</v>
      </c>
    </row>
    <row r="33" spans="1:44">
      <c r="A33" s="504">
        <v>33</v>
      </c>
      <c r="B33" s="504" t="s">
        <v>47</v>
      </c>
      <c r="C33" s="505">
        <v>318</v>
      </c>
      <c r="D33" s="504" t="s">
        <v>1238</v>
      </c>
      <c r="E33" s="504" t="s">
        <v>1239</v>
      </c>
      <c r="F33" s="504" t="s">
        <v>663</v>
      </c>
      <c r="G33" s="504" t="s">
        <v>725</v>
      </c>
      <c r="H33" s="506" t="s">
        <v>761</v>
      </c>
      <c r="I33" s="515" t="s">
        <v>799</v>
      </c>
      <c r="J33" s="516" t="s">
        <v>808</v>
      </c>
      <c r="K33" s="515" t="s">
        <v>1238</v>
      </c>
      <c r="L33" s="517" t="s">
        <v>809</v>
      </c>
      <c r="M33" s="516" t="s">
        <v>810</v>
      </c>
      <c r="N33" s="518" t="s">
        <v>159</v>
      </c>
      <c r="O33" s="504" t="s">
        <v>159</v>
      </c>
      <c r="P33" s="504" t="s">
        <v>197</v>
      </c>
      <c r="Q33" s="519" t="s">
        <v>663</v>
      </c>
      <c r="R33" s="519" t="s">
        <v>663</v>
      </c>
      <c r="S33" s="519" t="s">
        <v>663</v>
      </c>
      <c r="T33" s="504" t="s">
        <v>663</v>
      </c>
      <c r="U33" s="504" t="s">
        <v>663</v>
      </c>
      <c r="V33" s="504" t="s">
        <v>663</v>
      </c>
      <c r="W33" s="504" t="s">
        <v>663</v>
      </c>
      <c r="X33" s="504" t="s">
        <v>663</v>
      </c>
      <c r="Y33" s="504" t="s">
        <v>663</v>
      </c>
      <c r="Z33" s="504" t="s">
        <v>663</v>
      </c>
      <c r="AA33" s="504" t="s">
        <v>663</v>
      </c>
      <c r="AB33" s="519" t="str">
        <f t="shared" si="12"/>
        <v/>
      </c>
      <c r="AC33" s="519"/>
      <c r="AD33" s="551" t="str" cm="1">
        <f t="array" ref="AD33">IF(SUMPRODUCT(ISNUMBER(SEARCH("y",R33:AA33))+0)=0,"",IF(AA33="y","400G",IF(Z33="y","100G",IF(X33="y","40G",IF(V33="y","10G",IF(S33="y","1G",IF(R33="y","100M",""))))))&amp;" "&amp;AB33&amp;" "&amp;AC33)</f>
        <v/>
      </c>
      <c r="AE33" s="521" t="str">
        <f t="shared" si="11"/>
        <v xml:space="preserve">AT-SBx81XZ4 </v>
      </c>
      <c r="AF33" s="909" t="str">
        <f t="shared" si="1"/>
        <v>ns</v>
      </c>
      <c r="AG33" s="908" t="str">
        <f t="shared" si="2"/>
        <v>ns</v>
      </c>
      <c r="AH33" s="908" t="str">
        <f t="shared" si="10"/>
        <v>ns</v>
      </c>
      <c r="AI33" s="908" t="str">
        <f t="shared" si="3"/>
        <v>ns</v>
      </c>
      <c r="AJ33" s="908" t="str">
        <f t="shared" si="4"/>
        <v>ns</v>
      </c>
      <c r="AK33" s="920" t="str">
        <f t="shared" si="5"/>
        <v>ns</v>
      </c>
      <c r="AL33" s="908" t="str">
        <f t="shared" si="5"/>
        <v>ns</v>
      </c>
      <c r="AM33" s="909" t="str">
        <f t="shared" si="6"/>
        <v>ns</v>
      </c>
      <c r="AN33" s="908" t="str">
        <f t="shared" si="7"/>
        <v>ns</v>
      </c>
      <c r="AO33" s="908" t="str">
        <f t="shared" si="8"/>
        <v>ns</v>
      </c>
      <c r="AP33" s="908" t="str">
        <f t="shared" si="9"/>
        <v>ns</v>
      </c>
      <c r="AQ33" s="522"/>
      <c r="AR33" t="s">
        <v>2337</v>
      </c>
    </row>
    <row r="34" spans="1:44">
      <c r="A34" s="504">
        <v>34</v>
      </c>
      <c r="B34" s="504" t="s">
        <v>47</v>
      </c>
      <c r="C34" s="505">
        <v>351</v>
      </c>
      <c r="D34" s="504" t="s">
        <v>1240</v>
      </c>
      <c r="E34" s="504" t="s">
        <v>1241</v>
      </c>
      <c r="F34" s="504" t="s">
        <v>663</v>
      </c>
      <c r="G34" s="504" t="s">
        <v>661</v>
      </c>
      <c r="H34" s="506" t="s">
        <v>761</v>
      </c>
      <c r="I34" s="515" t="s">
        <v>762</v>
      </c>
      <c r="J34" s="516" t="s">
        <v>763</v>
      </c>
      <c r="K34" s="515" t="s">
        <v>1240</v>
      </c>
      <c r="L34" s="553" t="s">
        <v>159</v>
      </c>
      <c r="M34" s="554" t="s">
        <v>159</v>
      </c>
      <c r="N34" s="518" t="s">
        <v>159</v>
      </c>
      <c r="O34" s="504" t="s">
        <v>159</v>
      </c>
      <c r="P34" s="504" t="s">
        <v>197</v>
      </c>
      <c r="Q34" s="519" t="s">
        <v>663</v>
      </c>
      <c r="R34" s="519" t="s">
        <v>663</v>
      </c>
      <c r="S34" s="519" t="s">
        <v>663</v>
      </c>
      <c r="T34" s="504" t="s">
        <v>663</v>
      </c>
      <c r="U34" s="504" t="s">
        <v>663</v>
      </c>
      <c r="V34" s="504" t="s">
        <v>663</v>
      </c>
      <c r="W34" s="504" t="s">
        <v>663</v>
      </c>
      <c r="X34" s="504" t="s">
        <v>663</v>
      </c>
      <c r="Y34" s="504" t="s">
        <v>663</v>
      </c>
      <c r="Z34" s="504" t="s">
        <v>663</v>
      </c>
      <c r="AA34" s="504" t="s">
        <v>663</v>
      </c>
      <c r="AB34" s="519" t="str">
        <f t="shared" si="12"/>
        <v/>
      </c>
      <c r="AC34" s="519"/>
      <c r="AD34" s="551" t="str" cm="1">
        <f t="array" ref="AD34">IF(SUMPRODUCT(ISNUMBER(SEARCH("y",R34:AA34))+0)=0,"",IF(AA34="y","400G",IF(Z34="y","100G",IF(X34="y","40G",IF(V34="y","10G",IF(S34="y","1G",IF(R34="y","100M",""))))))&amp;" "&amp;AB34&amp;" "&amp;AC34)</f>
        <v/>
      </c>
      <c r="AE34" s="521" t="str">
        <f t="shared" si="11"/>
        <v xml:space="preserve">AT-SBx81GT24 </v>
      </c>
      <c r="AF34" s="909" t="str">
        <f t="shared" si="1"/>
        <v>ns</v>
      </c>
      <c r="AG34" s="908" t="str">
        <f t="shared" si="2"/>
        <v>ns</v>
      </c>
      <c r="AH34" s="908" t="str">
        <f t="shared" si="10"/>
        <v>ns</v>
      </c>
      <c r="AI34" s="908" t="str">
        <f t="shared" si="3"/>
        <v>ns</v>
      </c>
      <c r="AJ34" s="908" t="str">
        <f t="shared" si="4"/>
        <v>ns</v>
      </c>
      <c r="AK34" s="920" t="str">
        <f t="shared" si="5"/>
        <v>ns</v>
      </c>
      <c r="AL34" s="908" t="str">
        <f t="shared" si="5"/>
        <v>ns</v>
      </c>
      <c r="AM34" s="909" t="str">
        <f t="shared" si="6"/>
        <v>ns</v>
      </c>
      <c r="AN34" s="908" t="str">
        <f t="shared" si="7"/>
        <v>ns</v>
      </c>
      <c r="AO34" s="908" t="str">
        <f t="shared" si="8"/>
        <v>ns</v>
      </c>
      <c r="AP34" s="908" t="str">
        <f t="shared" si="9"/>
        <v>ns</v>
      </c>
      <c r="AQ34" s="522"/>
      <c r="AR34" t="s">
        <v>2337</v>
      </c>
    </row>
    <row r="35" spans="1:44">
      <c r="A35" s="504">
        <v>35</v>
      </c>
      <c r="B35" s="504" t="s">
        <v>47</v>
      </c>
      <c r="C35" s="505">
        <v>352</v>
      </c>
      <c r="D35" s="504" t="s">
        <v>1242</v>
      </c>
      <c r="E35" s="504" t="s">
        <v>1243</v>
      </c>
      <c r="F35" s="504" t="s">
        <v>663</v>
      </c>
      <c r="G35" s="504" t="s">
        <v>661</v>
      </c>
      <c r="H35" s="506" t="s">
        <v>761</v>
      </c>
      <c r="I35" s="515" t="s">
        <v>766</v>
      </c>
      <c r="J35" s="516" t="s">
        <v>767</v>
      </c>
      <c r="K35" s="515" t="s">
        <v>1242</v>
      </c>
      <c r="L35" s="517" t="s">
        <v>752</v>
      </c>
      <c r="M35" s="516" t="s">
        <v>771</v>
      </c>
      <c r="N35" s="518" t="s">
        <v>671</v>
      </c>
      <c r="O35" s="519" t="s">
        <v>769</v>
      </c>
      <c r="P35" s="504" t="s">
        <v>827</v>
      </c>
      <c r="Q35" s="519" t="s">
        <v>663</v>
      </c>
      <c r="R35" s="519" t="s">
        <v>662</v>
      </c>
      <c r="S35" s="504" t="s">
        <v>662</v>
      </c>
      <c r="T35" s="504" t="s">
        <v>663</v>
      </c>
      <c r="U35" s="504" t="s">
        <v>663</v>
      </c>
      <c r="V35" s="504" t="s">
        <v>663</v>
      </c>
      <c r="W35" s="504" t="s">
        <v>663</v>
      </c>
      <c r="X35" s="504" t="s">
        <v>663</v>
      </c>
      <c r="Y35" s="504" t="s">
        <v>663</v>
      </c>
      <c r="Z35" s="504" t="s">
        <v>663</v>
      </c>
      <c r="AA35" s="504" t="s">
        <v>663</v>
      </c>
      <c r="AB35" s="519" t="str">
        <f t="shared" si="12"/>
        <v>PHY</v>
      </c>
      <c r="AC35" s="519" t="s">
        <v>1244</v>
      </c>
      <c r="AD35" s="551" t="str" cm="1">
        <f t="array" ref="AD35">IF(SUMPRODUCT(ISNUMBER(SEARCH("y",R35:AA35))+0)=0,"",IF(AA35="y","400G",IF(Z35="y","100G",IF(X35="y","40G",IF(V35="y","10G",IF(S35="y","1G",IF(R35="y","100M",""))))))&amp;" "&amp;AB35&amp;" "&amp;AC35)</f>
        <v>1G PHY SFP</v>
      </c>
      <c r="AE35" s="521" t="str">
        <f t="shared" si="11"/>
        <v>AT-SBx81GS24a 1G PHY SFP</v>
      </c>
      <c r="AF35" s="909" t="str">
        <f t="shared" si="1"/>
        <v>ns</v>
      </c>
      <c r="AG35" s="908" t="s">
        <v>2252</v>
      </c>
      <c r="AH35" s="908" t="s">
        <v>2252</v>
      </c>
      <c r="AI35" s="908" t="str">
        <f t="shared" si="3"/>
        <v>ns</v>
      </c>
      <c r="AJ35" s="908" t="str">
        <f t="shared" si="4"/>
        <v>ns</v>
      </c>
      <c r="AK35" s="920" t="str">
        <f t="shared" si="5"/>
        <v>ns</v>
      </c>
      <c r="AL35" s="908" t="str">
        <f t="shared" si="5"/>
        <v>ns</v>
      </c>
      <c r="AM35" s="909" t="str">
        <f t="shared" si="6"/>
        <v>ns</v>
      </c>
      <c r="AN35" s="908" t="str">
        <f t="shared" si="7"/>
        <v>ns</v>
      </c>
      <c r="AO35" s="908" t="str">
        <f t="shared" si="8"/>
        <v>ns</v>
      </c>
      <c r="AP35" s="908" t="str">
        <f t="shared" si="9"/>
        <v>ns</v>
      </c>
      <c r="AQ35" s="522"/>
      <c r="AR35" t="s">
        <v>2337</v>
      </c>
    </row>
    <row r="36" spans="1:44">
      <c r="A36" s="504">
        <v>36</v>
      </c>
      <c r="B36" s="504" t="s">
        <v>47</v>
      </c>
      <c r="C36" s="505">
        <v>353</v>
      </c>
      <c r="D36" s="504" t="s">
        <v>1245</v>
      </c>
      <c r="E36" s="504" t="s">
        <v>1246</v>
      </c>
      <c r="F36" s="504" t="s">
        <v>663</v>
      </c>
      <c r="G36" s="504" t="s">
        <v>661</v>
      </c>
      <c r="H36" s="506" t="s">
        <v>761</v>
      </c>
      <c r="I36" s="515" t="s">
        <v>799</v>
      </c>
      <c r="J36" s="516" t="s">
        <v>748</v>
      </c>
      <c r="K36" s="515" t="s">
        <v>1245</v>
      </c>
      <c r="L36" s="517" t="s">
        <v>674</v>
      </c>
      <c r="M36" s="516" t="s">
        <v>801</v>
      </c>
      <c r="N36" s="518" t="s">
        <v>740</v>
      </c>
      <c r="O36" s="519" t="s">
        <v>800</v>
      </c>
      <c r="P36" s="504" t="s">
        <v>1231</v>
      </c>
      <c r="Q36" s="519" t="s">
        <v>663</v>
      </c>
      <c r="R36" s="519" t="s">
        <v>663</v>
      </c>
      <c r="S36" s="519" t="s">
        <v>663</v>
      </c>
      <c r="T36" s="504" t="s">
        <v>663</v>
      </c>
      <c r="U36" s="504" t="s">
        <v>663</v>
      </c>
      <c r="V36" s="504" t="s">
        <v>662</v>
      </c>
      <c r="W36" s="504" t="s">
        <v>663</v>
      </c>
      <c r="X36" s="504" t="s">
        <v>663</v>
      </c>
      <c r="Y36" s="504" t="s">
        <v>663</v>
      </c>
      <c r="Z36" s="504" t="s">
        <v>663</v>
      </c>
      <c r="AA36" s="504" t="s">
        <v>663</v>
      </c>
      <c r="AB36" s="519" t="str">
        <f t="shared" si="12"/>
        <v>PHY</v>
      </c>
      <c r="AC36" s="519" t="s">
        <v>1247</v>
      </c>
      <c r="AD36" s="551" t="str" cm="1">
        <f t="array" ref="AD36">IF(SUMPRODUCT(ISNUMBER(SEARCH("y",R36:AA36))+0)=0,"",IF(AA36="y","400G",IF(Z36="y","100G",IF(X36="y","40G",IF(V36="y","10G",IF(S36="y","1G",IF(R36="y","100M",""))))))&amp;" "&amp;AB36&amp;" "&amp;AC36)</f>
        <v>10G PHY SFP+</v>
      </c>
      <c r="AE36" s="521" t="str">
        <f t="shared" si="11"/>
        <v>AT-SBx81XS6 10G PHY SFP+</v>
      </c>
      <c r="AF36" s="909" t="str">
        <f t="shared" si="1"/>
        <v>ns</v>
      </c>
      <c r="AG36" s="908" t="str">
        <f t="shared" si="2"/>
        <v>ns</v>
      </c>
      <c r="AH36" s="908" t="str">
        <f t="shared" si="10"/>
        <v>ns</v>
      </c>
      <c r="AI36" s="908" t="str">
        <f t="shared" si="3"/>
        <v>ns</v>
      </c>
      <c r="AJ36" s="908" t="str">
        <f t="shared" si="4"/>
        <v>ns</v>
      </c>
      <c r="AK36" s="920" t="s">
        <v>2252</v>
      </c>
      <c r="AL36" s="908" t="str">
        <f t="shared" si="5"/>
        <v>ns</v>
      </c>
      <c r="AM36" s="909" t="str">
        <f t="shared" si="6"/>
        <v>ns</v>
      </c>
      <c r="AN36" s="908" t="str">
        <f t="shared" si="7"/>
        <v>ns</v>
      </c>
      <c r="AO36" s="908" t="str">
        <f t="shared" si="8"/>
        <v>ns</v>
      </c>
      <c r="AP36" s="908" t="str">
        <f t="shared" si="9"/>
        <v>ns</v>
      </c>
      <c r="AQ36" s="522"/>
      <c r="AR36" t="s">
        <v>2337</v>
      </c>
    </row>
    <row r="37" spans="1:44">
      <c r="A37" s="504">
        <v>37</v>
      </c>
      <c r="B37" s="504" t="s">
        <v>47</v>
      </c>
      <c r="C37" s="505">
        <v>380</v>
      </c>
      <c r="D37" s="504" t="s">
        <v>1248</v>
      </c>
      <c r="E37" s="504" t="s">
        <v>1249</v>
      </c>
      <c r="F37" s="504" t="s">
        <v>663</v>
      </c>
      <c r="G37" s="504" t="s">
        <v>661</v>
      </c>
      <c r="H37" s="506" t="s">
        <v>761</v>
      </c>
      <c r="I37" s="515" t="s">
        <v>774</v>
      </c>
      <c r="J37" s="516" t="s">
        <v>775</v>
      </c>
      <c r="K37" s="515" t="s">
        <v>1248</v>
      </c>
      <c r="L37" s="553" t="s">
        <v>159</v>
      </c>
      <c r="M37" s="554" t="s">
        <v>159</v>
      </c>
      <c r="N37" s="518" t="s">
        <v>159</v>
      </c>
      <c r="O37" s="504" t="s">
        <v>159</v>
      </c>
      <c r="P37" s="504" t="s">
        <v>197</v>
      </c>
      <c r="Q37" s="519" t="s">
        <v>663</v>
      </c>
      <c r="R37" s="519" t="s">
        <v>663</v>
      </c>
      <c r="S37" s="519" t="s">
        <v>663</v>
      </c>
      <c r="T37" s="504" t="s">
        <v>663</v>
      </c>
      <c r="U37" s="504" t="s">
        <v>663</v>
      </c>
      <c r="V37" s="504" t="s">
        <v>663</v>
      </c>
      <c r="W37" s="504" t="s">
        <v>663</v>
      </c>
      <c r="X37" s="504" t="s">
        <v>663</v>
      </c>
      <c r="Y37" s="504" t="s">
        <v>663</v>
      </c>
      <c r="Z37" s="504" t="s">
        <v>663</v>
      </c>
      <c r="AA37" s="504" t="s">
        <v>663</v>
      </c>
      <c r="AB37" s="519" t="str">
        <f t="shared" si="12"/>
        <v/>
      </c>
      <c r="AC37" s="519"/>
      <c r="AD37" s="551" t="str" cm="1">
        <f t="array" ref="AD37">IF(SUMPRODUCT(ISNUMBER(SEARCH("y",R37:AA37))+0)=0,"",IF(AA37="y","400G",IF(Z37="y","100G",IF(X37="y","40G",IF(V37="y","10G",IF(S37="y","1G",IF(R37="y","100M",""))))))&amp;" "&amp;AB37&amp;" "&amp;AC37)</f>
        <v/>
      </c>
      <c r="AE37" s="521" t="str">
        <f t="shared" si="11"/>
        <v xml:space="preserve">AT-SBx81GT40 </v>
      </c>
      <c r="AF37" s="909" t="str">
        <f t="shared" si="1"/>
        <v>ns</v>
      </c>
      <c r="AG37" s="908" t="str">
        <f t="shared" si="2"/>
        <v>ns</v>
      </c>
      <c r="AH37" s="908" t="str">
        <f t="shared" si="10"/>
        <v>ns</v>
      </c>
      <c r="AI37" s="908" t="str">
        <f t="shared" si="3"/>
        <v>ns</v>
      </c>
      <c r="AJ37" s="908" t="str">
        <f t="shared" si="4"/>
        <v>ns</v>
      </c>
      <c r="AK37" s="920" t="str">
        <f t="shared" si="5"/>
        <v>ns</v>
      </c>
      <c r="AL37" s="908" t="str">
        <f t="shared" si="5"/>
        <v>ns</v>
      </c>
      <c r="AM37" s="909" t="str">
        <f t="shared" si="6"/>
        <v>ns</v>
      </c>
      <c r="AN37" s="908" t="str">
        <f t="shared" si="7"/>
        <v>ns</v>
      </c>
      <c r="AO37" s="908" t="str">
        <f t="shared" si="8"/>
        <v>ns</v>
      </c>
      <c r="AP37" s="908" t="str">
        <f t="shared" si="9"/>
        <v>ns</v>
      </c>
      <c r="AQ37" s="522"/>
      <c r="AR37" t="s">
        <v>2337</v>
      </c>
    </row>
    <row r="38" spans="1:44">
      <c r="A38" s="504">
        <v>38</v>
      </c>
      <c r="B38" s="504" t="s">
        <v>47</v>
      </c>
      <c r="C38" s="505">
        <v>381</v>
      </c>
      <c r="D38" s="504" t="s">
        <v>1250</v>
      </c>
      <c r="E38" s="504" t="s">
        <v>1251</v>
      </c>
      <c r="F38" s="504" t="s">
        <v>663</v>
      </c>
      <c r="G38" s="504" t="s">
        <v>661</v>
      </c>
      <c r="H38" s="506" t="s">
        <v>761</v>
      </c>
      <c r="I38" s="515" t="s">
        <v>803</v>
      </c>
      <c r="J38" s="516" t="s">
        <v>748</v>
      </c>
      <c r="K38" s="515" t="s">
        <v>1250</v>
      </c>
      <c r="L38" s="517" t="s">
        <v>674</v>
      </c>
      <c r="M38" s="516" t="s">
        <v>806</v>
      </c>
      <c r="N38" s="518" t="s">
        <v>740</v>
      </c>
      <c r="O38" s="519" t="s">
        <v>804</v>
      </c>
      <c r="P38" s="504" t="s">
        <v>1231</v>
      </c>
      <c r="Q38" s="519" t="s">
        <v>663</v>
      </c>
      <c r="R38" s="519" t="s">
        <v>663</v>
      </c>
      <c r="S38" s="519" t="s">
        <v>663</v>
      </c>
      <c r="T38" s="504" t="s">
        <v>663</v>
      </c>
      <c r="U38" s="504" t="s">
        <v>663</v>
      </c>
      <c r="V38" s="504" t="s">
        <v>662</v>
      </c>
      <c r="W38" s="504" t="s">
        <v>663</v>
      </c>
      <c r="X38" s="504" t="s">
        <v>663</v>
      </c>
      <c r="Y38" s="504" t="s">
        <v>663</v>
      </c>
      <c r="Z38" s="504" t="s">
        <v>663</v>
      </c>
      <c r="AA38" s="504" t="s">
        <v>663</v>
      </c>
      <c r="AB38" s="519" t="str">
        <f t="shared" si="12"/>
        <v>PHY</v>
      </c>
      <c r="AC38" s="519" t="s">
        <v>1247</v>
      </c>
      <c r="AD38" s="551" t="str" cm="1">
        <f t="array" ref="AD38">IF(SUMPRODUCT(ISNUMBER(SEARCH("y",R38:AA38))+0)=0,"",IF(AA38="y","400G",IF(Z38="y","100G",IF(X38="y","40G",IF(V38="y","10G",IF(S38="y","1G",IF(R38="y","100M",""))))))&amp;" "&amp;AB38&amp;" "&amp;AC38)</f>
        <v>10G PHY SFP+</v>
      </c>
      <c r="AE38" s="521" t="str">
        <f t="shared" si="11"/>
        <v>AT-SBx81XS16 10G PHY SFP+</v>
      </c>
      <c r="AF38" s="909" t="str">
        <f t="shared" si="1"/>
        <v>ns</v>
      </c>
      <c r="AG38" s="908" t="str">
        <f t="shared" si="2"/>
        <v>ns</v>
      </c>
      <c r="AH38" s="908" t="str">
        <f t="shared" si="10"/>
        <v>ns</v>
      </c>
      <c r="AI38" s="908" t="str">
        <f t="shared" si="3"/>
        <v>ns</v>
      </c>
      <c r="AJ38" s="908" t="str">
        <f t="shared" si="4"/>
        <v>ns</v>
      </c>
      <c r="AK38" s="920" t="s">
        <v>2252</v>
      </c>
      <c r="AL38" s="908" t="str">
        <f t="shared" si="5"/>
        <v>ns</v>
      </c>
      <c r="AM38" s="909" t="str">
        <f t="shared" si="6"/>
        <v>ns</v>
      </c>
      <c r="AN38" s="908" t="str">
        <f t="shared" si="7"/>
        <v>ns</v>
      </c>
      <c r="AO38" s="908" t="str">
        <f t="shared" si="8"/>
        <v>ns</v>
      </c>
      <c r="AP38" s="908" t="str">
        <f t="shared" si="9"/>
        <v>ns</v>
      </c>
      <c r="AQ38" s="522"/>
      <c r="AR38" t="s">
        <v>2337</v>
      </c>
    </row>
    <row r="39" spans="1:44">
      <c r="A39" s="504">
        <v>39</v>
      </c>
      <c r="B39" s="504" t="s">
        <v>47</v>
      </c>
      <c r="C39" s="505">
        <v>561</v>
      </c>
      <c r="D39" s="504" t="s">
        <v>1252</v>
      </c>
      <c r="E39" s="504" t="s">
        <v>1253</v>
      </c>
      <c r="F39" s="504" t="s">
        <v>663</v>
      </c>
      <c r="G39" s="504" t="s">
        <v>661</v>
      </c>
      <c r="H39" s="506" t="s">
        <v>761</v>
      </c>
      <c r="I39" s="515" t="s">
        <v>774</v>
      </c>
      <c r="J39" s="516" t="s">
        <v>688</v>
      </c>
      <c r="K39" s="515" t="s">
        <v>1252</v>
      </c>
      <c r="L39" s="517" t="s">
        <v>699</v>
      </c>
      <c r="M39" s="516" t="s">
        <v>817</v>
      </c>
      <c r="N39" s="518" t="s">
        <v>813</v>
      </c>
      <c r="O39" s="519" t="s">
        <v>815</v>
      </c>
      <c r="P39" s="504" t="s">
        <v>1254</v>
      </c>
      <c r="Q39" s="519" t="s">
        <v>663</v>
      </c>
      <c r="R39" s="519" t="s">
        <v>663</v>
      </c>
      <c r="S39" s="504" t="s">
        <v>662</v>
      </c>
      <c r="T39" s="504" t="s">
        <v>663</v>
      </c>
      <c r="U39" s="504" t="s">
        <v>663</v>
      </c>
      <c r="V39" s="504" t="s">
        <v>663</v>
      </c>
      <c r="W39" s="504" t="s">
        <v>663</v>
      </c>
      <c r="X39" s="504" t="s">
        <v>663</v>
      </c>
      <c r="Y39" s="504" t="s">
        <v>663</v>
      </c>
      <c r="Z39" s="504" t="s">
        <v>663</v>
      </c>
      <c r="AA39" s="504" t="s">
        <v>663</v>
      </c>
      <c r="AB39" s="519" t="str">
        <f t="shared" si="12"/>
        <v>DC</v>
      </c>
      <c r="AC39" s="519" t="s">
        <v>813</v>
      </c>
      <c r="AD39" s="551" t="str" cm="1">
        <f t="array" ref="AD39">IF(SUMPRODUCT(ISNUMBER(SEARCH("y",R39:AA39))+0)=0,"",IF(AA39="y","400G",IF(Z39="y","100G",IF(X39="y","40G",IF(V39="y","10G",IF(S39="y","1G",IF(R39="y","100M",""))))))&amp;" "&amp;AB39&amp;" "&amp;AC39)</f>
        <v>1G DC CSFP</v>
      </c>
      <c r="AE39" s="521" t="str">
        <f t="shared" si="11"/>
        <v>AT-SBx81GC40 1G DC CSFP</v>
      </c>
      <c r="AF39" s="909" t="str">
        <f t="shared" si="1"/>
        <v>ns</v>
      </c>
      <c r="AG39" s="908" t="str">
        <f t="shared" si="2"/>
        <v>ns</v>
      </c>
      <c r="AH39" s="908" t="s">
        <v>2252</v>
      </c>
      <c r="AI39" s="908" t="str">
        <f t="shared" si="3"/>
        <v>ns</v>
      </c>
      <c r="AJ39" s="908" t="str">
        <f t="shared" si="4"/>
        <v>ns</v>
      </c>
      <c r="AK39" s="920" t="str">
        <f t="shared" si="5"/>
        <v>ns</v>
      </c>
      <c r="AL39" s="908" t="str">
        <f t="shared" si="5"/>
        <v>ns</v>
      </c>
      <c r="AM39" s="909" t="str">
        <f t="shared" si="6"/>
        <v>ns</v>
      </c>
      <c r="AN39" s="908" t="str">
        <f t="shared" si="7"/>
        <v>ns</v>
      </c>
      <c r="AO39" s="908" t="str">
        <f t="shared" si="8"/>
        <v>ns</v>
      </c>
      <c r="AP39" s="908" t="str">
        <f t="shared" si="9"/>
        <v>ns</v>
      </c>
      <c r="AQ39" s="522"/>
      <c r="AR39" t="s">
        <v>2337</v>
      </c>
    </row>
    <row r="40" spans="1:44">
      <c r="A40" s="504">
        <v>40</v>
      </c>
      <c r="B40" s="504" t="s">
        <v>47</v>
      </c>
      <c r="C40" s="552">
        <v>580</v>
      </c>
      <c r="D40" s="555" t="s">
        <v>1255</v>
      </c>
      <c r="E40" s="504" t="s">
        <v>1256</v>
      </c>
      <c r="F40" s="504" t="s">
        <v>663</v>
      </c>
      <c r="G40" s="556" t="s">
        <v>739</v>
      </c>
      <c r="H40" s="506" t="s">
        <v>761</v>
      </c>
      <c r="I40" s="515" t="s">
        <v>598</v>
      </c>
      <c r="J40" s="516" t="s">
        <v>598</v>
      </c>
      <c r="K40" s="515" t="s">
        <v>1255</v>
      </c>
      <c r="L40" s="553" t="s">
        <v>159</v>
      </c>
      <c r="M40" s="554" t="s">
        <v>159</v>
      </c>
      <c r="N40" s="518" t="s">
        <v>159</v>
      </c>
      <c r="O40" s="504" t="s">
        <v>159</v>
      </c>
      <c r="P40" s="504" t="s">
        <v>197</v>
      </c>
      <c r="Q40" s="519" t="s">
        <v>663</v>
      </c>
      <c r="R40" s="519" t="s">
        <v>663</v>
      </c>
      <c r="S40" s="519" t="s">
        <v>663</v>
      </c>
      <c r="T40" s="504" t="s">
        <v>663</v>
      </c>
      <c r="U40" s="504" t="s">
        <v>663</v>
      </c>
      <c r="V40" s="504" t="s">
        <v>663</v>
      </c>
      <c r="W40" s="504" t="s">
        <v>663</v>
      </c>
      <c r="X40" s="504" t="s">
        <v>663</v>
      </c>
      <c r="Y40" s="504" t="s">
        <v>663</v>
      </c>
      <c r="Z40" s="504" t="s">
        <v>663</v>
      </c>
      <c r="AA40" s="504" t="s">
        <v>663</v>
      </c>
      <c r="AB40" s="519" t="str">
        <f t="shared" si="12"/>
        <v/>
      </c>
      <c r="AC40" s="519"/>
      <c r="AD40" s="551" t="str" cm="1">
        <f t="array" ref="AD40">IF(SUMPRODUCT(ISNUMBER(SEARCH("y",R40:AA40))+0)=0,"",IF(AA40="y","400G",IF(Z40="y","100G",IF(X40="y","40G",IF(V40="y","10G",IF(S40="y","1G",IF(R40="y","100M",""))))))&amp;" "&amp;AB40&amp;" "&amp;AC40)</f>
        <v/>
      </c>
      <c r="AE40" s="521" t="str">
        <f t="shared" si="11"/>
        <v xml:space="preserve">AT-SBx81GP24 v2 </v>
      </c>
      <c r="AF40" s="909" t="str">
        <f t="shared" si="1"/>
        <v>ns</v>
      </c>
      <c r="AG40" s="908" t="str">
        <f t="shared" si="2"/>
        <v>ns</v>
      </c>
      <c r="AH40" s="908" t="str">
        <f t="shared" si="10"/>
        <v>ns</v>
      </c>
      <c r="AI40" s="908" t="str">
        <f t="shared" si="3"/>
        <v>ns</v>
      </c>
      <c r="AJ40" s="908" t="str">
        <f t="shared" si="4"/>
        <v>ns</v>
      </c>
      <c r="AK40" s="920" t="str">
        <f t="shared" si="5"/>
        <v>ns</v>
      </c>
      <c r="AL40" s="908" t="str">
        <f t="shared" si="5"/>
        <v>ns</v>
      </c>
      <c r="AM40" s="909" t="str">
        <f t="shared" si="6"/>
        <v>ns</v>
      </c>
      <c r="AN40" s="908" t="str">
        <f t="shared" si="7"/>
        <v>ns</v>
      </c>
      <c r="AO40" s="908" t="str">
        <f t="shared" si="8"/>
        <v>ns</v>
      </c>
      <c r="AP40" s="908" t="str">
        <f t="shared" si="9"/>
        <v>ns</v>
      </c>
      <c r="AQ40" s="522"/>
      <c r="AR40" t="s">
        <v>2337</v>
      </c>
    </row>
    <row r="41" spans="1:44">
      <c r="A41" s="504">
        <v>41</v>
      </c>
      <c r="B41" s="504" t="s">
        <v>47</v>
      </c>
      <c r="C41" s="505">
        <v>446</v>
      </c>
      <c r="D41" s="504" t="s">
        <v>1257</v>
      </c>
      <c r="E41" s="504" t="s">
        <v>1258</v>
      </c>
      <c r="F41" s="504" t="s">
        <v>663</v>
      </c>
      <c r="G41" s="504" t="s">
        <v>661</v>
      </c>
      <c r="H41" s="506" t="s">
        <v>777</v>
      </c>
      <c r="I41" s="515" t="s">
        <v>778</v>
      </c>
      <c r="J41" s="516" t="s">
        <v>778</v>
      </c>
      <c r="K41" s="515" t="s">
        <v>1257</v>
      </c>
      <c r="L41" s="517" t="s">
        <v>752</v>
      </c>
      <c r="M41" s="516" t="s">
        <v>782</v>
      </c>
      <c r="N41" s="518" t="s">
        <v>671</v>
      </c>
      <c r="O41" s="519" t="s">
        <v>780</v>
      </c>
      <c r="P41" s="504" t="s">
        <v>1259</v>
      </c>
      <c r="Q41" s="519" t="s">
        <v>663</v>
      </c>
      <c r="R41" s="519" t="s">
        <v>663</v>
      </c>
      <c r="S41" s="504" t="s">
        <v>662</v>
      </c>
      <c r="T41" s="504" t="s">
        <v>663</v>
      </c>
      <c r="U41" s="504" t="s">
        <v>663</v>
      </c>
      <c r="V41" s="504" t="s">
        <v>663</v>
      </c>
      <c r="W41" s="504" t="s">
        <v>663</v>
      </c>
      <c r="X41" s="504" t="s">
        <v>663</v>
      </c>
      <c r="Y41" s="504" t="s">
        <v>663</v>
      </c>
      <c r="Z41" s="504" t="s">
        <v>663</v>
      </c>
      <c r="AA41" s="504" t="s">
        <v>663</v>
      </c>
      <c r="AB41" s="519" t="str">
        <f t="shared" si="12"/>
        <v>PHY</v>
      </c>
      <c r="AC41" s="519" t="s">
        <v>1201</v>
      </c>
      <c r="AD41" s="551" t="str" cm="1">
        <f t="array" ref="AD41">IF(SUMPRODUCT(ISNUMBER(SEARCH("y",R41:AA41))+0)=0,"",IF(AA41="y","400G",IF(Z41="y","100G",IF(X41="y","40G",IF(V41="y","10G",IF(S41="y","1G",IF(R41="y","100M",""))))))&amp;" "&amp;AB41&amp;" "&amp;AC41)</f>
        <v>1G PHY BASE</v>
      </c>
      <c r="AE41" s="521" t="str">
        <f t="shared" si="11"/>
        <v>AT-SBx81XLEM 1G PHY BASE</v>
      </c>
      <c r="AF41" s="909" t="str">
        <f t="shared" si="1"/>
        <v>ns</v>
      </c>
      <c r="AG41" s="908" t="str">
        <f t="shared" si="2"/>
        <v>ns</v>
      </c>
      <c r="AH41" s="908" t="s">
        <v>2252</v>
      </c>
      <c r="AI41" s="908" t="str">
        <f t="shared" si="3"/>
        <v>ns</v>
      </c>
      <c r="AJ41" s="908" t="str">
        <f t="shared" si="4"/>
        <v>ns</v>
      </c>
      <c r="AK41" s="920" t="str">
        <f t="shared" si="5"/>
        <v>ns</v>
      </c>
      <c r="AL41" s="908" t="str">
        <f t="shared" si="5"/>
        <v>ns</v>
      </c>
      <c r="AM41" s="909" t="str">
        <f t="shared" si="6"/>
        <v>ns</v>
      </c>
      <c r="AN41" s="908" t="str">
        <f t="shared" si="7"/>
        <v>ns</v>
      </c>
      <c r="AO41" s="908" t="str">
        <f t="shared" si="8"/>
        <v>ns</v>
      </c>
      <c r="AP41" s="908" t="str">
        <f t="shared" si="9"/>
        <v>ns</v>
      </c>
      <c r="AQ41" s="522"/>
      <c r="AR41" t="s">
        <v>2337</v>
      </c>
    </row>
    <row r="42" spans="1:44">
      <c r="A42" s="504">
        <v>42</v>
      </c>
      <c r="B42" s="504" t="s">
        <v>47</v>
      </c>
      <c r="C42" s="505">
        <v>447</v>
      </c>
      <c r="D42" s="504" t="s">
        <v>1260</v>
      </c>
      <c r="E42" s="504" t="s">
        <v>1261</v>
      </c>
      <c r="F42" s="504" t="s">
        <v>663</v>
      </c>
      <c r="G42" s="504" t="s">
        <v>661</v>
      </c>
      <c r="H42" s="506" t="s">
        <v>777</v>
      </c>
      <c r="I42" s="515" t="s">
        <v>197</v>
      </c>
      <c r="J42" s="516" t="s">
        <v>784</v>
      </c>
      <c r="K42" s="515" t="s">
        <v>1260</v>
      </c>
      <c r="L42" s="517" t="s">
        <v>734</v>
      </c>
      <c r="M42" s="516" t="s">
        <v>787</v>
      </c>
      <c r="N42" s="518" t="s">
        <v>740</v>
      </c>
      <c r="O42" s="519" t="s">
        <v>785</v>
      </c>
      <c r="P42" s="504" t="s">
        <v>1231</v>
      </c>
      <c r="Q42" s="519" t="s">
        <v>663</v>
      </c>
      <c r="R42" s="519" t="s">
        <v>663</v>
      </c>
      <c r="S42" s="504" t="s">
        <v>662</v>
      </c>
      <c r="T42" s="504" t="s">
        <v>663</v>
      </c>
      <c r="U42" s="504" t="s">
        <v>663</v>
      </c>
      <c r="V42" s="504" t="s">
        <v>662</v>
      </c>
      <c r="W42" s="504" t="s">
        <v>663</v>
      </c>
      <c r="X42" s="504" t="s">
        <v>663</v>
      </c>
      <c r="Y42" s="504" t="s">
        <v>663</v>
      </c>
      <c r="Z42" s="504" t="s">
        <v>663</v>
      </c>
      <c r="AA42" s="504" t="s">
        <v>663</v>
      </c>
      <c r="AB42" s="519" t="str">
        <f t="shared" si="12"/>
        <v>PHY</v>
      </c>
      <c r="AC42" s="519" t="s">
        <v>1201</v>
      </c>
      <c r="AD42" s="551" t="str" cm="1">
        <f t="array" ref="AD42">IF(SUMPRODUCT(ISNUMBER(SEARCH("y",R42:AA42))+0)=0,"",IF(AA42="y","400G",IF(Z42="y","100G",IF(X42="y","40G",IF(V42="y","10G",IF(S42="y","1G",IF(R42="y","100M",""))))))&amp;" "&amp;AB42&amp;" "&amp;AC42)</f>
        <v>10G PHY BASE</v>
      </c>
      <c r="AE42" s="521" t="str">
        <f t="shared" si="11"/>
        <v>AT-SBx81XLEM/XS8 10G PHY BASE</v>
      </c>
      <c r="AF42" s="909" t="str">
        <f t="shared" si="1"/>
        <v>ns</v>
      </c>
      <c r="AG42" s="908" t="str">
        <f t="shared" si="2"/>
        <v>ns</v>
      </c>
      <c r="AH42" s="908" t="s">
        <v>2252</v>
      </c>
      <c r="AI42" s="908" t="str">
        <f t="shared" si="3"/>
        <v>ns</v>
      </c>
      <c r="AJ42" s="908" t="str">
        <f t="shared" si="4"/>
        <v>ns</v>
      </c>
      <c r="AK42" s="920" t="s">
        <v>2252</v>
      </c>
      <c r="AL42" s="908" t="str">
        <f t="shared" si="5"/>
        <v>ns</v>
      </c>
      <c r="AM42" s="909" t="str">
        <f t="shared" si="6"/>
        <v>ns</v>
      </c>
      <c r="AN42" s="908" t="str">
        <f t="shared" si="7"/>
        <v>ns</v>
      </c>
      <c r="AO42" s="908" t="str">
        <f t="shared" si="8"/>
        <v>ns</v>
      </c>
      <c r="AP42" s="908" t="str">
        <f t="shared" si="9"/>
        <v>ns</v>
      </c>
      <c r="AQ42" s="522"/>
      <c r="AR42" t="s">
        <v>2337</v>
      </c>
    </row>
    <row r="43" spans="1:44">
      <c r="A43" s="504">
        <v>43</v>
      </c>
      <c r="B43" s="504" t="s">
        <v>47</v>
      </c>
      <c r="C43" s="505">
        <v>448</v>
      </c>
      <c r="D43" s="504" t="s">
        <v>1262</v>
      </c>
      <c r="E43" s="504" t="s">
        <v>1263</v>
      </c>
      <c r="F43" s="504" t="s">
        <v>663</v>
      </c>
      <c r="G43" s="504" t="s">
        <v>661</v>
      </c>
      <c r="H43" s="506" t="s">
        <v>777</v>
      </c>
      <c r="I43" s="515" t="s">
        <v>197</v>
      </c>
      <c r="J43" s="516" t="s">
        <v>784</v>
      </c>
      <c r="K43" s="515" t="s">
        <v>1262</v>
      </c>
      <c r="L43" s="517" t="s">
        <v>734</v>
      </c>
      <c r="M43" s="516" t="s">
        <v>793</v>
      </c>
      <c r="N43" s="518" t="s">
        <v>790</v>
      </c>
      <c r="O43" s="519" t="s">
        <v>791</v>
      </c>
      <c r="P43" s="504" t="s">
        <v>1264</v>
      </c>
      <c r="Q43" s="519" t="s">
        <v>663</v>
      </c>
      <c r="R43" s="519" t="s">
        <v>663</v>
      </c>
      <c r="S43" s="519" t="s">
        <v>663</v>
      </c>
      <c r="T43" s="504" t="s">
        <v>663</v>
      </c>
      <c r="U43" s="504" t="s">
        <v>663</v>
      </c>
      <c r="V43" s="504" t="s">
        <v>663</v>
      </c>
      <c r="W43" s="504" t="s">
        <v>663</v>
      </c>
      <c r="X43" s="504" t="s">
        <v>662</v>
      </c>
      <c r="Y43" s="504" t="s">
        <v>663</v>
      </c>
      <c r="Z43" s="504" t="s">
        <v>663</v>
      </c>
      <c r="AA43" s="504" t="s">
        <v>663</v>
      </c>
      <c r="AB43" s="519" t="str">
        <f t="shared" si="12"/>
        <v>PHY</v>
      </c>
      <c r="AC43" s="519" t="s">
        <v>1201</v>
      </c>
      <c r="AD43" s="551" t="str" cm="1">
        <f t="array" ref="AD43">IF(SUMPRODUCT(ISNUMBER(SEARCH("y",R43:AA43))+0)=0,"",IF(AA43="y","400G",IF(Z43="y","100G",IF(X43="y","40G",IF(V43="y","10G",IF(S43="y","1G",IF(R43="y","100M",""))))))&amp;" "&amp;AB43&amp;" "&amp;AC43)</f>
        <v>40G PHY BASE</v>
      </c>
      <c r="AE43" s="521" t="str">
        <f t="shared" si="11"/>
        <v>AT-SBx81XLEM/Q2 40G PHY BASE</v>
      </c>
      <c r="AF43" s="909" t="str">
        <f t="shared" si="1"/>
        <v>ns</v>
      </c>
      <c r="AG43" s="908" t="str">
        <f t="shared" si="2"/>
        <v>ns</v>
      </c>
      <c r="AH43" s="908" t="str">
        <f t="shared" si="10"/>
        <v>ns</v>
      </c>
      <c r="AI43" s="908" t="str">
        <f t="shared" si="3"/>
        <v>ns</v>
      </c>
      <c r="AJ43" s="908" t="str">
        <f t="shared" si="4"/>
        <v>ns</v>
      </c>
      <c r="AK43" s="920" t="str">
        <f t="shared" si="5"/>
        <v>ns</v>
      </c>
      <c r="AL43" s="908" t="str">
        <f t="shared" si="5"/>
        <v>ns</v>
      </c>
      <c r="AM43" s="909" t="str">
        <f t="shared" si="6"/>
        <v>.</v>
      </c>
      <c r="AN43" s="908" t="str">
        <f t="shared" si="7"/>
        <v>ns</v>
      </c>
      <c r="AO43" s="908" t="str">
        <f t="shared" si="8"/>
        <v>ns</v>
      </c>
      <c r="AP43" s="908" t="str">
        <f t="shared" si="9"/>
        <v>ns</v>
      </c>
      <c r="AQ43" s="522"/>
      <c r="AR43" t="s">
        <v>2337</v>
      </c>
    </row>
    <row r="44" spans="1:44">
      <c r="A44" s="504">
        <v>44</v>
      </c>
      <c r="B44" s="504" t="s">
        <v>47</v>
      </c>
      <c r="C44" s="505">
        <v>449</v>
      </c>
      <c r="D44" s="504" t="s">
        <v>1265</v>
      </c>
      <c r="E44" s="504" t="s">
        <v>1266</v>
      </c>
      <c r="F44" s="504" t="s">
        <v>663</v>
      </c>
      <c r="G44" s="504" t="s">
        <v>661</v>
      </c>
      <c r="H44" s="506" t="s">
        <v>777</v>
      </c>
      <c r="I44" s="515" t="s">
        <v>197</v>
      </c>
      <c r="J44" s="516" t="s">
        <v>795</v>
      </c>
      <c r="K44" s="515" t="s">
        <v>1265</v>
      </c>
      <c r="L44" s="553" t="s">
        <v>159</v>
      </c>
      <c r="M44" s="554" t="s">
        <v>159</v>
      </c>
      <c r="N44" s="518" t="s">
        <v>159</v>
      </c>
      <c r="O44" s="504" t="s">
        <v>159</v>
      </c>
      <c r="P44" s="504" t="s">
        <v>197</v>
      </c>
      <c r="Q44" s="519" t="s">
        <v>663</v>
      </c>
      <c r="R44" s="519" t="s">
        <v>663</v>
      </c>
      <c r="S44" s="519" t="s">
        <v>663</v>
      </c>
      <c r="T44" s="504" t="s">
        <v>663</v>
      </c>
      <c r="U44" s="504" t="s">
        <v>663</v>
      </c>
      <c r="V44" s="504" t="s">
        <v>663</v>
      </c>
      <c r="W44" s="504" t="s">
        <v>663</v>
      </c>
      <c r="X44" s="504" t="s">
        <v>663</v>
      </c>
      <c r="Y44" s="504" t="s">
        <v>663</v>
      </c>
      <c r="Z44" s="504" t="s">
        <v>663</v>
      </c>
      <c r="AA44" s="504" t="s">
        <v>663</v>
      </c>
      <c r="AB44" s="519" t="str">
        <f t="shared" si="12"/>
        <v/>
      </c>
      <c r="AC44" s="519"/>
      <c r="AD44" s="551" t="str" cm="1">
        <f t="array" ref="AD44">IF(SUMPRODUCT(ISNUMBER(SEARCH("y",R44:AA44))+0)=0,"",IF(AA44="y","400G",IF(Z44="y","100G",IF(X44="y","40G",IF(V44="y","10G",IF(S44="y","1G",IF(R44="y","100M",""))))))&amp;" "&amp;AB44&amp;" "&amp;AC44)</f>
        <v/>
      </c>
      <c r="AE44" s="521" t="str">
        <f t="shared" si="11"/>
        <v xml:space="preserve">AT-SBx81XLEM/XT4 </v>
      </c>
      <c r="AF44" s="909" t="str">
        <f t="shared" si="1"/>
        <v>ns</v>
      </c>
      <c r="AG44" s="908" t="str">
        <f t="shared" si="2"/>
        <v>ns</v>
      </c>
      <c r="AH44" s="908" t="str">
        <f t="shared" si="10"/>
        <v>ns</v>
      </c>
      <c r="AI44" s="908" t="str">
        <f t="shared" si="3"/>
        <v>ns</v>
      </c>
      <c r="AJ44" s="908" t="str">
        <f t="shared" si="4"/>
        <v>ns</v>
      </c>
      <c r="AK44" s="920" t="str">
        <f t="shared" si="5"/>
        <v>ns</v>
      </c>
      <c r="AL44" s="908" t="str">
        <f t="shared" si="5"/>
        <v>ns</v>
      </c>
      <c r="AM44" s="909" t="str">
        <f t="shared" si="6"/>
        <v>ns</v>
      </c>
      <c r="AN44" s="908" t="str">
        <f t="shared" si="7"/>
        <v>ns</v>
      </c>
      <c r="AO44" s="908" t="str">
        <f t="shared" si="8"/>
        <v>ns</v>
      </c>
      <c r="AP44" s="908" t="str">
        <f t="shared" si="9"/>
        <v>ns</v>
      </c>
      <c r="AQ44" s="522"/>
      <c r="AR44" t="s">
        <v>2337</v>
      </c>
    </row>
    <row r="45" spans="1:44">
      <c r="A45" s="504">
        <v>45</v>
      </c>
      <c r="B45" s="504" t="s">
        <v>47</v>
      </c>
      <c r="C45" s="505">
        <v>450</v>
      </c>
      <c r="D45" s="504" t="s">
        <v>1267</v>
      </c>
      <c r="E45" s="504" t="s">
        <v>1268</v>
      </c>
      <c r="F45" s="504" t="s">
        <v>663</v>
      </c>
      <c r="G45" s="504" t="s">
        <v>661</v>
      </c>
      <c r="H45" s="506" t="s">
        <v>777</v>
      </c>
      <c r="I45" s="515" t="s">
        <v>197</v>
      </c>
      <c r="J45" s="516" t="s">
        <v>797</v>
      </c>
      <c r="K45" s="515" t="s">
        <v>1267</v>
      </c>
      <c r="L45" s="553" t="s">
        <v>159</v>
      </c>
      <c r="M45" s="554" t="s">
        <v>159</v>
      </c>
      <c r="N45" s="518" t="s">
        <v>159</v>
      </c>
      <c r="O45" s="504" t="s">
        <v>159</v>
      </c>
      <c r="P45" s="504" t="s">
        <v>197</v>
      </c>
      <c r="Q45" s="519" t="s">
        <v>663</v>
      </c>
      <c r="R45" s="519" t="s">
        <v>663</v>
      </c>
      <c r="S45" s="519" t="s">
        <v>663</v>
      </c>
      <c r="T45" s="504" t="s">
        <v>663</v>
      </c>
      <c r="U45" s="504" t="s">
        <v>663</v>
      </c>
      <c r="V45" s="519" t="s">
        <v>663</v>
      </c>
      <c r="W45" s="519" t="s">
        <v>663</v>
      </c>
      <c r="X45" s="519" t="s">
        <v>663</v>
      </c>
      <c r="Y45" s="519" t="s">
        <v>663</v>
      </c>
      <c r="Z45" s="519" t="s">
        <v>663</v>
      </c>
      <c r="AA45" s="519" t="s">
        <v>663</v>
      </c>
      <c r="AB45" s="519" t="str">
        <f t="shared" si="12"/>
        <v/>
      </c>
      <c r="AC45" s="519"/>
      <c r="AD45" s="551" t="str" cm="1">
        <f t="array" ref="AD45">IF(SUMPRODUCT(ISNUMBER(SEARCH("y",R45:AA45))+0)=0,"",IF(AA45="y","400G",IF(Z45="y","100G",IF(X45="y","40G",IF(V45="y","10G",IF(S45="y","1G",IF(R45="y","100M",""))))))&amp;" "&amp;AB45&amp;" "&amp;AC45)</f>
        <v/>
      </c>
      <c r="AE45" s="521" t="str">
        <f t="shared" si="11"/>
        <v xml:space="preserve">AT-SBx81XLEM/GT8 </v>
      </c>
      <c r="AF45" s="909" t="str">
        <f t="shared" si="1"/>
        <v>ns</v>
      </c>
      <c r="AG45" s="908" t="str">
        <f t="shared" si="2"/>
        <v>ns</v>
      </c>
      <c r="AH45" s="908" t="str">
        <f t="shared" si="10"/>
        <v>ns</v>
      </c>
      <c r="AI45" s="908" t="str">
        <f t="shared" si="3"/>
        <v>ns</v>
      </c>
      <c r="AJ45" s="908" t="str">
        <f t="shared" si="4"/>
        <v>ns</v>
      </c>
      <c r="AK45" s="920" t="str">
        <f t="shared" si="5"/>
        <v>ns</v>
      </c>
      <c r="AL45" s="908" t="str">
        <f t="shared" si="5"/>
        <v>ns</v>
      </c>
      <c r="AM45" s="909" t="str">
        <f t="shared" si="6"/>
        <v>ns</v>
      </c>
      <c r="AN45" s="908" t="str">
        <f t="shared" si="7"/>
        <v>ns</v>
      </c>
      <c r="AO45" s="908" t="str">
        <f t="shared" si="8"/>
        <v>ns</v>
      </c>
      <c r="AP45" s="908" t="str">
        <f t="shared" si="9"/>
        <v>ns</v>
      </c>
      <c r="AQ45" s="522"/>
      <c r="AR45" t="s">
        <v>2337</v>
      </c>
    </row>
    <row r="46" spans="1:44">
      <c r="A46" s="504">
        <v>46</v>
      </c>
      <c r="B46" s="504" t="s">
        <v>47</v>
      </c>
      <c r="C46" s="557">
        <v>503</v>
      </c>
      <c r="D46" s="519" t="s">
        <v>1267</v>
      </c>
      <c r="E46" s="504" t="s">
        <v>1269</v>
      </c>
      <c r="F46" s="504" t="s">
        <v>663</v>
      </c>
      <c r="G46" s="504" t="s">
        <v>661</v>
      </c>
      <c r="H46" s="506" t="s">
        <v>777</v>
      </c>
      <c r="I46" s="515" t="s">
        <v>197</v>
      </c>
      <c r="J46" s="516" t="s">
        <v>797</v>
      </c>
      <c r="K46" s="515" t="s">
        <v>1267</v>
      </c>
      <c r="L46" s="553" t="s">
        <v>159</v>
      </c>
      <c r="M46" s="554" t="s">
        <v>159</v>
      </c>
      <c r="N46" s="518" t="s">
        <v>159</v>
      </c>
      <c r="O46" s="504" t="s">
        <v>159</v>
      </c>
      <c r="P46" s="504" t="s">
        <v>197</v>
      </c>
      <c r="Q46" s="519" t="s">
        <v>663</v>
      </c>
      <c r="R46" s="519" t="s">
        <v>663</v>
      </c>
      <c r="S46" s="519" t="s">
        <v>663</v>
      </c>
      <c r="T46" s="504" t="s">
        <v>663</v>
      </c>
      <c r="U46" s="504" t="s">
        <v>663</v>
      </c>
      <c r="V46" s="519" t="s">
        <v>663</v>
      </c>
      <c r="W46" s="519" t="s">
        <v>663</v>
      </c>
      <c r="X46" s="519" t="s">
        <v>663</v>
      </c>
      <c r="Y46" s="519" t="s">
        <v>663</v>
      </c>
      <c r="Z46" s="519" t="s">
        <v>663</v>
      </c>
      <c r="AA46" s="519" t="s">
        <v>663</v>
      </c>
      <c r="AB46" s="519" t="str">
        <f t="shared" si="12"/>
        <v/>
      </c>
      <c r="AC46" s="519"/>
      <c r="AD46" s="551" t="str" cm="1">
        <f t="array" ref="AD46">IF(SUMPRODUCT(ISNUMBER(SEARCH("y",R46:AA46))+0)=0,"",IF(AA46="y","400G",IF(Z46="y","100G",IF(X46="y","40G",IF(V46="y","10G",IF(S46="y","1G",IF(R46="y","100M",""))))))&amp;" "&amp;AB46&amp;" "&amp;AC46)</f>
        <v/>
      </c>
      <c r="AE46" s="521" t="str">
        <f t="shared" si="11"/>
        <v xml:space="preserve">AT-SBx81XLEM/GT8 </v>
      </c>
      <c r="AF46" s="909" t="str">
        <f t="shared" si="1"/>
        <v>ns</v>
      </c>
      <c r="AG46" s="908" t="str">
        <f t="shared" si="2"/>
        <v>ns</v>
      </c>
      <c r="AH46" s="908" t="str">
        <f t="shared" si="10"/>
        <v>ns</v>
      </c>
      <c r="AI46" s="908" t="str">
        <f t="shared" si="3"/>
        <v>ns</v>
      </c>
      <c r="AJ46" s="908" t="str">
        <f t="shared" si="4"/>
        <v>ns</v>
      </c>
      <c r="AK46" s="920" t="str">
        <f t="shared" si="5"/>
        <v>ns</v>
      </c>
      <c r="AL46" s="908" t="str">
        <f t="shared" si="5"/>
        <v>ns</v>
      </c>
      <c r="AM46" s="909" t="str">
        <f t="shared" si="6"/>
        <v>ns</v>
      </c>
      <c r="AN46" s="908" t="str">
        <f t="shared" si="7"/>
        <v>ns</v>
      </c>
      <c r="AO46" s="908" t="str">
        <f t="shared" si="8"/>
        <v>ns</v>
      </c>
      <c r="AP46" s="908" t="str">
        <f t="shared" si="9"/>
        <v>ns</v>
      </c>
      <c r="AQ46" s="522"/>
      <c r="AR46" t="s">
        <v>2337</v>
      </c>
    </row>
    <row r="47" spans="1:44">
      <c r="A47" s="537">
        <v>47</v>
      </c>
      <c r="B47" s="537" t="s">
        <v>591</v>
      </c>
      <c r="C47" s="538">
        <v>483</v>
      </c>
      <c r="D47" s="537" t="s">
        <v>1270</v>
      </c>
      <c r="E47" s="537" t="s">
        <v>1271</v>
      </c>
      <c r="F47" s="537" t="s">
        <v>663</v>
      </c>
      <c r="G47" s="537" t="s">
        <v>661</v>
      </c>
      <c r="H47" s="539" t="s">
        <v>848</v>
      </c>
      <c r="I47" s="540" t="s">
        <v>849</v>
      </c>
      <c r="J47" s="541" t="s">
        <v>159</v>
      </c>
      <c r="K47" s="540" t="s">
        <v>1270</v>
      </c>
      <c r="L47" s="550" t="s">
        <v>659</v>
      </c>
      <c r="M47" s="541" t="s">
        <v>851</v>
      </c>
      <c r="N47" s="543" t="s">
        <v>159</v>
      </c>
      <c r="O47" s="537" t="s">
        <v>159</v>
      </c>
      <c r="P47" s="537" t="s">
        <v>197</v>
      </c>
      <c r="Q47" s="544" t="s">
        <v>663</v>
      </c>
      <c r="R47" s="544" t="s">
        <v>663</v>
      </c>
      <c r="S47" s="544" t="s">
        <v>663</v>
      </c>
      <c r="T47" s="537" t="s">
        <v>663</v>
      </c>
      <c r="U47" s="537" t="s">
        <v>663</v>
      </c>
      <c r="V47" s="544" t="s">
        <v>663</v>
      </c>
      <c r="W47" s="544" t="s">
        <v>663</v>
      </c>
      <c r="X47" s="544" t="s">
        <v>663</v>
      </c>
      <c r="Y47" s="544" t="s">
        <v>663</v>
      </c>
      <c r="Z47" s="544" t="s">
        <v>663</v>
      </c>
      <c r="AA47" s="544" t="s">
        <v>663</v>
      </c>
      <c r="AB47" s="537" t="str">
        <f t="shared" si="12"/>
        <v/>
      </c>
      <c r="AC47" s="537"/>
      <c r="AD47" s="545" t="str" cm="1">
        <f t="array" ref="AD47">IF(SUMPRODUCT(ISNUMBER(SEARCH("y",R47:AA47))+0)=0,"",IF(AA47="y","400G",IF(Z47="y","100G",IF(X47="y","40G",IF(V47="y","10G",IF(S47="y","1G",IF(R47="y","100M",""))))))&amp;" "&amp;AB47&amp;" "&amp;AC47)</f>
        <v/>
      </c>
      <c r="AE47" s="546" t="str">
        <f t="shared" si="11"/>
        <v xml:space="preserve">AT-SBx908 GEN2 </v>
      </c>
      <c r="AF47" s="912" t="str">
        <f t="shared" si="1"/>
        <v>ns</v>
      </c>
      <c r="AG47" s="405" t="str">
        <f t="shared" si="2"/>
        <v>ns</v>
      </c>
      <c r="AH47" s="405" t="str">
        <f t="shared" si="10"/>
        <v>ns</v>
      </c>
      <c r="AI47" s="405" t="str">
        <f t="shared" si="3"/>
        <v>ns</v>
      </c>
      <c r="AJ47" s="405" t="str">
        <f t="shared" si="4"/>
        <v>ns</v>
      </c>
      <c r="AK47" s="922" t="str">
        <f t="shared" si="5"/>
        <v>ns</v>
      </c>
      <c r="AL47" s="405" t="str">
        <f t="shared" si="5"/>
        <v>ns</v>
      </c>
      <c r="AM47" s="912" t="str">
        <f t="shared" si="6"/>
        <v>ns</v>
      </c>
      <c r="AN47" s="405" t="str">
        <f t="shared" si="7"/>
        <v>ns</v>
      </c>
      <c r="AO47" s="405" t="str">
        <f t="shared" si="8"/>
        <v>ns</v>
      </c>
      <c r="AP47" s="405" t="str">
        <f t="shared" si="9"/>
        <v>ns</v>
      </c>
      <c r="AQ47" s="547"/>
      <c r="AR47" t="s">
        <v>2337</v>
      </c>
    </row>
    <row r="48" spans="1:44">
      <c r="A48" s="537">
        <v>48</v>
      </c>
      <c r="B48" s="537" t="s">
        <v>591</v>
      </c>
      <c r="C48" s="538">
        <v>486</v>
      </c>
      <c r="D48" s="537" t="s">
        <v>866</v>
      </c>
      <c r="E48" s="537" t="s">
        <v>1272</v>
      </c>
      <c r="F48" s="537" t="s">
        <v>663</v>
      </c>
      <c r="G48" s="537" t="s">
        <v>661</v>
      </c>
      <c r="H48" s="539" t="s">
        <v>848</v>
      </c>
      <c r="I48" s="540" t="s">
        <v>197</v>
      </c>
      <c r="J48" s="541" t="s">
        <v>862</v>
      </c>
      <c r="K48" s="540" t="s">
        <v>866</v>
      </c>
      <c r="L48" s="550" t="s">
        <v>674</v>
      </c>
      <c r="M48" s="541" t="s">
        <v>867</v>
      </c>
      <c r="N48" s="543" t="s">
        <v>863</v>
      </c>
      <c r="O48" s="544" t="s">
        <v>865</v>
      </c>
      <c r="P48" s="537" t="s">
        <v>1264</v>
      </c>
      <c r="Q48" s="544" t="s">
        <v>663</v>
      </c>
      <c r="R48" s="544" t="s">
        <v>663</v>
      </c>
      <c r="S48" s="544" t="s">
        <v>663</v>
      </c>
      <c r="T48" s="537" t="s">
        <v>663</v>
      </c>
      <c r="U48" s="537" t="s">
        <v>663</v>
      </c>
      <c r="V48" s="544" t="s">
        <v>663</v>
      </c>
      <c r="W48" s="544" t="s">
        <v>663</v>
      </c>
      <c r="X48" s="544" t="s">
        <v>662</v>
      </c>
      <c r="Y48" s="544" t="s">
        <v>663</v>
      </c>
      <c r="Z48" s="544" t="s">
        <v>663</v>
      </c>
      <c r="AA48" s="544" t="s">
        <v>663</v>
      </c>
      <c r="AB48" s="537" t="str">
        <f t="shared" si="12"/>
        <v>PHY</v>
      </c>
      <c r="AC48" s="537" t="s">
        <v>1273</v>
      </c>
      <c r="AD48" s="545" t="str" cm="1">
        <f t="array" ref="AD48">IF(SUMPRODUCT(ISNUMBER(SEARCH("y",R48:AA48))+0)=0,"",IF(AA48="y","400G",IF(Z48="y","100G",IF(X48="y","40G",IF(V48="y","10G",IF(S48="y","1G",IF(R48="y","100M",""))))))&amp;" "&amp;AB48&amp;" "&amp;AC48)</f>
        <v>40G PHY QSFP</v>
      </c>
      <c r="AE48" s="546" t="str">
        <f t="shared" si="11"/>
        <v>AT-XEM2-4QS 40G PHY QSFP</v>
      </c>
      <c r="AF48" s="912" t="str">
        <f t="shared" si="1"/>
        <v>ns</v>
      </c>
      <c r="AG48" s="405" t="str">
        <f t="shared" si="2"/>
        <v>ns</v>
      </c>
      <c r="AH48" s="405" t="str">
        <f t="shared" si="10"/>
        <v>ns</v>
      </c>
      <c r="AI48" s="405" t="str">
        <f t="shared" si="3"/>
        <v>ns</v>
      </c>
      <c r="AJ48" s="405" t="str">
        <f t="shared" si="4"/>
        <v>ns</v>
      </c>
      <c r="AK48" s="922" t="str">
        <f t="shared" si="5"/>
        <v>ns</v>
      </c>
      <c r="AL48" s="405" t="str">
        <f t="shared" si="5"/>
        <v>ns</v>
      </c>
      <c r="AM48" s="909" t="str">
        <f t="shared" si="6"/>
        <v>.</v>
      </c>
      <c r="AN48" s="405" t="str">
        <f t="shared" si="7"/>
        <v>ns</v>
      </c>
      <c r="AO48" s="405" t="str">
        <f t="shared" si="8"/>
        <v>ns</v>
      </c>
      <c r="AP48" s="405" t="str">
        <f t="shared" si="9"/>
        <v>ns</v>
      </c>
      <c r="AQ48" s="547"/>
      <c r="AR48" t="s">
        <v>2337</v>
      </c>
    </row>
    <row r="49" spans="1:44">
      <c r="A49" s="537">
        <v>49</v>
      </c>
      <c r="B49" s="537" t="s">
        <v>591</v>
      </c>
      <c r="C49" s="538">
        <v>487</v>
      </c>
      <c r="D49" s="537" t="s">
        <v>858</v>
      </c>
      <c r="E49" s="537" t="s">
        <v>1274</v>
      </c>
      <c r="F49" s="537" t="s">
        <v>663</v>
      </c>
      <c r="G49" s="537" t="s">
        <v>661</v>
      </c>
      <c r="H49" s="539" t="s">
        <v>848</v>
      </c>
      <c r="I49" s="540" t="s">
        <v>197</v>
      </c>
      <c r="J49" s="541" t="s">
        <v>856</v>
      </c>
      <c r="K49" s="540" t="s">
        <v>858</v>
      </c>
      <c r="L49" s="550" t="s">
        <v>859</v>
      </c>
      <c r="M49" s="541" t="s">
        <v>860</v>
      </c>
      <c r="N49" s="543" t="s">
        <v>740</v>
      </c>
      <c r="O49" s="544" t="s">
        <v>1275</v>
      </c>
      <c r="P49" s="537" t="s">
        <v>1231</v>
      </c>
      <c r="Q49" s="544" t="s">
        <v>663</v>
      </c>
      <c r="R49" s="544" t="s">
        <v>663</v>
      </c>
      <c r="S49" s="537" t="s">
        <v>662</v>
      </c>
      <c r="T49" s="537" t="s">
        <v>663</v>
      </c>
      <c r="U49" s="537" t="s">
        <v>663</v>
      </c>
      <c r="V49" s="544" t="s">
        <v>662</v>
      </c>
      <c r="W49" s="544" t="s">
        <v>663</v>
      </c>
      <c r="X49" s="544" t="s">
        <v>663</v>
      </c>
      <c r="Y49" s="544" t="s">
        <v>663</v>
      </c>
      <c r="Z49" s="544" t="s">
        <v>663</v>
      </c>
      <c r="AA49" s="544" t="s">
        <v>663</v>
      </c>
      <c r="AB49" s="537" t="str">
        <f t="shared" si="12"/>
        <v>PHY</v>
      </c>
      <c r="AC49" s="537" t="s">
        <v>1247</v>
      </c>
      <c r="AD49" s="545" t="str" cm="1">
        <f t="array" ref="AD49">IF(SUMPRODUCT(ISNUMBER(SEARCH("y",R49:AA49))+0)=0,"",IF(AA49="y","400G",IF(Z49="y","100G",IF(X49="y","40G",IF(V49="y","10G",IF(S49="y","1G",IF(R49="y","100M",""))))))&amp;" "&amp;AB49&amp;" "&amp;AC49)</f>
        <v>10G PHY SFP+</v>
      </c>
      <c r="AE49" s="546" t="str">
        <f t="shared" si="11"/>
        <v>AT-XEM2-12XS 10G PHY SFP+</v>
      </c>
      <c r="AF49" s="912" t="str">
        <f t="shared" si="1"/>
        <v>ns</v>
      </c>
      <c r="AG49" s="405" t="str">
        <f t="shared" si="2"/>
        <v>ns</v>
      </c>
      <c r="AH49" s="405" t="str">
        <f t="shared" si="10"/>
        <v>.</v>
      </c>
      <c r="AI49" s="405" t="str">
        <f t="shared" si="3"/>
        <v>ns</v>
      </c>
      <c r="AJ49" s="405" t="str">
        <f t="shared" si="4"/>
        <v>ns</v>
      </c>
      <c r="AK49" s="922" t="s">
        <v>2278</v>
      </c>
      <c r="AL49" s="405" t="str">
        <f t="shared" si="5"/>
        <v>ns</v>
      </c>
      <c r="AM49" s="912" t="str">
        <f t="shared" si="6"/>
        <v>ns</v>
      </c>
      <c r="AN49" s="405" t="str">
        <f t="shared" si="7"/>
        <v>ns</v>
      </c>
      <c r="AO49" s="405" t="str">
        <f t="shared" si="8"/>
        <v>ns</v>
      </c>
      <c r="AP49" s="405" t="str">
        <f t="shared" si="9"/>
        <v>ns</v>
      </c>
      <c r="AQ49" s="547"/>
      <c r="AR49" t="s">
        <v>2337</v>
      </c>
    </row>
    <row r="50" spans="1:44">
      <c r="A50" s="537">
        <v>50</v>
      </c>
      <c r="B50" s="537" t="s">
        <v>591</v>
      </c>
      <c r="C50" s="538">
        <v>488</v>
      </c>
      <c r="D50" s="537" t="s">
        <v>1276</v>
      </c>
      <c r="E50" s="537" t="s">
        <v>1277</v>
      </c>
      <c r="F50" s="537" t="s">
        <v>663</v>
      </c>
      <c r="G50" s="537" t="s">
        <v>661</v>
      </c>
      <c r="H50" s="539" t="s">
        <v>848</v>
      </c>
      <c r="I50" s="540" t="s">
        <v>197</v>
      </c>
      <c r="J50" s="541" t="s">
        <v>853</v>
      </c>
      <c r="K50" s="540" t="s">
        <v>1276</v>
      </c>
      <c r="L50" s="558" t="s">
        <v>159</v>
      </c>
      <c r="M50" s="559" t="s">
        <v>159</v>
      </c>
      <c r="N50" s="543" t="s">
        <v>159</v>
      </c>
      <c r="O50" s="537" t="s">
        <v>159</v>
      </c>
      <c r="P50" s="537" t="s">
        <v>197</v>
      </c>
      <c r="Q50" s="544" t="s">
        <v>663</v>
      </c>
      <c r="R50" s="544" t="s">
        <v>663</v>
      </c>
      <c r="S50" s="544" t="s">
        <v>663</v>
      </c>
      <c r="T50" s="537" t="s">
        <v>663</v>
      </c>
      <c r="U50" s="537" t="s">
        <v>663</v>
      </c>
      <c r="V50" s="544" t="s">
        <v>663</v>
      </c>
      <c r="W50" s="544" t="s">
        <v>663</v>
      </c>
      <c r="X50" s="544" t="s">
        <v>663</v>
      </c>
      <c r="Y50" s="544" t="s">
        <v>663</v>
      </c>
      <c r="Z50" s="544" t="s">
        <v>663</v>
      </c>
      <c r="AA50" s="544" t="s">
        <v>663</v>
      </c>
      <c r="AB50" s="537" t="str">
        <f t="shared" si="12"/>
        <v/>
      </c>
      <c r="AC50" s="537"/>
      <c r="AD50" s="545" t="str" cm="1">
        <f t="array" ref="AD50">IF(SUMPRODUCT(ISNUMBER(SEARCH("y",R50:AA50))+0)=0,"",IF(AA50="y","400G",IF(Z50="y","100G",IF(X50="y","40G",IF(V50="y","10G",IF(S50="y","1G",IF(R50="y","100M",""))))))&amp;" "&amp;AB50&amp;" "&amp;AC50)</f>
        <v/>
      </c>
      <c r="AE50" s="546" t="str">
        <f t="shared" si="11"/>
        <v xml:space="preserve">AT-XEM2-12XT </v>
      </c>
      <c r="AF50" s="912" t="str">
        <f t="shared" si="1"/>
        <v>ns</v>
      </c>
      <c r="AG50" s="405" t="str">
        <f t="shared" si="2"/>
        <v>ns</v>
      </c>
      <c r="AH50" s="405" t="str">
        <f t="shared" si="10"/>
        <v>ns</v>
      </c>
      <c r="AI50" s="405" t="str">
        <f t="shared" si="3"/>
        <v>ns</v>
      </c>
      <c r="AJ50" s="405" t="str">
        <f t="shared" si="4"/>
        <v>ns</v>
      </c>
      <c r="AK50" s="922" t="str">
        <f t="shared" si="5"/>
        <v>ns</v>
      </c>
      <c r="AL50" s="405" t="str">
        <f t="shared" si="5"/>
        <v>ns</v>
      </c>
      <c r="AM50" s="912" t="str">
        <f t="shared" si="6"/>
        <v>ns</v>
      </c>
      <c r="AN50" s="405" t="str">
        <f t="shared" si="7"/>
        <v>ns</v>
      </c>
      <c r="AO50" s="405" t="str">
        <f t="shared" si="8"/>
        <v>ns</v>
      </c>
      <c r="AP50" s="405" t="str">
        <f t="shared" si="9"/>
        <v>ns</v>
      </c>
      <c r="AQ50" s="547"/>
      <c r="AR50" t="s">
        <v>2337</v>
      </c>
    </row>
    <row r="51" spans="1:44">
      <c r="A51" s="537">
        <v>51</v>
      </c>
      <c r="B51" s="537" t="s">
        <v>591</v>
      </c>
      <c r="C51" s="538">
        <v>493</v>
      </c>
      <c r="D51" s="537" t="s">
        <v>874</v>
      </c>
      <c r="E51" s="537" t="s">
        <v>1278</v>
      </c>
      <c r="F51" s="537" t="s">
        <v>663</v>
      </c>
      <c r="G51" s="537" t="s">
        <v>661</v>
      </c>
      <c r="H51" s="539" t="s">
        <v>848</v>
      </c>
      <c r="I51" s="540" t="s">
        <v>197</v>
      </c>
      <c r="J51" s="541" t="s">
        <v>869</v>
      </c>
      <c r="K51" s="540" t="s">
        <v>874</v>
      </c>
      <c r="L51" s="550" t="s">
        <v>674</v>
      </c>
      <c r="M51" s="541" t="s">
        <v>875</v>
      </c>
      <c r="N51" s="543" t="s">
        <v>870</v>
      </c>
      <c r="O51" s="544" t="s">
        <v>873</v>
      </c>
      <c r="P51" s="537" t="s">
        <v>647</v>
      </c>
      <c r="Q51" s="544" t="s">
        <v>663</v>
      </c>
      <c r="R51" s="544" t="s">
        <v>663</v>
      </c>
      <c r="S51" s="544" t="s">
        <v>663</v>
      </c>
      <c r="T51" s="537" t="s">
        <v>663</v>
      </c>
      <c r="U51" s="537" t="s">
        <v>663</v>
      </c>
      <c r="V51" s="544" t="s">
        <v>663</v>
      </c>
      <c r="W51" s="544" t="s">
        <v>663</v>
      </c>
      <c r="X51" s="544" t="s">
        <v>663</v>
      </c>
      <c r="Y51" s="544" t="s">
        <v>663</v>
      </c>
      <c r="Z51" s="544" t="s">
        <v>662</v>
      </c>
      <c r="AA51" s="544" t="s">
        <v>663</v>
      </c>
      <c r="AB51" s="537" t="str">
        <f t="shared" si="12"/>
        <v>PHY</v>
      </c>
      <c r="AC51" s="537" t="s">
        <v>1279</v>
      </c>
      <c r="AD51" s="545" t="str" cm="1">
        <f t="array" ref="AD51">IF(SUMPRODUCT(ISNUMBER(SEARCH("y",R51:AA51))+0)=0,"",IF(AA51="y","400G",IF(Z51="y","100G",IF(X51="y","40G",IF(V51="y","10G",IF(S51="y","1G",IF(R51="y","100M",""))))))&amp;" "&amp;AB51&amp;" "&amp;AC51)</f>
        <v>100G PHY QSFP28</v>
      </c>
      <c r="AE51" s="546" t="str">
        <f t="shared" si="11"/>
        <v>AT-XEM2-1CQ 100G PHY QSFP28</v>
      </c>
      <c r="AF51" s="912" t="str">
        <f t="shared" si="1"/>
        <v>ns</v>
      </c>
      <c r="AG51" s="405" t="str">
        <f t="shared" si="2"/>
        <v>ns</v>
      </c>
      <c r="AH51" s="405" t="str">
        <f t="shared" si="10"/>
        <v>ns</v>
      </c>
      <c r="AI51" s="405" t="str">
        <f t="shared" si="3"/>
        <v>ns</v>
      </c>
      <c r="AJ51" s="405" t="str">
        <f t="shared" si="4"/>
        <v>ns</v>
      </c>
      <c r="AK51" s="922" t="str">
        <f t="shared" si="5"/>
        <v>ns</v>
      </c>
      <c r="AL51" s="405" t="str">
        <f t="shared" si="5"/>
        <v>ns</v>
      </c>
      <c r="AM51" s="912" t="str">
        <f t="shared" si="6"/>
        <v>ns</v>
      </c>
      <c r="AN51" s="405" t="str">
        <f t="shared" si="7"/>
        <v>ns</v>
      </c>
      <c r="AO51" s="405" t="s">
        <v>2278</v>
      </c>
      <c r="AP51" s="405" t="str">
        <f t="shared" si="9"/>
        <v>ns</v>
      </c>
      <c r="AQ51" s="547"/>
      <c r="AR51" t="s">
        <v>2337</v>
      </c>
    </row>
    <row r="52" spans="1:44">
      <c r="A52" s="537">
        <v>52</v>
      </c>
      <c r="B52" s="537" t="s">
        <v>591</v>
      </c>
      <c r="C52" s="538">
        <v>545</v>
      </c>
      <c r="D52" s="537" t="s">
        <v>1280</v>
      </c>
      <c r="E52" s="537" t="s">
        <v>1281</v>
      </c>
      <c r="F52" s="537" t="s">
        <v>663</v>
      </c>
      <c r="G52" s="537" t="s">
        <v>661</v>
      </c>
      <c r="H52" s="539" t="s">
        <v>848</v>
      </c>
      <c r="I52" s="540" t="s">
        <v>197</v>
      </c>
      <c r="J52" s="541" t="s">
        <v>598</v>
      </c>
      <c r="K52" s="540" t="s">
        <v>1280</v>
      </c>
      <c r="L52" s="558" t="s">
        <v>159</v>
      </c>
      <c r="M52" s="559" t="s">
        <v>159</v>
      </c>
      <c r="N52" s="543" t="s">
        <v>159</v>
      </c>
      <c r="O52" s="537" t="s">
        <v>159</v>
      </c>
      <c r="P52" s="537" t="s">
        <v>197</v>
      </c>
      <c r="Q52" s="544" t="s">
        <v>663</v>
      </c>
      <c r="R52" s="544" t="s">
        <v>663</v>
      </c>
      <c r="S52" s="544" t="s">
        <v>663</v>
      </c>
      <c r="T52" s="537" t="s">
        <v>662</v>
      </c>
      <c r="U52" s="537" t="s">
        <v>662</v>
      </c>
      <c r="V52" s="544" t="s">
        <v>663</v>
      </c>
      <c r="W52" s="544" t="s">
        <v>663</v>
      </c>
      <c r="X52" s="544" t="s">
        <v>663</v>
      </c>
      <c r="Y52" s="544" t="s">
        <v>663</v>
      </c>
      <c r="Z52" s="544" t="s">
        <v>663</v>
      </c>
      <c r="AA52" s="544" t="s">
        <v>663</v>
      </c>
      <c r="AB52" s="537" t="str">
        <f t="shared" si="12"/>
        <v/>
      </c>
      <c r="AC52" s="537"/>
      <c r="AD52" s="545" t="str" cm="1">
        <f t="array" ref="AD52">IF(SUMPRODUCT(ISNUMBER(SEARCH("y",R52:AA52))+0)=0,"",IF(AA52="y","400G",IF(Z52="y","100G",IF(X52="y","40G",IF(V52="y","10G",IF(S52="y","1G",IF(R52="y","100M",""))))))&amp;" "&amp;AB52&amp;" "&amp;AC52)</f>
        <v xml:space="preserve">  </v>
      </c>
      <c r="AE52" s="546" t="str">
        <f t="shared" si="11"/>
        <v xml:space="preserve">AT-XEM2-12XTm   </v>
      </c>
      <c r="AF52" s="912" t="str">
        <f t="shared" si="1"/>
        <v>ns</v>
      </c>
      <c r="AG52" s="405" t="str">
        <f t="shared" si="2"/>
        <v>ns</v>
      </c>
      <c r="AH52" s="405" t="str">
        <f t="shared" si="10"/>
        <v>ns</v>
      </c>
      <c r="AI52" s="405" t="str">
        <f t="shared" si="3"/>
        <v>.</v>
      </c>
      <c r="AJ52" s="405" t="str">
        <f t="shared" si="4"/>
        <v>.</v>
      </c>
      <c r="AK52" s="922" t="str">
        <f t="shared" si="5"/>
        <v>ns</v>
      </c>
      <c r="AL52" s="405" t="str">
        <f t="shared" si="5"/>
        <v>ns</v>
      </c>
      <c r="AM52" s="912" t="str">
        <f t="shared" si="6"/>
        <v>ns</v>
      </c>
      <c r="AN52" s="405" t="str">
        <f t="shared" si="7"/>
        <v>ns</v>
      </c>
      <c r="AO52" s="405" t="str">
        <f t="shared" si="8"/>
        <v>ns</v>
      </c>
      <c r="AP52" s="405" t="str">
        <f t="shared" si="9"/>
        <v>ns</v>
      </c>
      <c r="AQ52" s="547"/>
      <c r="AR52" t="s">
        <v>2338</v>
      </c>
    </row>
    <row r="53" spans="1:44">
      <c r="A53" s="537">
        <v>53</v>
      </c>
      <c r="B53" s="537" t="s">
        <v>591</v>
      </c>
      <c r="C53" s="538">
        <v>546</v>
      </c>
      <c r="D53" s="537" t="s">
        <v>1282</v>
      </c>
      <c r="E53" s="537" t="s">
        <v>1283</v>
      </c>
      <c r="F53" s="537" t="s">
        <v>663</v>
      </c>
      <c r="G53" s="537" t="s">
        <v>661</v>
      </c>
      <c r="H53" s="539" t="s">
        <v>848</v>
      </c>
      <c r="I53" s="540" t="s">
        <v>197</v>
      </c>
      <c r="J53" s="541" t="s">
        <v>877</v>
      </c>
      <c r="K53" s="540" t="s">
        <v>1282</v>
      </c>
      <c r="L53" s="550" t="s">
        <v>734</v>
      </c>
      <c r="M53" s="541" t="s">
        <v>884</v>
      </c>
      <c r="N53" s="543" t="s">
        <v>878</v>
      </c>
      <c r="O53" s="544" t="s">
        <v>883</v>
      </c>
      <c r="P53" s="537" t="s">
        <v>1231</v>
      </c>
      <c r="Q53" s="544" t="s">
        <v>663</v>
      </c>
      <c r="R53" s="544" t="s">
        <v>663</v>
      </c>
      <c r="S53" s="537" t="s">
        <v>662</v>
      </c>
      <c r="T53" s="537" t="s">
        <v>662</v>
      </c>
      <c r="U53" s="537" t="s">
        <v>662</v>
      </c>
      <c r="V53" s="544" t="s">
        <v>662</v>
      </c>
      <c r="W53" s="544" t="s">
        <v>663</v>
      </c>
      <c r="X53" s="544" t="s">
        <v>663</v>
      </c>
      <c r="Y53" s="544" t="s">
        <v>663</v>
      </c>
      <c r="Z53" s="544" t="s">
        <v>663</v>
      </c>
      <c r="AA53" s="544" t="s">
        <v>663</v>
      </c>
      <c r="AB53" s="537" t="str">
        <f t="shared" si="12"/>
        <v>PHY</v>
      </c>
      <c r="AC53" s="537" t="s">
        <v>1247</v>
      </c>
      <c r="AD53" s="545" t="str" cm="1">
        <f t="array" ref="AD53">IF(SUMPRODUCT(ISNUMBER(SEARCH("y",R53:AA53))+0)=0,"",IF(AA53="y","400G",IF(Z53="y","100G",IF(X53="y","40G",IF(V53="y","10G",IF(S53="y","1G",IF(R53="y","100M",""))))))&amp;" "&amp;AB53&amp;" "&amp;AC53)</f>
        <v>10G PHY SFP+</v>
      </c>
      <c r="AE53" s="546" t="str">
        <f t="shared" si="11"/>
        <v>AT-XEM2-8XSTm 10G PHY SFP+</v>
      </c>
      <c r="AF53" s="912" t="str">
        <f t="shared" si="1"/>
        <v>ns</v>
      </c>
      <c r="AG53" s="405" t="str">
        <f t="shared" si="2"/>
        <v>ns</v>
      </c>
      <c r="AH53" s="405" t="str">
        <f t="shared" si="10"/>
        <v>.</v>
      </c>
      <c r="AI53" s="405" t="str">
        <f t="shared" si="3"/>
        <v>.</v>
      </c>
      <c r="AJ53" s="405" t="str">
        <f t="shared" si="4"/>
        <v>.</v>
      </c>
      <c r="AK53" s="922" t="str">
        <f t="shared" si="5"/>
        <v>.</v>
      </c>
      <c r="AL53" s="405" t="str">
        <f t="shared" si="5"/>
        <v>ns</v>
      </c>
      <c r="AM53" s="912" t="str">
        <f t="shared" si="6"/>
        <v>ns</v>
      </c>
      <c r="AN53" s="405" t="str">
        <f t="shared" si="7"/>
        <v>ns</v>
      </c>
      <c r="AO53" s="405" t="str">
        <f t="shared" si="8"/>
        <v>ns</v>
      </c>
      <c r="AP53" s="405" t="str">
        <f t="shared" si="9"/>
        <v>ns</v>
      </c>
      <c r="AQ53" s="547"/>
      <c r="AR53" t="s">
        <v>2337</v>
      </c>
    </row>
    <row r="54" spans="1:44">
      <c r="A54" s="537">
        <v>54</v>
      </c>
      <c r="B54" s="537" t="s">
        <v>591</v>
      </c>
      <c r="C54" s="538">
        <v>559</v>
      </c>
      <c r="D54" s="537" t="s">
        <v>1284</v>
      </c>
      <c r="E54" s="537" t="s">
        <v>1285</v>
      </c>
      <c r="F54" s="537" t="s">
        <v>663</v>
      </c>
      <c r="G54" s="537" t="s">
        <v>661</v>
      </c>
      <c r="H54" s="539" t="s">
        <v>848</v>
      </c>
      <c r="I54" s="540" t="s">
        <v>197</v>
      </c>
      <c r="J54" s="541" t="s">
        <v>877</v>
      </c>
      <c r="K54" s="540" t="s">
        <v>1284</v>
      </c>
      <c r="L54" s="550" t="s">
        <v>734</v>
      </c>
      <c r="M54" s="541" t="s">
        <v>881</v>
      </c>
      <c r="N54" s="543" t="s">
        <v>878</v>
      </c>
      <c r="O54" s="544" t="s">
        <v>780</v>
      </c>
      <c r="P54" s="537" t="s">
        <v>1231</v>
      </c>
      <c r="Q54" s="544" t="s">
        <v>663</v>
      </c>
      <c r="R54" s="544" t="s">
        <v>663</v>
      </c>
      <c r="S54" s="537" t="s">
        <v>662</v>
      </c>
      <c r="T54" s="537" t="s">
        <v>663</v>
      </c>
      <c r="U54" s="537" t="s">
        <v>663</v>
      </c>
      <c r="V54" s="544" t="s">
        <v>662</v>
      </c>
      <c r="W54" s="544" t="s">
        <v>663</v>
      </c>
      <c r="X54" s="544" t="s">
        <v>663</v>
      </c>
      <c r="Y54" s="544" t="s">
        <v>663</v>
      </c>
      <c r="Z54" s="544" t="s">
        <v>663</v>
      </c>
      <c r="AA54" s="544" t="s">
        <v>663</v>
      </c>
      <c r="AB54" s="537" t="str">
        <f t="shared" si="12"/>
        <v>PHY</v>
      </c>
      <c r="AC54" s="537" t="s">
        <v>1247</v>
      </c>
      <c r="AD54" s="545" t="str" cm="1">
        <f t="array" ref="AD54">IF(SUMPRODUCT(ISNUMBER(SEARCH("y",R54:AA54))+0)=0,"",IF(AA54="y","400G",IF(Z54="y","100G",IF(X54="y","40G",IF(V54="y","10G",IF(S54="y","1G",IF(R54="y","100M",""))))))&amp;" "&amp;AB54&amp;" "&amp;AC54)</f>
        <v>10G PHY SFP+</v>
      </c>
      <c r="AE54" s="546" t="str">
        <f t="shared" si="11"/>
        <v>AT-XEM2-12XS v2 10G PHY SFP+</v>
      </c>
      <c r="AF54" s="912" t="str">
        <f t="shared" si="1"/>
        <v>ns</v>
      </c>
      <c r="AG54" s="405" t="str">
        <f t="shared" si="2"/>
        <v>ns</v>
      </c>
      <c r="AH54" s="405" t="str">
        <f t="shared" si="10"/>
        <v>.</v>
      </c>
      <c r="AI54" s="405" t="str">
        <f t="shared" si="3"/>
        <v>ns</v>
      </c>
      <c r="AJ54" s="405" t="str">
        <f t="shared" si="4"/>
        <v>ns</v>
      </c>
      <c r="AK54" s="922" t="str">
        <f t="shared" si="5"/>
        <v>.</v>
      </c>
      <c r="AL54" s="405" t="str">
        <f t="shared" si="5"/>
        <v>ns</v>
      </c>
      <c r="AM54" s="912" t="str">
        <f t="shared" si="6"/>
        <v>ns</v>
      </c>
      <c r="AN54" s="405" t="str">
        <f t="shared" si="7"/>
        <v>ns</v>
      </c>
      <c r="AO54" s="405" t="str">
        <f t="shared" si="8"/>
        <v>ns</v>
      </c>
      <c r="AP54" s="405" t="str">
        <f t="shared" si="9"/>
        <v>ns</v>
      </c>
      <c r="AQ54" s="547"/>
      <c r="AR54" t="s">
        <v>2337</v>
      </c>
    </row>
    <row r="55" spans="1:44">
      <c r="A55" s="504">
        <v>55</v>
      </c>
      <c r="B55" s="504" t="s">
        <v>192</v>
      </c>
      <c r="C55" s="505">
        <v>547</v>
      </c>
      <c r="D55" s="504" t="s">
        <v>1082</v>
      </c>
      <c r="E55" s="504" t="s">
        <v>1286</v>
      </c>
      <c r="F55" s="504" t="s">
        <v>663</v>
      </c>
      <c r="G55" s="504" t="s">
        <v>661</v>
      </c>
      <c r="H55" s="506" t="s">
        <v>848</v>
      </c>
      <c r="I55" s="515" t="s">
        <v>1074</v>
      </c>
      <c r="J55" s="516" t="s">
        <v>1075</v>
      </c>
      <c r="K55" s="515" t="s">
        <v>197</v>
      </c>
      <c r="L55" s="523" t="s">
        <v>197</v>
      </c>
      <c r="M55" s="524" t="s">
        <v>197</v>
      </c>
      <c r="N55" s="518" t="s">
        <v>870</v>
      </c>
      <c r="O55" s="519" t="s">
        <v>1287</v>
      </c>
      <c r="P55" s="504" t="s">
        <v>1076</v>
      </c>
      <c r="Q55" s="519" t="s">
        <v>663</v>
      </c>
      <c r="R55" s="519" t="s">
        <v>663</v>
      </c>
      <c r="S55" s="519" t="s">
        <v>663</v>
      </c>
      <c r="T55" s="504" t="s">
        <v>663</v>
      </c>
      <c r="U55" s="519" t="s">
        <v>663</v>
      </c>
      <c r="V55" s="519" t="s">
        <v>663</v>
      </c>
      <c r="W55" s="519" t="s">
        <v>663</v>
      </c>
      <c r="X55" s="519" t="s">
        <v>662</v>
      </c>
      <c r="Y55" s="519" t="s">
        <v>663</v>
      </c>
      <c r="Z55" s="519" t="s">
        <v>662</v>
      </c>
      <c r="AA55" s="519" t="s">
        <v>663</v>
      </c>
      <c r="AB55" s="519" t="str">
        <f t="shared" si="12"/>
        <v>PHY</v>
      </c>
      <c r="AC55" s="504" t="s">
        <v>1192</v>
      </c>
      <c r="AD55" s="520" t="str" cm="1">
        <f t="array" ref="AD55">IF(SUMPRODUCT(ISNUMBER(SEARCH("y",R55:AA55))+0)=0,"",IF(AA55="y","400G",IF(Z55="y","100G",IF(X55="y","40G",IF(V55="y","10G",IF(S55="y","1G",IF(R55="y","100M",""))))))&amp;" "&amp;AB55&amp;" "&amp;AC55)</f>
        <v>100G PHY UPLINK</v>
      </c>
      <c r="AE55" s="521" t="str">
        <f t="shared" si="11"/>
        <v/>
      </c>
      <c r="AF55" s="909" t="str">
        <f t="shared" si="1"/>
        <v>ns</v>
      </c>
      <c r="AG55" s="908" t="str">
        <f t="shared" si="2"/>
        <v>ns</v>
      </c>
      <c r="AH55" s="908" t="str">
        <f t="shared" si="10"/>
        <v>ns</v>
      </c>
      <c r="AI55" s="908" t="str">
        <f t="shared" si="3"/>
        <v>ns</v>
      </c>
      <c r="AJ55" s="908" t="str">
        <f t="shared" si="4"/>
        <v>ns</v>
      </c>
      <c r="AK55" s="920" t="str">
        <f t="shared" si="5"/>
        <v>ns</v>
      </c>
      <c r="AL55" s="908" t="str">
        <f t="shared" si="5"/>
        <v>ns</v>
      </c>
      <c r="AM55" s="909" t="str">
        <f t="shared" si="6"/>
        <v>.</v>
      </c>
      <c r="AN55" s="908" t="str">
        <f t="shared" si="7"/>
        <v>ns</v>
      </c>
      <c r="AO55" s="908" t="str">
        <f t="shared" si="8"/>
        <v>.</v>
      </c>
      <c r="AP55" s="908" t="str">
        <f t="shared" si="9"/>
        <v>ns</v>
      </c>
      <c r="AQ55" s="522"/>
      <c r="AR55" t="s">
        <v>2337</v>
      </c>
    </row>
    <row r="56" spans="1:44">
      <c r="A56" s="504">
        <v>56</v>
      </c>
      <c r="B56" s="504" t="s">
        <v>192</v>
      </c>
      <c r="C56" s="505">
        <v>548</v>
      </c>
      <c r="D56" s="504" t="s">
        <v>1073</v>
      </c>
      <c r="E56" s="504" t="s">
        <v>1288</v>
      </c>
      <c r="F56" s="504" t="s">
        <v>663</v>
      </c>
      <c r="G56" s="504" t="s">
        <v>661</v>
      </c>
      <c r="H56" s="506" t="s">
        <v>848</v>
      </c>
      <c r="I56" s="515" t="s">
        <v>1074</v>
      </c>
      <c r="J56" s="516" t="s">
        <v>1075</v>
      </c>
      <c r="K56" s="515" t="s">
        <v>1073</v>
      </c>
      <c r="L56" s="517" t="s">
        <v>674</v>
      </c>
      <c r="M56" s="516" t="s">
        <v>1080</v>
      </c>
      <c r="N56" s="518" t="s">
        <v>870</v>
      </c>
      <c r="O56" s="519" t="s">
        <v>899</v>
      </c>
      <c r="P56" s="504" t="s">
        <v>1200</v>
      </c>
      <c r="Q56" s="519" t="s">
        <v>663</v>
      </c>
      <c r="R56" s="519" t="s">
        <v>663</v>
      </c>
      <c r="S56" s="504" t="s">
        <v>662</v>
      </c>
      <c r="T56" s="504" t="s">
        <v>663</v>
      </c>
      <c r="U56" s="519" t="s">
        <v>663</v>
      </c>
      <c r="V56" s="519" t="s">
        <v>662</v>
      </c>
      <c r="W56" s="519" t="s">
        <v>663</v>
      </c>
      <c r="X56" s="519" t="s">
        <v>663</v>
      </c>
      <c r="Y56" s="519" t="s">
        <v>663</v>
      </c>
      <c r="Z56" s="519" t="s">
        <v>663</v>
      </c>
      <c r="AA56" s="519" t="s">
        <v>663</v>
      </c>
      <c r="AB56" s="519" t="str">
        <f t="shared" si="12"/>
        <v>PHY</v>
      </c>
      <c r="AC56" s="504" t="s">
        <v>1201</v>
      </c>
      <c r="AD56" s="520" t="str" cm="1">
        <f t="array" ref="AD56">IF(SUMPRODUCT(ISNUMBER(SEARCH("y",R56:AA56))+0)=0,"",IF(AA56="y","400G",IF(Z56="y","100G",IF(X56="y","40G",IF(V56="y","10G",IF(S56="y","1G",IF(R56="y","100M",""))))))&amp;" "&amp;AB56&amp;" "&amp;AC56)</f>
        <v>10G PHY BASE</v>
      </c>
      <c r="AE56" s="521" t="str">
        <f t="shared" si="11"/>
        <v>AT-x950-28XSQ 10G PHY BASE</v>
      </c>
      <c r="AF56" s="909" t="str">
        <f t="shared" si="1"/>
        <v>ns</v>
      </c>
      <c r="AG56" s="908" t="str">
        <f t="shared" si="2"/>
        <v>ns</v>
      </c>
      <c r="AH56" s="908" t="str">
        <f t="shared" si="10"/>
        <v>.</v>
      </c>
      <c r="AI56" s="908" t="str">
        <f t="shared" si="3"/>
        <v>ns</v>
      </c>
      <c r="AJ56" s="908" t="str">
        <f t="shared" si="4"/>
        <v>ns</v>
      </c>
      <c r="AK56" s="920" t="str">
        <f t="shared" si="5"/>
        <v>.</v>
      </c>
      <c r="AL56" s="908" t="str">
        <f t="shared" si="5"/>
        <v>ns</v>
      </c>
      <c r="AM56" s="909" t="str">
        <f t="shared" si="6"/>
        <v>ns</v>
      </c>
      <c r="AN56" s="908" t="str">
        <f t="shared" si="7"/>
        <v>ns</v>
      </c>
      <c r="AO56" s="908" t="str">
        <f t="shared" si="8"/>
        <v>ns</v>
      </c>
      <c r="AP56" s="908" t="str">
        <f t="shared" si="9"/>
        <v>ns</v>
      </c>
      <c r="AQ56" s="522"/>
      <c r="AR56" t="s">
        <v>2338</v>
      </c>
    </row>
    <row r="57" spans="1:44">
      <c r="A57" s="504">
        <v>57</v>
      </c>
      <c r="B57" s="504" t="s">
        <v>192</v>
      </c>
      <c r="C57" s="505">
        <v>548</v>
      </c>
      <c r="D57" s="504" t="s">
        <v>1073</v>
      </c>
      <c r="E57" s="504" t="s">
        <v>1288</v>
      </c>
      <c r="F57" s="504" t="s">
        <v>663</v>
      </c>
      <c r="G57" s="504" t="s">
        <v>661</v>
      </c>
      <c r="H57" s="506" t="s">
        <v>848</v>
      </c>
      <c r="I57" s="515" t="s">
        <v>1074</v>
      </c>
      <c r="J57" s="516" t="s">
        <v>688</v>
      </c>
      <c r="K57" s="515" t="s">
        <v>1073</v>
      </c>
      <c r="L57" s="517" t="s">
        <v>674</v>
      </c>
      <c r="M57" s="516" t="s">
        <v>1080</v>
      </c>
      <c r="N57" s="518" t="s">
        <v>689</v>
      </c>
      <c r="O57" s="519" t="s">
        <v>1287</v>
      </c>
      <c r="P57" s="504" t="s">
        <v>1076</v>
      </c>
      <c r="Q57" s="519" t="s">
        <v>663</v>
      </c>
      <c r="R57" s="519" t="s">
        <v>663</v>
      </c>
      <c r="S57" s="519" t="s">
        <v>663</v>
      </c>
      <c r="T57" s="504" t="s">
        <v>663</v>
      </c>
      <c r="U57" s="519" t="s">
        <v>663</v>
      </c>
      <c r="V57" s="519" t="s">
        <v>663</v>
      </c>
      <c r="W57" s="519" t="s">
        <v>663</v>
      </c>
      <c r="X57" s="519" t="s">
        <v>662</v>
      </c>
      <c r="Y57" s="519" t="s">
        <v>663</v>
      </c>
      <c r="Z57" s="519" t="s">
        <v>662</v>
      </c>
      <c r="AA57" s="519" t="s">
        <v>663</v>
      </c>
      <c r="AB57" s="519" t="str">
        <f t="shared" si="12"/>
        <v>DC</v>
      </c>
      <c r="AC57" s="504" t="s">
        <v>1192</v>
      </c>
      <c r="AD57" s="520" t="str" cm="1">
        <f t="array" ref="AD57">IF(SUMPRODUCT(ISNUMBER(SEARCH("y",R57:AA57))+0)=0,"",IF(AA57="y","400G",IF(Z57="y","100G",IF(X57="y","40G",IF(V57="y","10G",IF(S57="y","1G",IF(R57="y","100M",""))))))&amp;" "&amp;AB57&amp;" "&amp;AC57)</f>
        <v>100G DC UPLINK</v>
      </c>
      <c r="AE57" s="521" t="str">
        <f t="shared" si="11"/>
        <v>AT-x950-28XSQ 100G DC UPLINK</v>
      </c>
      <c r="AF57" s="909" t="str">
        <f t="shared" si="1"/>
        <v>ns</v>
      </c>
      <c r="AG57" s="908" t="str">
        <f t="shared" si="2"/>
        <v>ns</v>
      </c>
      <c r="AH57" s="908" t="str">
        <f t="shared" si="10"/>
        <v>ns</v>
      </c>
      <c r="AI57" s="908" t="str">
        <f t="shared" si="3"/>
        <v>ns</v>
      </c>
      <c r="AJ57" s="908" t="str">
        <f t="shared" si="4"/>
        <v>ns</v>
      </c>
      <c r="AK57" s="920" t="str">
        <f t="shared" si="5"/>
        <v>ns</v>
      </c>
      <c r="AL57" s="908" t="str">
        <f t="shared" si="5"/>
        <v>ns</v>
      </c>
      <c r="AM57" s="909" t="str">
        <f t="shared" si="6"/>
        <v>.</v>
      </c>
      <c r="AN57" s="908" t="str">
        <f t="shared" si="7"/>
        <v>ns</v>
      </c>
      <c r="AO57" s="908" t="str">
        <f t="shared" si="8"/>
        <v>.</v>
      </c>
      <c r="AP57" s="908" t="str">
        <f t="shared" si="9"/>
        <v>ns</v>
      </c>
      <c r="AQ57" s="522"/>
      <c r="AR57" t="s">
        <v>2338</v>
      </c>
    </row>
    <row r="58" spans="1:44">
      <c r="A58" s="504">
        <v>58</v>
      </c>
      <c r="B58" s="504" t="s">
        <v>192</v>
      </c>
      <c r="C58" s="505">
        <v>576</v>
      </c>
      <c r="D58" s="504" t="s">
        <v>1083</v>
      </c>
      <c r="E58" s="504" t="s">
        <v>1289</v>
      </c>
      <c r="F58" s="504" t="s">
        <v>663</v>
      </c>
      <c r="G58" s="504" t="s">
        <v>661</v>
      </c>
      <c r="H58" s="506" t="s">
        <v>848</v>
      </c>
      <c r="I58" s="515" t="s">
        <v>1074</v>
      </c>
      <c r="J58" s="516" t="s">
        <v>1075</v>
      </c>
      <c r="K58" s="515" t="s">
        <v>197</v>
      </c>
      <c r="L58" s="523" t="s">
        <v>197</v>
      </c>
      <c r="M58" s="524" t="s">
        <v>197</v>
      </c>
      <c r="N58" s="518" t="s">
        <v>870</v>
      </c>
      <c r="O58" s="519" t="s">
        <v>1199</v>
      </c>
      <c r="P58" s="504" t="s">
        <v>1200</v>
      </c>
      <c r="Q58" s="519" t="s">
        <v>663</v>
      </c>
      <c r="R58" s="519" t="s">
        <v>663</v>
      </c>
      <c r="S58" s="504" t="s">
        <v>662</v>
      </c>
      <c r="T58" s="504" t="s">
        <v>663</v>
      </c>
      <c r="U58" s="519" t="s">
        <v>663</v>
      </c>
      <c r="V58" s="519" t="s">
        <v>662</v>
      </c>
      <c r="W58" s="519" t="s">
        <v>663</v>
      </c>
      <c r="X58" s="519" t="s">
        <v>663</v>
      </c>
      <c r="Y58" s="519" t="s">
        <v>663</v>
      </c>
      <c r="Z58" s="519" t="s">
        <v>663</v>
      </c>
      <c r="AA58" s="519" t="s">
        <v>663</v>
      </c>
      <c r="AB58" s="519" t="str">
        <f t="shared" si="12"/>
        <v>PHY</v>
      </c>
      <c r="AC58" s="504" t="s">
        <v>1201</v>
      </c>
      <c r="AD58" s="520" t="str" cm="1">
        <f t="array" ref="AD58">IF(SUMPRODUCT(ISNUMBER(SEARCH("y",R58:AA58))+0)=0,"",IF(AA58="y","400G",IF(Z58="y","100G",IF(X58="y","40G",IF(V58="y","10G",IF(S58="y","1G",IF(R58="y","100M",""))))))&amp;" "&amp;AB58&amp;" "&amp;AC58)</f>
        <v>10G PHY BASE</v>
      </c>
      <c r="AE58" s="521" t="str">
        <f t="shared" si="11"/>
        <v/>
      </c>
      <c r="AF58" s="909" t="str">
        <f t="shared" si="1"/>
        <v>ns</v>
      </c>
      <c r="AG58" s="908" t="str">
        <f t="shared" si="2"/>
        <v>ns</v>
      </c>
      <c r="AH58" s="908" t="str">
        <f t="shared" si="10"/>
        <v>.</v>
      </c>
      <c r="AI58" s="908" t="str">
        <f t="shared" si="3"/>
        <v>ns</v>
      </c>
      <c r="AJ58" s="908" t="str">
        <f t="shared" si="4"/>
        <v>ns</v>
      </c>
      <c r="AK58" s="920" t="str">
        <f t="shared" si="5"/>
        <v>.</v>
      </c>
      <c r="AL58" s="908" t="str">
        <f t="shared" si="5"/>
        <v>ns</v>
      </c>
      <c r="AM58" s="909" t="str">
        <f t="shared" si="6"/>
        <v>ns</v>
      </c>
      <c r="AN58" s="908" t="str">
        <f t="shared" si="7"/>
        <v>ns</v>
      </c>
      <c r="AO58" s="908" t="str">
        <f t="shared" si="8"/>
        <v>ns</v>
      </c>
      <c r="AP58" s="908" t="str">
        <f t="shared" si="9"/>
        <v>ns</v>
      </c>
      <c r="AQ58" s="522"/>
      <c r="AR58" t="s">
        <v>2338</v>
      </c>
    </row>
    <row r="59" spans="1:44">
      <c r="A59" s="504">
        <v>59</v>
      </c>
      <c r="B59" s="504" t="s">
        <v>192</v>
      </c>
      <c r="C59" s="505">
        <v>576</v>
      </c>
      <c r="D59" s="504" t="s">
        <v>1083</v>
      </c>
      <c r="E59" s="504" t="s">
        <v>1289</v>
      </c>
      <c r="F59" s="504" t="s">
        <v>663</v>
      </c>
      <c r="G59" s="504" t="s">
        <v>661</v>
      </c>
      <c r="H59" s="506" t="s">
        <v>848</v>
      </c>
      <c r="I59" s="515" t="s">
        <v>1074</v>
      </c>
      <c r="J59" s="516" t="s">
        <v>688</v>
      </c>
      <c r="K59" s="515" t="s">
        <v>197</v>
      </c>
      <c r="L59" s="523" t="s">
        <v>197</v>
      </c>
      <c r="M59" s="524" t="s">
        <v>197</v>
      </c>
      <c r="N59" s="518" t="s">
        <v>689</v>
      </c>
      <c r="O59" s="519" t="s">
        <v>2523</v>
      </c>
      <c r="P59" s="504" t="s">
        <v>1076</v>
      </c>
      <c r="Q59" s="519" t="s">
        <v>663</v>
      </c>
      <c r="R59" s="519" t="s">
        <v>663</v>
      </c>
      <c r="S59" s="519" t="s">
        <v>663</v>
      </c>
      <c r="T59" s="504" t="s">
        <v>663</v>
      </c>
      <c r="U59" s="519" t="s">
        <v>663</v>
      </c>
      <c r="V59" s="519" t="s">
        <v>663</v>
      </c>
      <c r="W59" s="519" t="s">
        <v>663</v>
      </c>
      <c r="X59" s="519" t="s">
        <v>662</v>
      </c>
      <c r="Y59" s="519" t="s">
        <v>663</v>
      </c>
      <c r="Z59" s="519" t="s">
        <v>662</v>
      </c>
      <c r="AA59" s="519" t="s">
        <v>663</v>
      </c>
      <c r="AB59" s="519" t="str">
        <f t="shared" si="12"/>
        <v>DC</v>
      </c>
      <c r="AC59" s="504" t="s">
        <v>1192</v>
      </c>
      <c r="AD59" s="520" t="str" cm="1">
        <f t="array" ref="AD59">IF(SUMPRODUCT(ISNUMBER(SEARCH("y",R59:AA59))+0)=0,"",IF(AA59="y","400G",IF(Z59="y","100G",IF(X59="y","40G",IF(V59="y","10G",IF(S59="y","1G",IF(R59="y","100M",""))))))&amp;" "&amp;AB59&amp;" "&amp;AC59)</f>
        <v>100G DC UPLINK</v>
      </c>
      <c r="AE59" s="521" t="str">
        <f t="shared" si="11"/>
        <v/>
      </c>
      <c r="AF59" s="909" t="str">
        <f t="shared" si="1"/>
        <v>ns</v>
      </c>
      <c r="AG59" s="908" t="str">
        <f t="shared" si="2"/>
        <v>ns</v>
      </c>
      <c r="AH59" s="908" t="str">
        <f t="shared" si="10"/>
        <v>ns</v>
      </c>
      <c r="AI59" s="908" t="str">
        <f t="shared" si="3"/>
        <v>ns</v>
      </c>
      <c r="AJ59" s="908" t="str">
        <f t="shared" si="4"/>
        <v>ns</v>
      </c>
      <c r="AK59" s="920" t="str">
        <f t="shared" si="5"/>
        <v>ns</v>
      </c>
      <c r="AL59" s="908" t="str">
        <f t="shared" si="5"/>
        <v>ns</v>
      </c>
      <c r="AM59" s="909" t="str">
        <f t="shared" si="6"/>
        <v>.</v>
      </c>
      <c r="AN59" s="908" t="str">
        <f t="shared" si="7"/>
        <v>ns</v>
      </c>
      <c r="AO59" s="908" t="str">
        <f t="shared" si="8"/>
        <v>.</v>
      </c>
      <c r="AP59" s="908" t="str">
        <f t="shared" si="9"/>
        <v>ns</v>
      </c>
      <c r="AQ59" s="522"/>
      <c r="AR59" t="s">
        <v>2338</v>
      </c>
    </row>
    <row r="60" spans="1:44">
      <c r="A60" s="504">
        <v>60</v>
      </c>
      <c r="B60" s="504" t="s">
        <v>192</v>
      </c>
      <c r="C60" s="505">
        <v>575</v>
      </c>
      <c r="D60" s="504" t="s">
        <v>1290</v>
      </c>
      <c r="E60" s="504" t="s">
        <v>1291</v>
      </c>
      <c r="F60" s="504" t="s">
        <v>663</v>
      </c>
      <c r="G60" s="504" t="s">
        <v>661</v>
      </c>
      <c r="H60" s="506" t="s">
        <v>848</v>
      </c>
      <c r="I60" s="515" t="s">
        <v>1074</v>
      </c>
      <c r="J60" s="516" t="s">
        <v>1075</v>
      </c>
      <c r="K60" s="515" t="s">
        <v>197</v>
      </c>
      <c r="L60" s="523" t="s">
        <v>197</v>
      </c>
      <c r="M60" s="524" t="s">
        <v>197</v>
      </c>
      <c r="N60" s="518" t="s">
        <v>870</v>
      </c>
      <c r="O60" s="519" t="s">
        <v>1292</v>
      </c>
      <c r="P60" s="504" t="s">
        <v>1076</v>
      </c>
      <c r="Q60" s="519" t="s">
        <v>663</v>
      </c>
      <c r="R60" s="519" t="s">
        <v>663</v>
      </c>
      <c r="S60" s="519" t="s">
        <v>663</v>
      </c>
      <c r="T60" s="504" t="s">
        <v>663</v>
      </c>
      <c r="U60" s="519" t="s">
        <v>663</v>
      </c>
      <c r="V60" s="519" t="s">
        <v>663</v>
      </c>
      <c r="W60" s="519" t="s">
        <v>663</v>
      </c>
      <c r="X60" s="519" t="s">
        <v>662</v>
      </c>
      <c r="Y60" s="519" t="s">
        <v>663</v>
      </c>
      <c r="Z60" s="519" t="s">
        <v>662</v>
      </c>
      <c r="AA60" s="519" t="s">
        <v>663</v>
      </c>
      <c r="AB60" s="519" t="str">
        <f t="shared" si="12"/>
        <v>PHY</v>
      </c>
      <c r="AC60" s="504" t="s">
        <v>1192</v>
      </c>
      <c r="AD60" s="520" t="str" cm="1">
        <f t="array" ref="AD60">IF(SUMPRODUCT(ISNUMBER(SEARCH("y",R60:AA60))+0)=0,"",IF(AA60="y","400G",IF(Z60="y","100G",IF(X60="y","40G",IF(V60="y","10G",IF(S60="y","1G",IF(R60="y","100M",""))))))&amp;" "&amp;AB60&amp;" "&amp;AC60)</f>
        <v>100G PHY UPLINK</v>
      </c>
      <c r="AE60" s="521" t="str">
        <f t="shared" si="11"/>
        <v/>
      </c>
      <c r="AF60" s="909" t="str">
        <f t="shared" si="1"/>
        <v>ns</v>
      </c>
      <c r="AG60" s="908" t="str">
        <f t="shared" si="2"/>
        <v>ns</v>
      </c>
      <c r="AH60" s="908" t="str">
        <f t="shared" si="10"/>
        <v>ns</v>
      </c>
      <c r="AI60" s="908" t="str">
        <f t="shared" si="3"/>
        <v>ns</v>
      </c>
      <c r="AJ60" s="908" t="str">
        <f t="shared" si="4"/>
        <v>ns</v>
      </c>
      <c r="AK60" s="920" t="str">
        <f t="shared" si="5"/>
        <v>ns</v>
      </c>
      <c r="AL60" s="908" t="str">
        <f t="shared" si="5"/>
        <v>ns</v>
      </c>
      <c r="AM60" s="909" t="str">
        <f t="shared" si="6"/>
        <v>.</v>
      </c>
      <c r="AN60" s="908" t="str">
        <f t="shared" si="7"/>
        <v>ns</v>
      </c>
      <c r="AO60" s="908" t="str">
        <f t="shared" si="8"/>
        <v>.</v>
      </c>
      <c r="AP60" s="908" t="str">
        <f t="shared" si="9"/>
        <v>ns</v>
      </c>
      <c r="AQ60" s="522"/>
      <c r="AR60" t="s">
        <v>2337</v>
      </c>
    </row>
    <row r="61" spans="1:44">
      <c r="A61" s="537">
        <v>61</v>
      </c>
      <c r="B61" s="537" t="s">
        <v>1130</v>
      </c>
      <c r="C61" s="538">
        <v>465</v>
      </c>
      <c r="D61" s="537" t="s">
        <v>1293</v>
      </c>
      <c r="E61" s="537" t="s">
        <v>1294</v>
      </c>
      <c r="F61" s="537" t="s">
        <v>662</v>
      </c>
      <c r="G61" s="537" t="s">
        <v>661</v>
      </c>
      <c r="H61" s="539" t="s">
        <v>1117</v>
      </c>
      <c r="I61" s="540" t="s">
        <v>1119</v>
      </c>
      <c r="J61" s="541" t="s">
        <v>688</v>
      </c>
      <c r="K61" s="540" t="s">
        <v>197</v>
      </c>
      <c r="L61" s="550" t="s">
        <v>197</v>
      </c>
      <c r="M61" s="541" t="s">
        <v>197</v>
      </c>
      <c r="N61" s="543" t="s">
        <v>644</v>
      </c>
      <c r="O61" s="544" t="s">
        <v>1205</v>
      </c>
      <c r="P61" s="537" t="s">
        <v>827</v>
      </c>
      <c r="Q61" s="544" t="s">
        <v>663</v>
      </c>
      <c r="R61" s="544" t="s">
        <v>663</v>
      </c>
      <c r="S61" s="537" t="s">
        <v>662</v>
      </c>
      <c r="T61" s="537" t="s">
        <v>663</v>
      </c>
      <c r="U61" s="537" t="s">
        <v>663</v>
      </c>
      <c r="V61" s="544" t="s">
        <v>663</v>
      </c>
      <c r="W61" s="544" t="s">
        <v>663</v>
      </c>
      <c r="X61" s="544" t="s">
        <v>663</v>
      </c>
      <c r="Y61" s="544" t="s">
        <v>663</v>
      </c>
      <c r="Z61" s="544" t="s">
        <v>663</v>
      </c>
      <c r="AA61" s="544" t="s">
        <v>663</v>
      </c>
      <c r="AB61" s="537" t="str">
        <f t="shared" si="12"/>
        <v>DC</v>
      </c>
      <c r="AC61" s="537" t="s">
        <v>1192</v>
      </c>
      <c r="AD61" s="545" t="str" cm="1">
        <f t="array" ref="AD61">IF(SUMPRODUCT(ISNUMBER(SEARCH("y",R61:AA61))+0)=0,"",IF(AA61="y","400G",IF(Z61="y","100G",IF(X61="y","40G",IF(V61="y","10G",IF(S61="y","1G",IF(R61="y","100M",""))))))&amp;" "&amp;AB61&amp;" "&amp;AC61)</f>
        <v>1G DC UPLINK</v>
      </c>
      <c r="AE61" s="546" t="str">
        <f t="shared" si="11"/>
        <v/>
      </c>
      <c r="AF61" s="912" t="str">
        <f t="shared" si="1"/>
        <v>ns</v>
      </c>
      <c r="AG61" s="405" t="str">
        <f t="shared" si="2"/>
        <v>ns</v>
      </c>
      <c r="AH61" s="405" t="str">
        <f t="shared" si="10"/>
        <v>.</v>
      </c>
      <c r="AI61" s="405" t="str">
        <f t="shared" si="3"/>
        <v>ns</v>
      </c>
      <c r="AJ61" s="405" t="str">
        <f t="shared" si="4"/>
        <v>ns</v>
      </c>
      <c r="AK61" s="922" t="str">
        <f t="shared" si="5"/>
        <v>ns</v>
      </c>
      <c r="AL61" s="405" t="str">
        <f t="shared" si="5"/>
        <v>ns</v>
      </c>
      <c r="AM61" s="912" t="str">
        <f t="shared" si="6"/>
        <v>ns</v>
      </c>
      <c r="AN61" s="405" t="str">
        <f t="shared" si="7"/>
        <v>ns</v>
      </c>
      <c r="AO61" s="405" t="str">
        <f t="shared" si="8"/>
        <v>ns</v>
      </c>
      <c r="AP61" s="405" t="str">
        <f t="shared" si="9"/>
        <v>ns</v>
      </c>
      <c r="AQ61" s="547"/>
      <c r="AR61" t="s">
        <v>2337</v>
      </c>
    </row>
    <row r="62" spans="1:44">
      <c r="A62" s="537">
        <v>62</v>
      </c>
      <c r="B62" s="537" t="s">
        <v>1130</v>
      </c>
      <c r="C62" s="538">
        <v>466</v>
      </c>
      <c r="D62" s="537" t="s">
        <v>1295</v>
      </c>
      <c r="E62" s="537" t="s">
        <v>1296</v>
      </c>
      <c r="F62" s="537" t="s">
        <v>662</v>
      </c>
      <c r="G62" s="537" t="s">
        <v>661</v>
      </c>
      <c r="H62" s="539" t="s">
        <v>1117</v>
      </c>
      <c r="I62" s="540" t="s">
        <v>1119</v>
      </c>
      <c r="J62" s="541" t="s">
        <v>1124</v>
      </c>
      <c r="K62" s="540" t="s">
        <v>197</v>
      </c>
      <c r="L62" s="550" t="s">
        <v>197</v>
      </c>
      <c r="M62" s="541" t="s">
        <v>197</v>
      </c>
      <c r="N62" s="543" t="s">
        <v>1125</v>
      </c>
      <c r="O62" s="544" t="s">
        <v>889</v>
      </c>
      <c r="P62" s="537" t="s">
        <v>1125</v>
      </c>
      <c r="Q62" s="544" t="s">
        <v>663</v>
      </c>
      <c r="R62" s="537" t="s">
        <v>662</v>
      </c>
      <c r="S62" s="537" t="s">
        <v>662</v>
      </c>
      <c r="T62" s="537" t="s">
        <v>663</v>
      </c>
      <c r="U62" s="537" t="s">
        <v>663</v>
      </c>
      <c r="V62" s="544" t="s">
        <v>663</v>
      </c>
      <c r="W62" s="544" t="s">
        <v>663</v>
      </c>
      <c r="X62" s="544" t="s">
        <v>663</v>
      </c>
      <c r="Y62" s="544" t="s">
        <v>663</v>
      </c>
      <c r="Z62" s="544" t="s">
        <v>663</v>
      </c>
      <c r="AA62" s="544" t="s">
        <v>663</v>
      </c>
      <c r="AB62" s="537" t="str">
        <f t="shared" si="12"/>
        <v>PHY</v>
      </c>
      <c r="AC62" s="537" t="s">
        <v>1206</v>
      </c>
      <c r="AD62" s="545" t="str" cm="1">
        <f t="array" ref="AD62">IF(SUMPRODUCT(ISNUMBER(SEARCH("y",R62:AA62))+0)=0,"",IF(AA62="y","400G",IF(Z62="y","100G",IF(X62="y","40G",IF(V62="y","10G",IF(S62="y","1G",IF(R62="y","100M",""))))))&amp;" "&amp;AB62&amp;" "&amp;AC62)</f>
        <v>1G PHY COMBO</v>
      </c>
      <c r="AE62" s="546" t="str">
        <f t="shared" si="11"/>
        <v/>
      </c>
      <c r="AF62" s="912" t="str">
        <f t="shared" si="1"/>
        <v>ns</v>
      </c>
      <c r="AG62" s="405" t="str">
        <f t="shared" si="2"/>
        <v>.</v>
      </c>
      <c r="AH62" s="405" t="str">
        <f t="shared" si="10"/>
        <v>.</v>
      </c>
      <c r="AI62" s="405" t="str">
        <f t="shared" si="3"/>
        <v>ns</v>
      </c>
      <c r="AJ62" s="405" t="str">
        <f t="shared" si="4"/>
        <v>ns</v>
      </c>
      <c r="AK62" s="922" t="str">
        <f t="shared" si="5"/>
        <v>ns</v>
      </c>
      <c r="AL62" s="405" t="str">
        <f t="shared" si="5"/>
        <v>ns</v>
      </c>
      <c r="AM62" s="912" t="str">
        <f t="shared" si="6"/>
        <v>ns</v>
      </c>
      <c r="AN62" s="405" t="str">
        <f t="shared" si="7"/>
        <v>ns</v>
      </c>
      <c r="AO62" s="405" t="str">
        <f t="shared" si="8"/>
        <v>ns</v>
      </c>
      <c r="AP62" s="405" t="str">
        <f t="shared" si="9"/>
        <v>ns</v>
      </c>
      <c r="AQ62" s="547"/>
      <c r="AR62" t="s">
        <v>2337</v>
      </c>
    </row>
    <row r="63" spans="1:44">
      <c r="A63" s="537">
        <v>63</v>
      </c>
      <c r="B63" s="537" t="s">
        <v>1130</v>
      </c>
      <c r="C63" s="538">
        <v>467</v>
      </c>
      <c r="D63" s="537" t="s">
        <v>1297</v>
      </c>
      <c r="E63" s="537" t="s">
        <v>1298</v>
      </c>
      <c r="F63" s="537" t="s">
        <v>662</v>
      </c>
      <c r="G63" s="537" t="s">
        <v>661</v>
      </c>
      <c r="H63" s="539" t="s">
        <v>1117</v>
      </c>
      <c r="I63" s="540" t="s">
        <v>1119</v>
      </c>
      <c r="J63" s="541" t="s">
        <v>1124</v>
      </c>
      <c r="K63" s="540" t="s">
        <v>197</v>
      </c>
      <c r="L63" s="550" t="s">
        <v>197</v>
      </c>
      <c r="M63" s="541" t="s">
        <v>197</v>
      </c>
      <c r="N63" s="543" t="s">
        <v>1125</v>
      </c>
      <c r="O63" s="544" t="s">
        <v>1030</v>
      </c>
      <c r="P63" s="537" t="s">
        <v>1125</v>
      </c>
      <c r="Q63" s="544" t="s">
        <v>663</v>
      </c>
      <c r="R63" s="537" t="s">
        <v>662</v>
      </c>
      <c r="S63" s="537" t="s">
        <v>662</v>
      </c>
      <c r="T63" s="537" t="s">
        <v>663</v>
      </c>
      <c r="U63" s="537" t="s">
        <v>663</v>
      </c>
      <c r="V63" s="544" t="s">
        <v>663</v>
      </c>
      <c r="W63" s="544" t="s">
        <v>663</v>
      </c>
      <c r="X63" s="544" t="s">
        <v>663</v>
      </c>
      <c r="Y63" s="544" t="s">
        <v>663</v>
      </c>
      <c r="Z63" s="544" t="s">
        <v>663</v>
      </c>
      <c r="AA63" s="544" t="s">
        <v>663</v>
      </c>
      <c r="AB63" s="537" t="str">
        <f t="shared" si="12"/>
        <v>PHY</v>
      </c>
      <c r="AC63" s="537" t="s">
        <v>1206</v>
      </c>
      <c r="AD63" s="545" t="str" cm="1">
        <f t="array" ref="AD63">IF(SUMPRODUCT(ISNUMBER(SEARCH("y",R63:AA63))+0)=0,"",IF(AA63="y","400G",IF(Z63="y","100G",IF(X63="y","40G",IF(V63="y","10G",IF(S63="y","1G",IF(R63="y","100M",""))))))&amp;" "&amp;AB63&amp;" "&amp;AC63)</f>
        <v>1G PHY COMBO</v>
      </c>
      <c r="AE63" s="546" t="str">
        <f t="shared" si="11"/>
        <v/>
      </c>
      <c r="AF63" s="912" t="str">
        <f t="shared" si="1"/>
        <v>ns</v>
      </c>
      <c r="AG63" s="405" t="str">
        <f t="shared" si="2"/>
        <v>.</v>
      </c>
      <c r="AH63" s="405" t="str">
        <f t="shared" si="10"/>
        <v>.</v>
      </c>
      <c r="AI63" s="405" t="str">
        <f t="shared" si="3"/>
        <v>ns</v>
      </c>
      <c r="AJ63" s="405" t="str">
        <f t="shared" si="4"/>
        <v>ns</v>
      </c>
      <c r="AK63" s="922" t="str">
        <f t="shared" si="5"/>
        <v>ns</v>
      </c>
      <c r="AL63" s="405" t="str">
        <f t="shared" si="5"/>
        <v>ns</v>
      </c>
      <c r="AM63" s="912" t="str">
        <f t="shared" si="6"/>
        <v>ns</v>
      </c>
      <c r="AN63" s="405" t="str">
        <f t="shared" si="7"/>
        <v>ns</v>
      </c>
      <c r="AO63" s="405" t="str">
        <f t="shared" si="8"/>
        <v>ns</v>
      </c>
      <c r="AP63" s="405" t="str">
        <f t="shared" si="9"/>
        <v>ns</v>
      </c>
      <c r="AQ63" s="547"/>
      <c r="AR63" t="s">
        <v>2337</v>
      </c>
    </row>
    <row r="64" spans="1:44">
      <c r="A64" s="537">
        <v>64</v>
      </c>
      <c r="B64" s="537" t="s">
        <v>1117</v>
      </c>
      <c r="C64" s="538">
        <v>366</v>
      </c>
      <c r="D64" s="537" t="s">
        <v>1299</v>
      </c>
      <c r="E64" s="537" t="s">
        <v>1300</v>
      </c>
      <c r="F64" s="537" t="s">
        <v>663</v>
      </c>
      <c r="G64" s="537" t="s">
        <v>661</v>
      </c>
      <c r="H64" s="539" t="s">
        <v>1117</v>
      </c>
      <c r="I64" s="540" t="s">
        <v>1119</v>
      </c>
      <c r="J64" s="541" t="s">
        <v>688</v>
      </c>
      <c r="K64" s="540" t="s">
        <v>1118</v>
      </c>
      <c r="L64" s="550" t="s">
        <v>752</v>
      </c>
      <c r="M64" s="541" t="s">
        <v>1122</v>
      </c>
      <c r="N64" s="543" t="s">
        <v>644</v>
      </c>
      <c r="O64" s="544" t="s">
        <v>1205</v>
      </c>
      <c r="P64" s="537" t="s">
        <v>827</v>
      </c>
      <c r="Q64" s="544" t="s">
        <v>663</v>
      </c>
      <c r="R64" s="544" t="s">
        <v>663</v>
      </c>
      <c r="S64" s="537" t="s">
        <v>662</v>
      </c>
      <c r="T64" s="537" t="s">
        <v>663</v>
      </c>
      <c r="U64" s="537" t="s">
        <v>663</v>
      </c>
      <c r="V64" s="544" t="s">
        <v>663</v>
      </c>
      <c r="W64" s="544" t="s">
        <v>663</v>
      </c>
      <c r="X64" s="544" t="s">
        <v>663</v>
      </c>
      <c r="Y64" s="544" t="s">
        <v>663</v>
      </c>
      <c r="Z64" s="544" t="s">
        <v>663</v>
      </c>
      <c r="AA64" s="544" t="s">
        <v>663</v>
      </c>
      <c r="AB64" s="537" t="str">
        <f t="shared" si="12"/>
        <v>DC</v>
      </c>
      <c r="AC64" s="537" t="s">
        <v>1192</v>
      </c>
      <c r="AD64" s="545" t="str" cm="1">
        <f t="array" ref="AD64">IF(SUMPRODUCT(ISNUMBER(SEARCH("y",R64:AA64))+0)=0,"",IF(AA64="y","400G",IF(Z64="y","100G",IF(X64="y","40G",IF(V64="y","10G",IF(S64="y","1G",IF(R64="y","100M",""))))))&amp;" "&amp;AB64&amp;" "&amp;AC64)</f>
        <v>1G DC UPLINK</v>
      </c>
      <c r="AE64" s="546" t="str">
        <f t="shared" si="11"/>
        <v>AT-x210-9GT  1G DC UPLINK</v>
      </c>
      <c r="AF64" s="912" t="str">
        <f t="shared" si="1"/>
        <v>ns</v>
      </c>
      <c r="AG64" s="405" t="str">
        <f t="shared" si="2"/>
        <v>ns</v>
      </c>
      <c r="AH64" s="405" t="str">
        <f t="shared" si="10"/>
        <v>.</v>
      </c>
      <c r="AI64" s="405" t="str">
        <f t="shared" si="3"/>
        <v>ns</v>
      </c>
      <c r="AJ64" s="405" t="str">
        <f t="shared" si="4"/>
        <v>ns</v>
      </c>
      <c r="AK64" s="922" t="str">
        <f t="shared" si="5"/>
        <v>ns</v>
      </c>
      <c r="AL64" s="405" t="str">
        <f t="shared" si="5"/>
        <v>ns</v>
      </c>
      <c r="AM64" s="912" t="str">
        <f t="shared" si="6"/>
        <v>ns</v>
      </c>
      <c r="AN64" s="405" t="str">
        <f t="shared" si="7"/>
        <v>ns</v>
      </c>
      <c r="AO64" s="405" t="str">
        <f t="shared" si="8"/>
        <v>ns</v>
      </c>
      <c r="AP64" s="405" t="str">
        <f t="shared" si="9"/>
        <v>ns</v>
      </c>
      <c r="AQ64" s="547"/>
      <c r="AR64" t="s">
        <v>2337</v>
      </c>
    </row>
    <row r="65" spans="1:212">
      <c r="A65" s="537">
        <v>65</v>
      </c>
      <c r="B65" s="537" t="s">
        <v>1117</v>
      </c>
      <c r="C65" s="538">
        <v>367</v>
      </c>
      <c r="D65" s="537" t="s">
        <v>1301</v>
      </c>
      <c r="E65" s="537" t="s">
        <v>1302</v>
      </c>
      <c r="F65" s="537" t="s">
        <v>663</v>
      </c>
      <c r="G65" s="537" t="s">
        <v>661</v>
      </c>
      <c r="H65" s="539" t="s">
        <v>1117</v>
      </c>
      <c r="I65" s="540" t="s">
        <v>1119</v>
      </c>
      <c r="J65" s="541" t="s">
        <v>1124</v>
      </c>
      <c r="K65" s="540" t="s">
        <v>1127</v>
      </c>
      <c r="L65" s="550" t="s">
        <v>752</v>
      </c>
      <c r="M65" s="541" t="s">
        <v>1129</v>
      </c>
      <c r="N65" s="543" t="s">
        <v>1125</v>
      </c>
      <c r="O65" s="544" t="s">
        <v>1303</v>
      </c>
      <c r="P65" s="537" t="s">
        <v>1125</v>
      </c>
      <c r="Q65" s="544" t="s">
        <v>663</v>
      </c>
      <c r="R65" s="537" t="s">
        <v>662</v>
      </c>
      <c r="S65" s="537" t="s">
        <v>662</v>
      </c>
      <c r="T65" s="537" t="s">
        <v>663</v>
      </c>
      <c r="U65" s="537" t="s">
        <v>663</v>
      </c>
      <c r="V65" s="544" t="s">
        <v>663</v>
      </c>
      <c r="W65" s="544" t="s">
        <v>663</v>
      </c>
      <c r="X65" s="544" t="s">
        <v>663</v>
      </c>
      <c r="Y65" s="544" t="s">
        <v>663</v>
      </c>
      <c r="Z65" s="544" t="s">
        <v>663</v>
      </c>
      <c r="AA65" s="544" t="s">
        <v>663</v>
      </c>
      <c r="AB65" s="537" t="str">
        <f t="shared" si="12"/>
        <v>PHY</v>
      </c>
      <c r="AC65" s="537" t="s">
        <v>1206</v>
      </c>
      <c r="AD65" s="545" t="str" cm="1">
        <f t="array" ref="AD65">IF(SUMPRODUCT(ISNUMBER(SEARCH("y",R65:AA65))+0)=0,"",IF(AA65="y","400G",IF(Z65="y","100G",IF(X65="y","40G",IF(V65="y","10G",IF(S65="y","1G",IF(R65="y","100M",""))))))&amp;" "&amp;AB65&amp;" "&amp;AC65)</f>
        <v>1G PHY COMBO</v>
      </c>
      <c r="AE65" s="546" t="str">
        <f t="shared" si="11"/>
        <v>AT-x210-16GT  1G PHY COMBO</v>
      </c>
      <c r="AF65" s="912" t="str">
        <f t="shared" si="1"/>
        <v>ns</v>
      </c>
      <c r="AG65" s="405" t="str">
        <f t="shared" si="2"/>
        <v>.</v>
      </c>
      <c r="AH65" s="405" t="str">
        <f t="shared" si="10"/>
        <v>.</v>
      </c>
      <c r="AI65" s="405" t="str">
        <f t="shared" si="3"/>
        <v>ns</v>
      </c>
      <c r="AJ65" s="405" t="str">
        <f t="shared" si="4"/>
        <v>ns</v>
      </c>
      <c r="AK65" s="922" t="str">
        <f t="shared" si="5"/>
        <v>ns</v>
      </c>
      <c r="AL65" s="405" t="str">
        <f t="shared" si="5"/>
        <v>ns</v>
      </c>
      <c r="AM65" s="912" t="str">
        <f t="shared" si="6"/>
        <v>ns</v>
      </c>
      <c r="AN65" s="405" t="str">
        <f t="shared" si="7"/>
        <v>ns</v>
      </c>
      <c r="AO65" s="405" t="str">
        <f t="shared" si="8"/>
        <v>ns</v>
      </c>
      <c r="AP65" s="405" t="str">
        <f t="shared" si="9"/>
        <v>ns</v>
      </c>
      <c r="AQ65" s="547"/>
      <c r="AR65" t="s">
        <v>2337</v>
      </c>
    </row>
    <row r="66" spans="1:212">
      <c r="A66" s="537">
        <v>66</v>
      </c>
      <c r="B66" s="537" t="s">
        <v>1117</v>
      </c>
      <c r="C66" s="538">
        <v>368</v>
      </c>
      <c r="D66" s="537" t="s">
        <v>1304</v>
      </c>
      <c r="E66" s="537" t="s">
        <v>1305</v>
      </c>
      <c r="F66" s="537" t="s">
        <v>663</v>
      </c>
      <c r="G66" s="537" t="s">
        <v>661</v>
      </c>
      <c r="H66" s="539" t="s">
        <v>1117</v>
      </c>
      <c r="I66" s="540" t="s">
        <v>1119</v>
      </c>
      <c r="J66" s="541" t="s">
        <v>1124</v>
      </c>
      <c r="K66" s="540" t="s">
        <v>197</v>
      </c>
      <c r="L66" s="550" t="s">
        <v>197</v>
      </c>
      <c r="M66" s="541" t="s">
        <v>197</v>
      </c>
      <c r="N66" s="543" t="s">
        <v>1125</v>
      </c>
      <c r="O66" s="544" t="s">
        <v>889</v>
      </c>
      <c r="P66" s="537" t="s">
        <v>1125</v>
      </c>
      <c r="Q66" s="544" t="s">
        <v>663</v>
      </c>
      <c r="R66" s="537" t="s">
        <v>662</v>
      </c>
      <c r="S66" s="537" t="s">
        <v>662</v>
      </c>
      <c r="T66" s="537" t="s">
        <v>663</v>
      </c>
      <c r="U66" s="537" t="s">
        <v>663</v>
      </c>
      <c r="V66" s="544" t="s">
        <v>663</v>
      </c>
      <c r="W66" s="544" t="s">
        <v>663</v>
      </c>
      <c r="X66" s="544" t="s">
        <v>663</v>
      </c>
      <c r="Y66" s="544" t="s">
        <v>663</v>
      </c>
      <c r="Z66" s="544" t="s">
        <v>663</v>
      </c>
      <c r="AA66" s="544" t="s">
        <v>663</v>
      </c>
      <c r="AB66" s="537" t="str">
        <f t="shared" si="12"/>
        <v>PHY</v>
      </c>
      <c r="AC66" s="537" t="s">
        <v>1206</v>
      </c>
      <c r="AD66" s="545" t="str" cm="1">
        <f t="array" ref="AD66">IF(SUMPRODUCT(ISNUMBER(SEARCH("y",R66:AA66))+0)=0,"",IF(AA66="y","400G",IF(Z66="y","100G",IF(X66="y","40G",IF(V66="y","10G",IF(S66="y","1G",IF(R66="y","100M",""))))))&amp;" "&amp;AB66&amp;" "&amp;AC66)</f>
        <v>1G PHY COMBO</v>
      </c>
      <c r="AE66" s="546" t="str">
        <f t="shared" si="11"/>
        <v/>
      </c>
      <c r="AF66" s="912" t="str">
        <f t="shared" si="1"/>
        <v>ns</v>
      </c>
      <c r="AG66" s="405" t="str">
        <f t="shared" si="2"/>
        <v>.</v>
      </c>
      <c r="AH66" s="405" t="str">
        <f t="shared" si="10"/>
        <v>.</v>
      </c>
      <c r="AI66" s="405" t="str">
        <f t="shared" si="3"/>
        <v>ns</v>
      </c>
      <c r="AJ66" s="405" t="str">
        <f t="shared" si="4"/>
        <v>ns</v>
      </c>
      <c r="AK66" s="922" t="str">
        <f t="shared" si="5"/>
        <v>ns</v>
      </c>
      <c r="AL66" s="405" t="str">
        <f t="shared" si="5"/>
        <v>ns</v>
      </c>
      <c r="AM66" s="912" t="str">
        <f t="shared" si="6"/>
        <v>ns</v>
      </c>
      <c r="AN66" s="405" t="str">
        <f t="shared" si="7"/>
        <v>ns</v>
      </c>
      <c r="AO66" s="405" t="str">
        <f t="shared" si="8"/>
        <v>ns</v>
      </c>
      <c r="AP66" s="405" t="str">
        <f t="shared" si="9"/>
        <v>ns</v>
      </c>
      <c r="AQ66" s="547"/>
      <c r="AR66" t="s">
        <v>2337</v>
      </c>
    </row>
    <row r="67" spans="1:212" s="536" customFormat="1">
      <c r="A67" s="504">
        <v>67</v>
      </c>
      <c r="B67" s="525" t="s">
        <v>905</v>
      </c>
      <c r="C67" s="526">
        <v>514</v>
      </c>
      <c r="D67" s="525" t="s">
        <v>911</v>
      </c>
      <c r="E67" s="525" t="s">
        <v>1306</v>
      </c>
      <c r="F67" s="525" t="s">
        <v>663</v>
      </c>
      <c r="G67" s="525" t="s">
        <v>661</v>
      </c>
      <c r="H67" s="527" t="s">
        <v>885</v>
      </c>
      <c r="I67" s="528" t="s">
        <v>912</v>
      </c>
      <c r="J67" s="529" t="s">
        <v>654</v>
      </c>
      <c r="K67" s="528" t="s">
        <v>197</v>
      </c>
      <c r="L67" s="530" t="s">
        <v>197</v>
      </c>
      <c r="M67" s="529" t="s">
        <v>197</v>
      </c>
      <c r="N67" s="531" t="s">
        <v>671</v>
      </c>
      <c r="O67" s="532" t="s">
        <v>902</v>
      </c>
      <c r="P67" s="525" t="s">
        <v>1191</v>
      </c>
      <c r="Q67" s="532" t="s">
        <v>663</v>
      </c>
      <c r="R67" s="525" t="s">
        <v>662</v>
      </c>
      <c r="S67" s="525" t="s">
        <v>662</v>
      </c>
      <c r="T67" s="525" t="s">
        <v>663</v>
      </c>
      <c r="U67" s="525" t="s">
        <v>663</v>
      </c>
      <c r="V67" s="532" t="s">
        <v>663</v>
      </c>
      <c r="W67" s="532" t="s">
        <v>663</v>
      </c>
      <c r="X67" s="532" t="s">
        <v>663</v>
      </c>
      <c r="Y67" s="532" t="s">
        <v>663</v>
      </c>
      <c r="Z67" s="532" t="s">
        <v>663</v>
      </c>
      <c r="AA67" s="532" t="s">
        <v>663</v>
      </c>
      <c r="AB67" s="525" t="str">
        <f t="shared" si="12"/>
        <v>PHY</v>
      </c>
      <c r="AC67" s="525" t="s">
        <v>1192</v>
      </c>
      <c r="AD67" s="533" t="str" cm="1">
        <f t="array" ref="AD67">IF(SUMPRODUCT(ISNUMBER(SEARCH("y",R67:AA67))+0)=0,"",IF(AA67="y","400G",IF(Z67="y","100G",IF(X67="y","40G",IF(V67="y","10G",IF(S67="y","1G",IF(R67="y","100M",""))))))&amp;" "&amp;AB67&amp;" "&amp;AC67)</f>
        <v>1G PHY UPLINK</v>
      </c>
      <c r="AE67" s="534" t="str">
        <f t="shared" si="11"/>
        <v/>
      </c>
      <c r="AF67" s="910" t="str">
        <f t="shared" ref="AF67:AF130" si="13">IF(Q67="n","ns",".")</f>
        <v>ns</v>
      </c>
      <c r="AG67" s="911" t="str">
        <f t="shared" ref="AG67:AG130" si="14">IF(R67="n","ns",".")</f>
        <v>.</v>
      </c>
      <c r="AH67" s="911" t="str">
        <f t="shared" si="10"/>
        <v>.</v>
      </c>
      <c r="AI67" s="911" t="str">
        <f t="shared" ref="AI67:AI130" si="15">IF(T67="n","ns",".")</f>
        <v>ns</v>
      </c>
      <c r="AJ67" s="911" t="str">
        <f t="shared" ref="AJ67:AJ130" si="16">IF(U67="n","ns",".")</f>
        <v>ns</v>
      </c>
      <c r="AK67" s="921" t="str">
        <f t="shared" ref="AK67:AL130" si="17">IF(V67="n","ns",".")</f>
        <v>ns</v>
      </c>
      <c r="AL67" s="908" t="str">
        <f t="shared" si="17"/>
        <v>ns</v>
      </c>
      <c r="AM67" s="909" t="str">
        <f t="shared" ref="AM67:AM130" si="18">IF(X67="n","ns",".")</f>
        <v>ns</v>
      </c>
      <c r="AN67" s="908" t="str">
        <f t="shared" ref="AN67:AN130" si="19">IF(Y67="n","ns",".")</f>
        <v>ns</v>
      </c>
      <c r="AO67" s="908" t="str">
        <f t="shared" ref="AO67:AO130" si="20">IF(Z67="n","ns",".")</f>
        <v>ns</v>
      </c>
      <c r="AP67" s="908" t="str">
        <f t="shared" ref="AP67:AP130" si="21">IF(AA67="n","ns",".")</f>
        <v>ns</v>
      </c>
      <c r="AQ67" s="535"/>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row>
    <row r="68" spans="1:212" s="536" customFormat="1">
      <c r="A68" s="504">
        <v>68</v>
      </c>
      <c r="B68" s="525" t="s">
        <v>905</v>
      </c>
      <c r="C68" s="526">
        <v>515</v>
      </c>
      <c r="D68" s="525" t="s">
        <v>913</v>
      </c>
      <c r="E68" s="525" t="s">
        <v>1307</v>
      </c>
      <c r="F68" s="525" t="s">
        <v>663</v>
      </c>
      <c r="G68" s="525" t="s">
        <v>661</v>
      </c>
      <c r="H68" s="527" t="s">
        <v>885</v>
      </c>
      <c r="I68" s="528" t="s">
        <v>914</v>
      </c>
      <c r="J68" s="529" t="s">
        <v>654</v>
      </c>
      <c r="K68" s="528" t="s">
        <v>197</v>
      </c>
      <c r="L68" s="530" t="s">
        <v>197</v>
      </c>
      <c r="M68" s="529" t="s">
        <v>197</v>
      </c>
      <c r="N68" s="531" t="s">
        <v>671</v>
      </c>
      <c r="O68" s="532" t="s">
        <v>902</v>
      </c>
      <c r="P68" s="525" t="s">
        <v>1191</v>
      </c>
      <c r="Q68" s="532" t="s">
        <v>663</v>
      </c>
      <c r="R68" s="525" t="s">
        <v>662</v>
      </c>
      <c r="S68" s="525" t="s">
        <v>662</v>
      </c>
      <c r="T68" s="525" t="s">
        <v>663</v>
      </c>
      <c r="U68" s="525" t="s">
        <v>663</v>
      </c>
      <c r="V68" s="532" t="s">
        <v>663</v>
      </c>
      <c r="W68" s="532" t="s">
        <v>663</v>
      </c>
      <c r="X68" s="532" t="s">
        <v>663</v>
      </c>
      <c r="Y68" s="532" t="s">
        <v>663</v>
      </c>
      <c r="Z68" s="532" t="s">
        <v>663</v>
      </c>
      <c r="AA68" s="532" t="s">
        <v>663</v>
      </c>
      <c r="AB68" s="525" t="str">
        <f t="shared" si="12"/>
        <v>PHY</v>
      </c>
      <c r="AC68" s="525" t="s">
        <v>1192</v>
      </c>
      <c r="AD68" s="533" t="str" cm="1">
        <f t="array" ref="AD68">IF(SUMPRODUCT(ISNUMBER(SEARCH("y",R68:AA68))+0)=0,"",IF(AA68="y","400G",IF(Z68="y","100G",IF(X68="y","40G",IF(V68="y","10G",IF(S68="y","1G",IF(R68="y","100M",""))))))&amp;" "&amp;AB68&amp;" "&amp;AC68)</f>
        <v>1G PHY UPLINK</v>
      </c>
      <c r="AE68" s="534" t="str">
        <f t="shared" si="11"/>
        <v/>
      </c>
      <c r="AF68" s="910" t="str">
        <f t="shared" si="13"/>
        <v>ns</v>
      </c>
      <c r="AG68" s="911" t="str">
        <f t="shared" si="14"/>
        <v>.</v>
      </c>
      <c r="AH68" s="911" t="str">
        <f t="shared" ref="AH68:AH131" si="22">IF(S68="n","ns",".")</f>
        <v>.</v>
      </c>
      <c r="AI68" s="911" t="str">
        <f t="shared" si="15"/>
        <v>ns</v>
      </c>
      <c r="AJ68" s="911" t="str">
        <f t="shared" si="16"/>
        <v>ns</v>
      </c>
      <c r="AK68" s="921" t="str">
        <f t="shared" si="17"/>
        <v>ns</v>
      </c>
      <c r="AL68" s="908" t="str">
        <f t="shared" si="17"/>
        <v>ns</v>
      </c>
      <c r="AM68" s="909" t="str">
        <f t="shared" si="18"/>
        <v>ns</v>
      </c>
      <c r="AN68" s="908" t="str">
        <f t="shared" si="19"/>
        <v>ns</v>
      </c>
      <c r="AO68" s="908" t="str">
        <f t="shared" si="20"/>
        <v>ns</v>
      </c>
      <c r="AP68" s="908" t="str">
        <f t="shared" si="21"/>
        <v>ns</v>
      </c>
      <c r="AQ68" s="535"/>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row>
    <row r="69" spans="1:212" s="536" customFormat="1">
      <c r="A69" s="504">
        <v>69</v>
      </c>
      <c r="B69" s="525" t="s">
        <v>905</v>
      </c>
      <c r="C69" s="526">
        <v>516</v>
      </c>
      <c r="D69" s="525" t="s">
        <v>906</v>
      </c>
      <c r="E69" s="525" t="s">
        <v>1308</v>
      </c>
      <c r="F69" s="525" t="s">
        <v>663</v>
      </c>
      <c r="G69" s="525" t="s">
        <v>661</v>
      </c>
      <c r="H69" s="527" t="s">
        <v>885</v>
      </c>
      <c r="I69" s="528" t="s">
        <v>907</v>
      </c>
      <c r="J69" s="529" t="s">
        <v>654</v>
      </c>
      <c r="K69" s="528" t="s">
        <v>197</v>
      </c>
      <c r="L69" s="530" t="s">
        <v>197</v>
      </c>
      <c r="M69" s="529" t="s">
        <v>197</v>
      </c>
      <c r="N69" s="531" t="s">
        <v>671</v>
      </c>
      <c r="O69" s="532" t="s">
        <v>889</v>
      </c>
      <c r="P69" s="525" t="s">
        <v>1191</v>
      </c>
      <c r="Q69" s="532" t="s">
        <v>663</v>
      </c>
      <c r="R69" s="525" t="s">
        <v>662</v>
      </c>
      <c r="S69" s="525" t="s">
        <v>662</v>
      </c>
      <c r="T69" s="525" t="s">
        <v>663</v>
      </c>
      <c r="U69" s="525" t="s">
        <v>663</v>
      </c>
      <c r="V69" s="532" t="s">
        <v>663</v>
      </c>
      <c r="W69" s="532" t="s">
        <v>663</v>
      </c>
      <c r="X69" s="532" t="s">
        <v>663</v>
      </c>
      <c r="Y69" s="532" t="s">
        <v>663</v>
      </c>
      <c r="Z69" s="532" t="s">
        <v>663</v>
      </c>
      <c r="AA69" s="532" t="s">
        <v>663</v>
      </c>
      <c r="AB69" s="525" t="str">
        <f t="shared" si="12"/>
        <v>PHY</v>
      </c>
      <c r="AC69" s="525" t="s">
        <v>1192</v>
      </c>
      <c r="AD69" s="533" t="str" cm="1">
        <f t="array" ref="AD69">IF(SUMPRODUCT(ISNUMBER(SEARCH("y",R69:AA69))+0)=0,"",IF(AA69="y","400G",IF(Z69="y","100G",IF(X69="y","40G",IF(V69="y","10G",IF(S69="y","1G",IF(R69="y","100M",""))))))&amp;" "&amp;AB69&amp;" "&amp;AC69)</f>
        <v>1G PHY UPLINK</v>
      </c>
      <c r="AE69" s="534" t="str">
        <f t="shared" si="11"/>
        <v/>
      </c>
      <c r="AF69" s="910" t="str">
        <f t="shared" si="13"/>
        <v>ns</v>
      </c>
      <c r="AG69" s="911" t="str">
        <f t="shared" si="14"/>
        <v>.</v>
      </c>
      <c r="AH69" s="911" t="str">
        <f t="shared" si="22"/>
        <v>.</v>
      </c>
      <c r="AI69" s="911" t="str">
        <f t="shared" si="15"/>
        <v>ns</v>
      </c>
      <c r="AJ69" s="911" t="str">
        <f t="shared" si="16"/>
        <v>ns</v>
      </c>
      <c r="AK69" s="921" t="str">
        <f t="shared" si="17"/>
        <v>ns</v>
      </c>
      <c r="AL69" s="908" t="str">
        <f t="shared" si="17"/>
        <v>ns</v>
      </c>
      <c r="AM69" s="909" t="str">
        <f t="shared" si="18"/>
        <v>ns</v>
      </c>
      <c r="AN69" s="908" t="str">
        <f t="shared" si="19"/>
        <v>ns</v>
      </c>
      <c r="AO69" s="908" t="str">
        <f t="shared" si="20"/>
        <v>ns</v>
      </c>
      <c r="AP69" s="908" t="str">
        <f t="shared" si="21"/>
        <v>ns</v>
      </c>
      <c r="AQ69" s="535"/>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row>
    <row r="70" spans="1:212" s="536" customFormat="1">
      <c r="A70" s="504">
        <v>70</v>
      </c>
      <c r="B70" s="525" t="s">
        <v>905</v>
      </c>
      <c r="C70" s="526">
        <v>517</v>
      </c>
      <c r="D70" s="525" t="s">
        <v>909</v>
      </c>
      <c r="E70" s="525" t="s">
        <v>1309</v>
      </c>
      <c r="F70" s="525" t="s">
        <v>663</v>
      </c>
      <c r="G70" s="525" t="s">
        <v>661</v>
      </c>
      <c r="H70" s="527" t="s">
        <v>885</v>
      </c>
      <c r="I70" s="528" t="s">
        <v>910</v>
      </c>
      <c r="J70" s="529" t="s">
        <v>654</v>
      </c>
      <c r="K70" s="528" t="s">
        <v>197</v>
      </c>
      <c r="L70" s="530" t="s">
        <v>197</v>
      </c>
      <c r="M70" s="529" t="s">
        <v>197</v>
      </c>
      <c r="N70" s="531" t="s">
        <v>671</v>
      </c>
      <c r="O70" s="532" t="s">
        <v>889</v>
      </c>
      <c r="P70" s="525" t="s">
        <v>1191</v>
      </c>
      <c r="Q70" s="532" t="s">
        <v>663</v>
      </c>
      <c r="R70" s="525" t="s">
        <v>662</v>
      </c>
      <c r="S70" s="525" t="s">
        <v>662</v>
      </c>
      <c r="T70" s="525" t="s">
        <v>663</v>
      </c>
      <c r="U70" s="525" t="s">
        <v>663</v>
      </c>
      <c r="V70" s="532" t="s">
        <v>663</v>
      </c>
      <c r="W70" s="532" t="s">
        <v>663</v>
      </c>
      <c r="X70" s="532" t="s">
        <v>663</v>
      </c>
      <c r="Y70" s="532" t="s">
        <v>663</v>
      </c>
      <c r="Z70" s="532" t="s">
        <v>663</v>
      </c>
      <c r="AA70" s="532" t="s">
        <v>663</v>
      </c>
      <c r="AB70" s="525" t="str">
        <f t="shared" si="12"/>
        <v>PHY</v>
      </c>
      <c r="AC70" s="525" t="s">
        <v>1192</v>
      </c>
      <c r="AD70" s="533" t="str" cm="1">
        <f t="array" ref="AD70">IF(SUMPRODUCT(ISNUMBER(SEARCH("y",R70:AA70))+0)=0,"",IF(AA70="y","400G",IF(Z70="y","100G",IF(X70="y","40G",IF(V70="y","10G",IF(S70="y","1G",IF(R70="y","100M",""))))))&amp;" "&amp;AB70&amp;" "&amp;AC70)</f>
        <v>1G PHY UPLINK</v>
      </c>
      <c r="AE70" s="534" t="str">
        <f t="shared" si="11"/>
        <v/>
      </c>
      <c r="AF70" s="910" t="str">
        <f t="shared" si="13"/>
        <v>ns</v>
      </c>
      <c r="AG70" s="911" t="str">
        <f t="shared" si="14"/>
        <v>.</v>
      </c>
      <c r="AH70" s="911" t="str">
        <f t="shared" si="22"/>
        <v>.</v>
      </c>
      <c r="AI70" s="911" t="str">
        <f t="shared" si="15"/>
        <v>ns</v>
      </c>
      <c r="AJ70" s="911" t="str">
        <f t="shared" si="16"/>
        <v>ns</v>
      </c>
      <c r="AK70" s="921" t="str">
        <f t="shared" si="17"/>
        <v>ns</v>
      </c>
      <c r="AL70" s="908" t="str">
        <f t="shared" si="17"/>
        <v>ns</v>
      </c>
      <c r="AM70" s="909" t="str">
        <f t="shared" si="18"/>
        <v>ns</v>
      </c>
      <c r="AN70" s="908" t="str">
        <f t="shared" si="19"/>
        <v>ns</v>
      </c>
      <c r="AO70" s="908" t="str">
        <f t="shared" si="20"/>
        <v>ns</v>
      </c>
      <c r="AP70" s="908" t="str">
        <f t="shared" si="21"/>
        <v>ns</v>
      </c>
      <c r="AQ70" s="535"/>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row>
    <row r="71" spans="1:212" s="536" customFormat="1">
      <c r="A71" s="504">
        <v>71</v>
      </c>
      <c r="B71" s="525" t="s">
        <v>885</v>
      </c>
      <c r="C71" s="526">
        <v>504</v>
      </c>
      <c r="D71" s="525" t="s">
        <v>900</v>
      </c>
      <c r="E71" s="525" t="s">
        <v>1310</v>
      </c>
      <c r="F71" s="525" t="s">
        <v>663</v>
      </c>
      <c r="G71" s="525" t="s">
        <v>661</v>
      </c>
      <c r="H71" s="527" t="s">
        <v>885</v>
      </c>
      <c r="I71" s="528" t="s">
        <v>901</v>
      </c>
      <c r="J71" s="529" t="s">
        <v>654</v>
      </c>
      <c r="K71" s="528" t="s">
        <v>197</v>
      </c>
      <c r="L71" s="530" t="s">
        <v>197</v>
      </c>
      <c r="M71" s="529" t="s">
        <v>197</v>
      </c>
      <c r="N71" s="531" t="s">
        <v>671</v>
      </c>
      <c r="O71" s="532" t="s">
        <v>902</v>
      </c>
      <c r="P71" s="525" t="s">
        <v>1191</v>
      </c>
      <c r="Q71" s="532" t="s">
        <v>663</v>
      </c>
      <c r="R71" s="525" t="s">
        <v>662</v>
      </c>
      <c r="S71" s="525" t="s">
        <v>662</v>
      </c>
      <c r="T71" s="525" t="s">
        <v>663</v>
      </c>
      <c r="U71" s="525" t="s">
        <v>663</v>
      </c>
      <c r="V71" s="532" t="s">
        <v>663</v>
      </c>
      <c r="W71" s="532" t="s">
        <v>663</v>
      </c>
      <c r="X71" s="532" t="s">
        <v>663</v>
      </c>
      <c r="Y71" s="532" t="s">
        <v>663</v>
      </c>
      <c r="Z71" s="532" t="s">
        <v>663</v>
      </c>
      <c r="AA71" s="532" t="s">
        <v>663</v>
      </c>
      <c r="AB71" s="525" t="str">
        <f t="shared" si="12"/>
        <v>PHY</v>
      </c>
      <c r="AC71" s="525" t="s">
        <v>1192</v>
      </c>
      <c r="AD71" s="533" t="str" cm="1">
        <f t="array" ref="AD71">IF(SUMPRODUCT(ISNUMBER(SEARCH("y",R71:AA71))+0)=0,"",IF(AA71="y","400G",IF(Z71="y","100G",IF(X71="y","40G",IF(V71="y","10G",IF(S71="y","1G",IF(R71="y","100M",""))))))&amp;" "&amp;AB71&amp;" "&amp;AC71)</f>
        <v>1G PHY UPLINK</v>
      </c>
      <c r="AE71" s="534" t="str">
        <f t="shared" si="11"/>
        <v/>
      </c>
      <c r="AF71" s="910" t="str">
        <f t="shared" si="13"/>
        <v>ns</v>
      </c>
      <c r="AG71" s="911" t="str">
        <f t="shared" si="14"/>
        <v>.</v>
      </c>
      <c r="AH71" s="911" t="str">
        <f t="shared" si="22"/>
        <v>.</v>
      </c>
      <c r="AI71" s="911" t="str">
        <f t="shared" si="15"/>
        <v>ns</v>
      </c>
      <c r="AJ71" s="911" t="str">
        <f t="shared" si="16"/>
        <v>ns</v>
      </c>
      <c r="AK71" s="921" t="str">
        <f t="shared" si="17"/>
        <v>ns</v>
      </c>
      <c r="AL71" s="908" t="str">
        <f t="shared" si="17"/>
        <v>ns</v>
      </c>
      <c r="AM71" s="909" t="str">
        <f t="shared" si="18"/>
        <v>ns</v>
      </c>
      <c r="AN71" s="908" t="str">
        <f t="shared" si="19"/>
        <v>ns</v>
      </c>
      <c r="AO71" s="908" t="str">
        <f t="shared" si="20"/>
        <v>ns</v>
      </c>
      <c r="AP71" s="908" t="str">
        <f t="shared" si="21"/>
        <v>ns</v>
      </c>
      <c r="AQ71" s="535"/>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row>
    <row r="72" spans="1:212" s="536" customFormat="1">
      <c r="A72" s="504">
        <v>72</v>
      </c>
      <c r="B72" s="525" t="s">
        <v>885</v>
      </c>
      <c r="C72" s="526">
        <v>505</v>
      </c>
      <c r="D72" s="525" t="s">
        <v>903</v>
      </c>
      <c r="E72" s="525" t="s">
        <v>1311</v>
      </c>
      <c r="F72" s="525" t="s">
        <v>663</v>
      </c>
      <c r="G72" s="525" t="s">
        <v>661</v>
      </c>
      <c r="H72" s="527" t="s">
        <v>885</v>
      </c>
      <c r="I72" s="528" t="s">
        <v>904</v>
      </c>
      <c r="J72" s="529" t="s">
        <v>654</v>
      </c>
      <c r="K72" s="528" t="s">
        <v>197</v>
      </c>
      <c r="L72" s="530" t="s">
        <v>197</v>
      </c>
      <c r="M72" s="529" t="s">
        <v>197</v>
      </c>
      <c r="N72" s="531" t="s">
        <v>671</v>
      </c>
      <c r="O72" s="532" t="s">
        <v>902</v>
      </c>
      <c r="P72" s="525" t="s">
        <v>1191</v>
      </c>
      <c r="Q72" s="532" t="s">
        <v>663</v>
      </c>
      <c r="R72" s="525" t="s">
        <v>662</v>
      </c>
      <c r="S72" s="525" t="s">
        <v>662</v>
      </c>
      <c r="T72" s="525" t="s">
        <v>663</v>
      </c>
      <c r="U72" s="525" t="s">
        <v>663</v>
      </c>
      <c r="V72" s="532" t="s">
        <v>663</v>
      </c>
      <c r="W72" s="532" t="s">
        <v>663</v>
      </c>
      <c r="X72" s="532" t="s">
        <v>663</v>
      </c>
      <c r="Y72" s="532" t="s">
        <v>663</v>
      </c>
      <c r="Z72" s="532" t="s">
        <v>663</v>
      </c>
      <c r="AA72" s="532" t="s">
        <v>663</v>
      </c>
      <c r="AB72" s="525" t="str">
        <f t="shared" si="12"/>
        <v>PHY</v>
      </c>
      <c r="AC72" s="525" t="s">
        <v>1192</v>
      </c>
      <c r="AD72" s="533" t="str" cm="1">
        <f t="array" ref="AD72">IF(SUMPRODUCT(ISNUMBER(SEARCH("y",R72:AA72))+0)=0,"",IF(AA72="y","400G",IF(Z72="y","100G",IF(X72="y","40G",IF(V72="y","10G",IF(S72="y","1G",IF(R72="y","100M",""))))))&amp;" "&amp;AB72&amp;" "&amp;AC72)</f>
        <v>1G PHY UPLINK</v>
      </c>
      <c r="AE72" s="534" t="str">
        <f t="shared" si="11"/>
        <v/>
      </c>
      <c r="AF72" s="910" t="str">
        <f t="shared" si="13"/>
        <v>ns</v>
      </c>
      <c r="AG72" s="911" t="str">
        <f t="shared" si="14"/>
        <v>.</v>
      </c>
      <c r="AH72" s="911" t="str">
        <f t="shared" si="22"/>
        <v>.</v>
      </c>
      <c r="AI72" s="911" t="str">
        <f t="shared" si="15"/>
        <v>ns</v>
      </c>
      <c r="AJ72" s="911" t="str">
        <f t="shared" si="16"/>
        <v>ns</v>
      </c>
      <c r="AK72" s="921" t="str">
        <f t="shared" si="17"/>
        <v>ns</v>
      </c>
      <c r="AL72" s="908" t="str">
        <f t="shared" si="17"/>
        <v>ns</v>
      </c>
      <c r="AM72" s="909" t="str">
        <f t="shared" si="18"/>
        <v>ns</v>
      </c>
      <c r="AN72" s="908" t="str">
        <f t="shared" si="19"/>
        <v>ns</v>
      </c>
      <c r="AO72" s="908" t="str">
        <f t="shared" si="20"/>
        <v>ns</v>
      </c>
      <c r="AP72" s="908" t="str">
        <f t="shared" si="21"/>
        <v>ns</v>
      </c>
      <c r="AQ72" s="535"/>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row>
    <row r="73" spans="1:212" s="536" customFormat="1">
      <c r="A73" s="504">
        <v>73</v>
      </c>
      <c r="B73" s="525" t="s">
        <v>885</v>
      </c>
      <c r="C73" s="526">
        <v>506</v>
      </c>
      <c r="D73" s="525" t="s">
        <v>886</v>
      </c>
      <c r="E73" s="525" t="s">
        <v>1312</v>
      </c>
      <c r="F73" s="525" t="s">
        <v>663</v>
      </c>
      <c r="G73" s="525" t="s">
        <v>661</v>
      </c>
      <c r="H73" s="527" t="s">
        <v>885</v>
      </c>
      <c r="I73" s="528" t="s">
        <v>887</v>
      </c>
      <c r="J73" s="529" t="s">
        <v>654</v>
      </c>
      <c r="K73" s="528" t="s">
        <v>197</v>
      </c>
      <c r="L73" s="530" t="s">
        <v>197</v>
      </c>
      <c r="M73" s="529" t="s">
        <v>197</v>
      </c>
      <c r="N73" s="531" t="s">
        <v>671</v>
      </c>
      <c r="O73" s="532" t="s">
        <v>889</v>
      </c>
      <c r="P73" s="525" t="s">
        <v>1191</v>
      </c>
      <c r="Q73" s="532" t="s">
        <v>663</v>
      </c>
      <c r="R73" s="525" t="s">
        <v>662</v>
      </c>
      <c r="S73" s="525" t="s">
        <v>662</v>
      </c>
      <c r="T73" s="525" t="s">
        <v>663</v>
      </c>
      <c r="U73" s="525" t="s">
        <v>663</v>
      </c>
      <c r="V73" s="532" t="s">
        <v>663</v>
      </c>
      <c r="W73" s="532" t="s">
        <v>663</v>
      </c>
      <c r="X73" s="532" t="s">
        <v>663</v>
      </c>
      <c r="Y73" s="532" t="s">
        <v>663</v>
      </c>
      <c r="Z73" s="532" t="s">
        <v>663</v>
      </c>
      <c r="AA73" s="532" t="s">
        <v>663</v>
      </c>
      <c r="AB73" s="525" t="str">
        <f t="shared" si="12"/>
        <v>PHY</v>
      </c>
      <c r="AC73" s="525" t="s">
        <v>1192</v>
      </c>
      <c r="AD73" s="533" t="str" cm="1">
        <f t="array" ref="AD73">IF(SUMPRODUCT(ISNUMBER(SEARCH("y",R73:AA73))+0)=0,"",IF(AA73="y","400G",IF(Z73="y","100G",IF(X73="y","40G",IF(V73="y","10G",IF(S73="y","1G",IF(R73="y","100M",""))))))&amp;" "&amp;AB73&amp;" "&amp;AC73)</f>
        <v>1G PHY UPLINK</v>
      </c>
      <c r="AE73" s="534" t="str">
        <f t="shared" ref="AE73:AE136" si="23">IF(K73="-","",_xlfn.CONCAT(K73," ",AD73))</f>
        <v/>
      </c>
      <c r="AF73" s="910" t="str">
        <f t="shared" si="13"/>
        <v>ns</v>
      </c>
      <c r="AG73" s="911" t="str">
        <f t="shared" si="14"/>
        <v>.</v>
      </c>
      <c r="AH73" s="911" t="str">
        <f t="shared" si="22"/>
        <v>.</v>
      </c>
      <c r="AI73" s="911" t="str">
        <f t="shared" si="15"/>
        <v>ns</v>
      </c>
      <c r="AJ73" s="911" t="str">
        <f t="shared" si="16"/>
        <v>ns</v>
      </c>
      <c r="AK73" s="921" t="str">
        <f t="shared" si="17"/>
        <v>ns</v>
      </c>
      <c r="AL73" s="908" t="str">
        <f t="shared" si="17"/>
        <v>ns</v>
      </c>
      <c r="AM73" s="909" t="str">
        <f t="shared" si="18"/>
        <v>ns</v>
      </c>
      <c r="AN73" s="908" t="str">
        <f t="shared" si="19"/>
        <v>ns</v>
      </c>
      <c r="AO73" s="908" t="str">
        <f t="shared" si="20"/>
        <v>ns</v>
      </c>
      <c r="AP73" s="908" t="str">
        <f t="shared" si="21"/>
        <v>ns</v>
      </c>
      <c r="AQ73" s="535"/>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row>
    <row r="74" spans="1:212" s="536" customFormat="1">
      <c r="A74" s="504">
        <v>74</v>
      </c>
      <c r="B74" s="525" t="s">
        <v>885</v>
      </c>
      <c r="C74" s="526">
        <v>507</v>
      </c>
      <c r="D74" s="525" t="s">
        <v>890</v>
      </c>
      <c r="E74" s="525" t="s">
        <v>1313</v>
      </c>
      <c r="F74" s="525" t="s">
        <v>663</v>
      </c>
      <c r="G74" s="525" t="s">
        <v>661</v>
      </c>
      <c r="H74" s="527" t="s">
        <v>885</v>
      </c>
      <c r="I74" s="528" t="s">
        <v>891</v>
      </c>
      <c r="J74" s="529" t="s">
        <v>654</v>
      </c>
      <c r="K74" s="528" t="s">
        <v>197</v>
      </c>
      <c r="L74" s="530" t="s">
        <v>197</v>
      </c>
      <c r="M74" s="529" t="s">
        <v>197</v>
      </c>
      <c r="N74" s="531" t="s">
        <v>671</v>
      </c>
      <c r="O74" s="532" t="s">
        <v>889</v>
      </c>
      <c r="P74" s="525" t="s">
        <v>1191</v>
      </c>
      <c r="Q74" s="532" t="s">
        <v>663</v>
      </c>
      <c r="R74" s="525" t="s">
        <v>662</v>
      </c>
      <c r="S74" s="525" t="s">
        <v>662</v>
      </c>
      <c r="T74" s="525" t="s">
        <v>663</v>
      </c>
      <c r="U74" s="525" t="s">
        <v>663</v>
      </c>
      <c r="V74" s="532" t="s">
        <v>663</v>
      </c>
      <c r="W74" s="532" t="s">
        <v>663</v>
      </c>
      <c r="X74" s="532" t="s">
        <v>663</v>
      </c>
      <c r="Y74" s="532" t="s">
        <v>663</v>
      </c>
      <c r="Z74" s="532" t="s">
        <v>663</v>
      </c>
      <c r="AA74" s="532" t="s">
        <v>663</v>
      </c>
      <c r="AB74" s="525" t="str">
        <f t="shared" si="12"/>
        <v>PHY</v>
      </c>
      <c r="AC74" s="525" t="s">
        <v>1192</v>
      </c>
      <c r="AD74" s="533" t="str" cm="1">
        <f t="array" ref="AD74">IF(SUMPRODUCT(ISNUMBER(SEARCH("y",R74:AA74))+0)=0,"",IF(AA74="y","400G",IF(Z74="y","100G",IF(X74="y","40G",IF(V74="y","10G",IF(S74="y","1G",IF(R74="y","100M",""))))))&amp;" "&amp;AB74&amp;" "&amp;AC74)</f>
        <v>1G PHY UPLINK</v>
      </c>
      <c r="AE74" s="534" t="str">
        <f t="shared" si="23"/>
        <v/>
      </c>
      <c r="AF74" s="910" t="str">
        <f t="shared" si="13"/>
        <v>ns</v>
      </c>
      <c r="AG74" s="911" t="str">
        <f t="shared" si="14"/>
        <v>.</v>
      </c>
      <c r="AH74" s="911" t="str">
        <f t="shared" si="22"/>
        <v>.</v>
      </c>
      <c r="AI74" s="911" t="str">
        <f t="shared" si="15"/>
        <v>ns</v>
      </c>
      <c r="AJ74" s="911" t="str">
        <f t="shared" si="16"/>
        <v>ns</v>
      </c>
      <c r="AK74" s="921" t="str">
        <f t="shared" si="17"/>
        <v>ns</v>
      </c>
      <c r="AL74" s="908" t="str">
        <f t="shared" si="17"/>
        <v>ns</v>
      </c>
      <c r="AM74" s="909" t="str">
        <f t="shared" si="18"/>
        <v>ns</v>
      </c>
      <c r="AN74" s="908" t="str">
        <f t="shared" si="19"/>
        <v>ns</v>
      </c>
      <c r="AO74" s="908" t="str">
        <f t="shared" si="20"/>
        <v>ns</v>
      </c>
      <c r="AP74" s="908" t="str">
        <f t="shared" si="21"/>
        <v>ns</v>
      </c>
      <c r="AQ74" s="535"/>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row>
    <row r="75" spans="1:212" s="536" customFormat="1">
      <c r="A75" s="504">
        <v>75</v>
      </c>
      <c r="B75" s="525" t="s">
        <v>885</v>
      </c>
      <c r="C75" s="526">
        <v>508</v>
      </c>
      <c r="D75" s="525" t="s">
        <v>892</v>
      </c>
      <c r="E75" s="525" t="s">
        <v>1314</v>
      </c>
      <c r="F75" s="525" t="s">
        <v>663</v>
      </c>
      <c r="G75" s="525" t="s">
        <v>661</v>
      </c>
      <c r="H75" s="527" t="s">
        <v>885</v>
      </c>
      <c r="I75" s="528" t="s">
        <v>893</v>
      </c>
      <c r="J75" s="529" t="s">
        <v>654</v>
      </c>
      <c r="K75" s="528" t="s">
        <v>892</v>
      </c>
      <c r="L75" s="530" t="s">
        <v>674</v>
      </c>
      <c r="M75" s="529" t="s">
        <v>895</v>
      </c>
      <c r="N75" s="531" t="s">
        <v>671</v>
      </c>
      <c r="O75" s="532" t="s">
        <v>889</v>
      </c>
      <c r="P75" s="525" t="s">
        <v>1191</v>
      </c>
      <c r="Q75" s="532" t="s">
        <v>663</v>
      </c>
      <c r="R75" s="525" t="s">
        <v>662</v>
      </c>
      <c r="S75" s="525" t="s">
        <v>662</v>
      </c>
      <c r="T75" s="525" t="s">
        <v>663</v>
      </c>
      <c r="U75" s="525" t="s">
        <v>663</v>
      </c>
      <c r="V75" s="532" t="s">
        <v>663</v>
      </c>
      <c r="W75" s="532" t="s">
        <v>663</v>
      </c>
      <c r="X75" s="532" t="s">
        <v>663</v>
      </c>
      <c r="Y75" s="532" t="s">
        <v>663</v>
      </c>
      <c r="Z75" s="532" t="s">
        <v>663</v>
      </c>
      <c r="AA75" s="532" t="s">
        <v>663</v>
      </c>
      <c r="AB75" s="525" t="str">
        <f t="shared" si="12"/>
        <v>PHY</v>
      </c>
      <c r="AC75" s="525" t="s">
        <v>1192</v>
      </c>
      <c r="AD75" s="533" t="str" cm="1">
        <f t="array" ref="AD75">IF(SUMPRODUCT(ISNUMBER(SEARCH("y",R75:AA75))+0)=0,"",IF(AA75="y","400G",IF(Z75="y","100G",IF(X75="y","40G",IF(V75="y","10G",IF(S75="y","1G",IF(R75="y","100M",""))))))&amp;" "&amp;AB75&amp;" "&amp;AC75)</f>
        <v>1G PHY UPLINK</v>
      </c>
      <c r="AE75" s="534" t="str">
        <f t="shared" si="23"/>
        <v>AT-x220-28GS 1G PHY UPLINK</v>
      </c>
      <c r="AF75" s="910" t="str">
        <f t="shared" si="13"/>
        <v>ns</v>
      </c>
      <c r="AG75" s="911" t="str">
        <f t="shared" si="14"/>
        <v>.</v>
      </c>
      <c r="AH75" s="911" t="str">
        <f t="shared" si="22"/>
        <v>.</v>
      </c>
      <c r="AI75" s="911" t="str">
        <f t="shared" si="15"/>
        <v>ns</v>
      </c>
      <c r="AJ75" s="911" t="str">
        <f t="shared" si="16"/>
        <v>ns</v>
      </c>
      <c r="AK75" s="921" t="str">
        <f t="shared" si="17"/>
        <v>ns</v>
      </c>
      <c r="AL75" s="908" t="str">
        <f t="shared" si="17"/>
        <v>ns</v>
      </c>
      <c r="AM75" s="909" t="str">
        <f t="shared" si="18"/>
        <v>ns</v>
      </c>
      <c r="AN75" s="908" t="str">
        <f t="shared" si="19"/>
        <v>ns</v>
      </c>
      <c r="AO75" s="908" t="str">
        <f t="shared" si="20"/>
        <v>ns</v>
      </c>
      <c r="AP75" s="908" t="str">
        <f t="shared" si="21"/>
        <v>ns</v>
      </c>
      <c r="AQ75" s="53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row>
    <row r="76" spans="1:212" s="536" customFormat="1">
      <c r="A76" s="504">
        <v>76</v>
      </c>
      <c r="B76" s="525" t="s">
        <v>885</v>
      </c>
      <c r="C76" s="526">
        <v>508</v>
      </c>
      <c r="D76" s="525" t="s">
        <v>892</v>
      </c>
      <c r="E76" s="525" t="s">
        <v>1314</v>
      </c>
      <c r="F76" s="525" t="s">
        <v>663</v>
      </c>
      <c r="G76" s="525" t="s">
        <v>661</v>
      </c>
      <c r="H76" s="527" t="s">
        <v>885</v>
      </c>
      <c r="I76" s="528" t="s">
        <v>896</v>
      </c>
      <c r="J76" s="529" t="s">
        <v>897</v>
      </c>
      <c r="K76" s="528" t="s">
        <v>892</v>
      </c>
      <c r="L76" s="530" t="s">
        <v>674</v>
      </c>
      <c r="M76" s="529" t="s">
        <v>895</v>
      </c>
      <c r="N76" s="531" t="s">
        <v>671</v>
      </c>
      <c r="O76" s="532" t="s">
        <v>899</v>
      </c>
      <c r="P76" s="525" t="s">
        <v>1259</v>
      </c>
      <c r="Q76" s="532" t="s">
        <v>663</v>
      </c>
      <c r="R76" s="525" t="s">
        <v>662</v>
      </c>
      <c r="S76" s="525" t="s">
        <v>662</v>
      </c>
      <c r="T76" s="525" t="s">
        <v>663</v>
      </c>
      <c r="U76" s="525" t="s">
        <v>663</v>
      </c>
      <c r="V76" s="532" t="s">
        <v>663</v>
      </c>
      <c r="W76" s="532" t="s">
        <v>663</v>
      </c>
      <c r="X76" s="532" t="s">
        <v>663</v>
      </c>
      <c r="Y76" s="532" t="s">
        <v>663</v>
      </c>
      <c r="Z76" s="532" t="s">
        <v>663</v>
      </c>
      <c r="AA76" s="532" t="s">
        <v>663</v>
      </c>
      <c r="AB76" s="525" t="str">
        <f t="shared" si="12"/>
        <v>PHY</v>
      </c>
      <c r="AC76" s="525" t="s">
        <v>1201</v>
      </c>
      <c r="AD76" s="533" t="str" cm="1">
        <f t="array" ref="AD76">IF(SUMPRODUCT(ISNUMBER(SEARCH("y",R76:AA76))+0)=0,"",IF(AA76="y","400G",IF(Z76="y","100G",IF(X76="y","40G",IF(V76="y","10G",IF(S76="y","1G",IF(R76="y","100M",""))))))&amp;" "&amp;AB76&amp;" "&amp;AC76)</f>
        <v>1G PHY BASE</v>
      </c>
      <c r="AE76" s="534" t="str">
        <f t="shared" si="23"/>
        <v>AT-x220-28GS 1G PHY BASE</v>
      </c>
      <c r="AF76" s="910" t="str">
        <f t="shared" si="13"/>
        <v>ns</v>
      </c>
      <c r="AG76" s="911" t="str">
        <f t="shared" si="14"/>
        <v>.</v>
      </c>
      <c r="AH76" s="911" t="str">
        <f t="shared" si="22"/>
        <v>.</v>
      </c>
      <c r="AI76" s="911" t="str">
        <f t="shared" si="15"/>
        <v>ns</v>
      </c>
      <c r="AJ76" s="911" t="str">
        <f t="shared" si="16"/>
        <v>ns</v>
      </c>
      <c r="AK76" s="921" t="str">
        <f t="shared" si="17"/>
        <v>ns</v>
      </c>
      <c r="AL76" s="908" t="str">
        <f t="shared" si="17"/>
        <v>ns</v>
      </c>
      <c r="AM76" s="909" t="str">
        <f t="shared" si="18"/>
        <v>ns</v>
      </c>
      <c r="AN76" s="908" t="str">
        <f t="shared" si="19"/>
        <v>ns</v>
      </c>
      <c r="AO76" s="908" t="str">
        <f t="shared" si="20"/>
        <v>ns</v>
      </c>
      <c r="AP76" s="908" t="str">
        <f t="shared" si="21"/>
        <v>ns</v>
      </c>
      <c r="AQ76" s="535"/>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row>
    <row r="77" spans="1:212">
      <c r="A77" s="537">
        <v>77</v>
      </c>
      <c r="B77" s="537" t="s">
        <v>940</v>
      </c>
      <c r="C77" s="538">
        <v>533</v>
      </c>
      <c r="D77" s="560" t="s">
        <v>1315</v>
      </c>
      <c r="E77" s="537" t="s">
        <v>1316</v>
      </c>
      <c r="F77" s="537" t="s">
        <v>663</v>
      </c>
      <c r="G77" s="537" t="s">
        <v>661</v>
      </c>
      <c r="H77" s="539" t="s">
        <v>105</v>
      </c>
      <c r="I77" s="540" t="s">
        <v>929</v>
      </c>
      <c r="J77" s="541" t="s">
        <v>712</v>
      </c>
      <c r="K77" s="540" t="s">
        <v>197</v>
      </c>
      <c r="L77" s="550" t="s">
        <v>197</v>
      </c>
      <c r="M77" s="541" t="s">
        <v>197</v>
      </c>
      <c r="N77" s="543" t="s">
        <v>671</v>
      </c>
      <c r="O77" s="544" t="s">
        <v>889</v>
      </c>
      <c r="P77" s="537" t="s">
        <v>827</v>
      </c>
      <c r="Q77" s="544" t="s">
        <v>663</v>
      </c>
      <c r="R77" s="537" t="s">
        <v>662</v>
      </c>
      <c r="S77" s="537" t="s">
        <v>662</v>
      </c>
      <c r="T77" s="537" t="s">
        <v>663</v>
      </c>
      <c r="U77" s="537" t="s">
        <v>663</v>
      </c>
      <c r="V77" s="544" t="s">
        <v>663</v>
      </c>
      <c r="W77" s="544" t="s">
        <v>663</v>
      </c>
      <c r="X77" s="544" t="s">
        <v>663</v>
      </c>
      <c r="Y77" s="544" t="s">
        <v>663</v>
      </c>
      <c r="Z77" s="544" t="s">
        <v>663</v>
      </c>
      <c r="AA77" s="544" t="s">
        <v>663</v>
      </c>
      <c r="AB77" s="537" t="str">
        <f t="shared" si="12"/>
        <v>PHY</v>
      </c>
      <c r="AC77" s="537" t="s">
        <v>1192</v>
      </c>
      <c r="AD77" s="545" t="str" cm="1">
        <f t="array" ref="AD77">IF(SUMPRODUCT(ISNUMBER(SEARCH("y",R77:AA77))+0)=0,"",IF(AA77="y","400G",IF(Z77="y","100G",IF(X77="y","40G",IF(V77="y","10G",IF(S77="y","1G",IF(R77="y","100M",""))))))&amp;" "&amp;AB77&amp;" "&amp;AC77)</f>
        <v>1G PHY UPLINK</v>
      </c>
      <c r="AE77" s="546" t="str">
        <f t="shared" si="23"/>
        <v/>
      </c>
      <c r="AF77" s="912" t="str">
        <f t="shared" si="13"/>
        <v>ns</v>
      </c>
      <c r="AG77" s="405" t="str">
        <f t="shared" si="14"/>
        <v>.</v>
      </c>
      <c r="AH77" s="405" t="str">
        <f t="shared" si="22"/>
        <v>.</v>
      </c>
      <c r="AI77" s="405" t="str">
        <f t="shared" si="15"/>
        <v>ns</v>
      </c>
      <c r="AJ77" s="405" t="str">
        <f t="shared" si="16"/>
        <v>ns</v>
      </c>
      <c r="AK77" s="922" t="str">
        <f t="shared" si="17"/>
        <v>ns</v>
      </c>
      <c r="AL77" s="405" t="str">
        <f t="shared" si="17"/>
        <v>ns</v>
      </c>
      <c r="AM77" s="912" t="str">
        <f t="shared" si="18"/>
        <v>ns</v>
      </c>
      <c r="AN77" s="405" t="str">
        <f t="shared" si="19"/>
        <v>ns</v>
      </c>
      <c r="AO77" s="405" t="str">
        <f t="shared" si="20"/>
        <v>ns</v>
      </c>
      <c r="AP77" s="405" t="str">
        <f t="shared" si="21"/>
        <v>ns</v>
      </c>
      <c r="AQ77" s="547"/>
    </row>
    <row r="78" spans="1:212">
      <c r="A78" s="537">
        <v>78</v>
      </c>
      <c r="B78" s="537" t="s">
        <v>940</v>
      </c>
      <c r="C78" s="538">
        <v>534</v>
      </c>
      <c r="D78" s="560" t="s">
        <v>1317</v>
      </c>
      <c r="E78" s="537" t="s">
        <v>1318</v>
      </c>
      <c r="F78" s="537" t="s">
        <v>663</v>
      </c>
      <c r="G78" s="537" t="s">
        <v>661</v>
      </c>
      <c r="H78" s="539" t="s">
        <v>105</v>
      </c>
      <c r="I78" s="540" t="s">
        <v>921</v>
      </c>
      <c r="J78" s="541" t="s">
        <v>712</v>
      </c>
      <c r="K78" s="540" t="s">
        <v>197</v>
      </c>
      <c r="L78" s="550" t="s">
        <v>197</v>
      </c>
      <c r="M78" s="541" t="s">
        <v>197</v>
      </c>
      <c r="N78" s="543" t="s">
        <v>671</v>
      </c>
      <c r="O78" s="544" t="s">
        <v>1030</v>
      </c>
      <c r="P78" s="537" t="s">
        <v>827</v>
      </c>
      <c r="Q78" s="544" t="s">
        <v>663</v>
      </c>
      <c r="R78" s="537" t="s">
        <v>662</v>
      </c>
      <c r="S78" s="537" t="s">
        <v>662</v>
      </c>
      <c r="T78" s="537" t="s">
        <v>663</v>
      </c>
      <c r="U78" s="537" t="s">
        <v>663</v>
      </c>
      <c r="V78" s="544" t="s">
        <v>663</v>
      </c>
      <c r="W78" s="544" t="s">
        <v>663</v>
      </c>
      <c r="X78" s="544" t="s">
        <v>663</v>
      </c>
      <c r="Y78" s="544" t="s">
        <v>663</v>
      </c>
      <c r="Z78" s="544" t="s">
        <v>663</v>
      </c>
      <c r="AA78" s="544" t="s">
        <v>663</v>
      </c>
      <c r="AB78" s="537" t="str">
        <f t="shared" si="12"/>
        <v>PHY</v>
      </c>
      <c r="AC78" s="537" t="s">
        <v>1192</v>
      </c>
      <c r="AD78" s="545" t="str" cm="1">
        <f t="array" ref="AD78">IF(SUMPRODUCT(ISNUMBER(SEARCH("y",R78:AA78))+0)=0,"",IF(AA78="y","400G",IF(Z78="y","100G",IF(X78="y","40G",IF(V78="y","10G",IF(S78="y","1G",IF(R78="y","100M",""))))))&amp;" "&amp;AB78&amp;" "&amp;AC78)</f>
        <v>1G PHY UPLINK</v>
      </c>
      <c r="AE78" s="546" t="str">
        <f t="shared" si="23"/>
        <v/>
      </c>
      <c r="AF78" s="912" t="str">
        <f t="shared" si="13"/>
        <v>ns</v>
      </c>
      <c r="AG78" s="405" t="str">
        <f t="shared" si="14"/>
        <v>.</v>
      </c>
      <c r="AH78" s="405" t="str">
        <f t="shared" si="22"/>
        <v>.</v>
      </c>
      <c r="AI78" s="405" t="str">
        <f t="shared" si="15"/>
        <v>ns</v>
      </c>
      <c r="AJ78" s="405" t="str">
        <f t="shared" si="16"/>
        <v>ns</v>
      </c>
      <c r="AK78" s="922" t="str">
        <f t="shared" si="17"/>
        <v>ns</v>
      </c>
      <c r="AL78" s="405" t="str">
        <f t="shared" si="17"/>
        <v>ns</v>
      </c>
      <c r="AM78" s="912" t="str">
        <f t="shared" si="18"/>
        <v>ns</v>
      </c>
      <c r="AN78" s="405" t="str">
        <f t="shared" si="19"/>
        <v>ns</v>
      </c>
      <c r="AO78" s="405" t="str">
        <f t="shared" si="20"/>
        <v>ns</v>
      </c>
      <c r="AP78" s="405" t="str">
        <f t="shared" si="21"/>
        <v>ns</v>
      </c>
      <c r="AQ78" s="547"/>
    </row>
    <row r="79" spans="1:212">
      <c r="A79" s="537">
        <v>79</v>
      </c>
      <c r="B79" s="537" t="s">
        <v>940</v>
      </c>
      <c r="C79" s="538">
        <v>535</v>
      </c>
      <c r="D79" s="560" t="s">
        <v>1319</v>
      </c>
      <c r="E79" s="537" t="s">
        <v>1320</v>
      </c>
      <c r="F79" s="537" t="s">
        <v>663</v>
      </c>
      <c r="G79" s="537" t="s">
        <v>661</v>
      </c>
      <c r="H79" s="539" t="s">
        <v>105</v>
      </c>
      <c r="I79" s="540" t="s">
        <v>921</v>
      </c>
      <c r="J79" s="541" t="s">
        <v>712</v>
      </c>
      <c r="K79" s="540" t="s">
        <v>197</v>
      </c>
      <c r="L79" s="550" t="s">
        <v>197</v>
      </c>
      <c r="M79" s="541" t="s">
        <v>197</v>
      </c>
      <c r="N79" s="543" t="s">
        <v>671</v>
      </c>
      <c r="O79" s="544" t="s">
        <v>969</v>
      </c>
      <c r="P79" s="537" t="s">
        <v>827</v>
      </c>
      <c r="Q79" s="544" t="s">
        <v>663</v>
      </c>
      <c r="R79" s="537" t="s">
        <v>662</v>
      </c>
      <c r="S79" s="537" t="s">
        <v>662</v>
      </c>
      <c r="T79" s="537" t="s">
        <v>663</v>
      </c>
      <c r="U79" s="537" t="s">
        <v>663</v>
      </c>
      <c r="V79" s="544" t="s">
        <v>663</v>
      </c>
      <c r="W79" s="544" t="s">
        <v>663</v>
      </c>
      <c r="X79" s="544" t="s">
        <v>663</v>
      </c>
      <c r="Y79" s="544" t="s">
        <v>663</v>
      </c>
      <c r="Z79" s="544" t="s">
        <v>663</v>
      </c>
      <c r="AA79" s="544" t="s">
        <v>663</v>
      </c>
      <c r="AB79" s="537" t="str">
        <f t="shared" si="12"/>
        <v>PHY</v>
      </c>
      <c r="AC79" s="537" t="s">
        <v>1192</v>
      </c>
      <c r="AD79" s="545" t="str" cm="1">
        <f t="array" ref="AD79">IF(SUMPRODUCT(ISNUMBER(SEARCH("y",R79:AA79))+0)=0,"",IF(AA79="y","400G",IF(Z79="y","100G",IF(X79="y","40G",IF(V79="y","10G",IF(S79="y","1G",IF(R79="y","100M",""))))))&amp;" "&amp;AB79&amp;" "&amp;AC79)</f>
        <v>1G PHY UPLINK</v>
      </c>
      <c r="AE79" s="546" t="str">
        <f t="shared" si="23"/>
        <v/>
      </c>
      <c r="AF79" s="912" t="str">
        <f t="shared" si="13"/>
        <v>ns</v>
      </c>
      <c r="AG79" s="405" t="str">
        <f t="shared" si="14"/>
        <v>.</v>
      </c>
      <c r="AH79" s="405" t="str">
        <f t="shared" si="22"/>
        <v>.</v>
      </c>
      <c r="AI79" s="405" t="str">
        <f t="shared" si="15"/>
        <v>ns</v>
      </c>
      <c r="AJ79" s="405" t="str">
        <f t="shared" si="16"/>
        <v>ns</v>
      </c>
      <c r="AK79" s="922" t="str">
        <f t="shared" si="17"/>
        <v>ns</v>
      </c>
      <c r="AL79" s="405" t="str">
        <f t="shared" si="17"/>
        <v>ns</v>
      </c>
      <c r="AM79" s="912" t="str">
        <f t="shared" si="18"/>
        <v>ns</v>
      </c>
      <c r="AN79" s="405" t="str">
        <f t="shared" si="19"/>
        <v>ns</v>
      </c>
      <c r="AO79" s="405" t="str">
        <f t="shared" si="20"/>
        <v>ns</v>
      </c>
      <c r="AP79" s="405" t="str">
        <f t="shared" si="21"/>
        <v>ns</v>
      </c>
      <c r="AQ79" s="547"/>
    </row>
    <row r="80" spans="1:212">
      <c r="A80" s="537">
        <v>80</v>
      </c>
      <c r="B80" s="537" t="s">
        <v>940</v>
      </c>
      <c r="C80" s="538">
        <v>536</v>
      </c>
      <c r="D80" s="560" t="s">
        <v>1321</v>
      </c>
      <c r="E80" s="537" t="s">
        <v>1322</v>
      </c>
      <c r="F80" s="537" t="s">
        <v>663</v>
      </c>
      <c r="G80" s="537" t="s">
        <v>661</v>
      </c>
      <c r="H80" s="539" t="s">
        <v>105</v>
      </c>
      <c r="I80" s="540" t="s">
        <v>929</v>
      </c>
      <c r="J80" s="541" t="s">
        <v>712</v>
      </c>
      <c r="K80" s="540" t="s">
        <v>197</v>
      </c>
      <c r="L80" s="550" t="s">
        <v>197</v>
      </c>
      <c r="M80" s="541" t="s">
        <v>197</v>
      </c>
      <c r="N80" s="543" t="s">
        <v>671</v>
      </c>
      <c r="O80" s="544" t="s">
        <v>889</v>
      </c>
      <c r="P80" s="537" t="s">
        <v>827</v>
      </c>
      <c r="Q80" s="544" t="s">
        <v>663</v>
      </c>
      <c r="R80" s="537" t="s">
        <v>662</v>
      </c>
      <c r="S80" s="537" t="s">
        <v>662</v>
      </c>
      <c r="T80" s="537" t="s">
        <v>663</v>
      </c>
      <c r="U80" s="537" t="s">
        <v>663</v>
      </c>
      <c r="V80" s="544" t="s">
        <v>663</v>
      </c>
      <c r="W80" s="544" t="s">
        <v>663</v>
      </c>
      <c r="X80" s="544" t="s">
        <v>663</v>
      </c>
      <c r="Y80" s="544" t="s">
        <v>663</v>
      </c>
      <c r="Z80" s="544" t="s">
        <v>663</v>
      </c>
      <c r="AA80" s="544" t="s">
        <v>663</v>
      </c>
      <c r="AB80" s="537" t="str">
        <f t="shared" si="12"/>
        <v>PHY</v>
      </c>
      <c r="AC80" s="537" t="s">
        <v>1192</v>
      </c>
      <c r="AD80" s="545" t="str" cm="1">
        <f t="array" ref="AD80">IF(SUMPRODUCT(ISNUMBER(SEARCH("y",R80:AA80))+0)=0,"",IF(AA80="y","400G",IF(Z80="y","100G",IF(X80="y","40G",IF(V80="y","10G",IF(S80="y","1G",IF(R80="y","100M",""))))))&amp;" "&amp;AB80&amp;" "&amp;AC80)</f>
        <v>1G PHY UPLINK</v>
      </c>
      <c r="AE80" s="546" t="str">
        <f t="shared" si="23"/>
        <v/>
      </c>
      <c r="AF80" s="912" t="str">
        <f t="shared" si="13"/>
        <v>ns</v>
      </c>
      <c r="AG80" s="405" t="str">
        <f t="shared" si="14"/>
        <v>.</v>
      </c>
      <c r="AH80" s="405" t="str">
        <f t="shared" si="22"/>
        <v>.</v>
      </c>
      <c r="AI80" s="405" t="str">
        <f t="shared" si="15"/>
        <v>ns</v>
      </c>
      <c r="AJ80" s="405" t="str">
        <f t="shared" si="16"/>
        <v>ns</v>
      </c>
      <c r="AK80" s="922" t="str">
        <f t="shared" si="17"/>
        <v>ns</v>
      </c>
      <c r="AL80" s="405" t="str">
        <f t="shared" si="17"/>
        <v>ns</v>
      </c>
      <c r="AM80" s="912" t="str">
        <f t="shared" si="18"/>
        <v>ns</v>
      </c>
      <c r="AN80" s="405" t="str">
        <f t="shared" si="19"/>
        <v>ns</v>
      </c>
      <c r="AO80" s="405" t="str">
        <f t="shared" si="20"/>
        <v>ns</v>
      </c>
      <c r="AP80" s="405" t="str">
        <f t="shared" si="21"/>
        <v>ns</v>
      </c>
      <c r="AQ80" s="547"/>
    </row>
    <row r="81" spans="1:43">
      <c r="A81" s="537">
        <v>81</v>
      </c>
      <c r="B81" s="537" t="s">
        <v>940</v>
      </c>
      <c r="C81" s="538">
        <v>537</v>
      </c>
      <c r="D81" s="560" t="s">
        <v>1323</v>
      </c>
      <c r="E81" s="537" t="s">
        <v>1324</v>
      </c>
      <c r="F81" s="537" t="s">
        <v>663</v>
      </c>
      <c r="G81" s="537" t="s">
        <v>661</v>
      </c>
      <c r="H81" s="539" t="s">
        <v>105</v>
      </c>
      <c r="I81" s="540" t="s">
        <v>916</v>
      </c>
      <c r="J81" s="541" t="s">
        <v>712</v>
      </c>
      <c r="K81" s="540" t="s">
        <v>197</v>
      </c>
      <c r="L81" s="550" t="s">
        <v>197</v>
      </c>
      <c r="M81" s="541" t="s">
        <v>197</v>
      </c>
      <c r="N81" s="543" t="s">
        <v>671</v>
      </c>
      <c r="O81" s="544" t="s">
        <v>1030</v>
      </c>
      <c r="P81" s="537" t="s">
        <v>827</v>
      </c>
      <c r="Q81" s="544" t="s">
        <v>663</v>
      </c>
      <c r="R81" s="537" t="s">
        <v>662</v>
      </c>
      <c r="S81" s="537" t="s">
        <v>662</v>
      </c>
      <c r="T81" s="537" t="s">
        <v>663</v>
      </c>
      <c r="U81" s="537" t="s">
        <v>663</v>
      </c>
      <c r="V81" s="544" t="s">
        <v>663</v>
      </c>
      <c r="W81" s="544" t="s">
        <v>663</v>
      </c>
      <c r="X81" s="544" t="s">
        <v>663</v>
      </c>
      <c r="Y81" s="544" t="s">
        <v>663</v>
      </c>
      <c r="Z81" s="544" t="s">
        <v>663</v>
      </c>
      <c r="AA81" s="544" t="s">
        <v>663</v>
      </c>
      <c r="AB81" s="537" t="str">
        <f t="shared" si="12"/>
        <v>PHY</v>
      </c>
      <c r="AC81" s="537" t="s">
        <v>1192</v>
      </c>
      <c r="AD81" s="545" t="str" cm="1">
        <f t="array" ref="AD81">IF(SUMPRODUCT(ISNUMBER(SEARCH("y",R81:AA81))+0)=0,"",IF(AA81="y","400G",IF(Z81="y","100G",IF(X81="y","40G",IF(V81="y","10G",IF(S81="y","1G",IF(R81="y","100M",""))))))&amp;" "&amp;AB81&amp;" "&amp;AC81)</f>
        <v>1G PHY UPLINK</v>
      </c>
      <c r="AE81" s="546" t="str">
        <f t="shared" si="23"/>
        <v/>
      </c>
      <c r="AF81" s="912" t="str">
        <f t="shared" si="13"/>
        <v>ns</v>
      </c>
      <c r="AG81" s="405" t="str">
        <f t="shared" si="14"/>
        <v>.</v>
      </c>
      <c r="AH81" s="405" t="str">
        <f t="shared" si="22"/>
        <v>.</v>
      </c>
      <c r="AI81" s="405" t="str">
        <f t="shared" si="15"/>
        <v>ns</v>
      </c>
      <c r="AJ81" s="405" t="str">
        <f t="shared" si="16"/>
        <v>ns</v>
      </c>
      <c r="AK81" s="922" t="str">
        <f t="shared" si="17"/>
        <v>ns</v>
      </c>
      <c r="AL81" s="405" t="str">
        <f t="shared" si="17"/>
        <v>ns</v>
      </c>
      <c r="AM81" s="912" t="str">
        <f t="shared" si="18"/>
        <v>ns</v>
      </c>
      <c r="AN81" s="405" t="str">
        <f t="shared" si="19"/>
        <v>ns</v>
      </c>
      <c r="AO81" s="405" t="str">
        <f t="shared" si="20"/>
        <v>ns</v>
      </c>
      <c r="AP81" s="405" t="str">
        <f t="shared" si="21"/>
        <v>ns</v>
      </c>
      <c r="AQ81" s="547"/>
    </row>
    <row r="82" spans="1:43">
      <c r="A82" s="537">
        <v>82</v>
      </c>
      <c r="B82" s="537" t="s">
        <v>940</v>
      </c>
      <c r="C82" s="538">
        <v>538</v>
      </c>
      <c r="D82" s="537" t="s">
        <v>1325</v>
      </c>
      <c r="E82" s="537" t="s">
        <v>1326</v>
      </c>
      <c r="F82" s="537" t="s">
        <v>663</v>
      </c>
      <c r="G82" s="537" t="s">
        <v>661</v>
      </c>
      <c r="H82" s="539" t="s">
        <v>105</v>
      </c>
      <c r="I82" s="540" t="s">
        <v>916</v>
      </c>
      <c r="J82" s="541" t="s">
        <v>730</v>
      </c>
      <c r="K82" s="540" t="s">
        <v>197</v>
      </c>
      <c r="L82" s="550" t="s">
        <v>197</v>
      </c>
      <c r="M82" s="541" t="s">
        <v>197</v>
      </c>
      <c r="N82" s="543" t="s">
        <v>671</v>
      </c>
      <c r="O82" s="544" t="s">
        <v>969</v>
      </c>
      <c r="P82" s="537" t="s">
        <v>827</v>
      </c>
      <c r="Q82" s="544" t="s">
        <v>663</v>
      </c>
      <c r="R82" s="537" t="s">
        <v>662</v>
      </c>
      <c r="S82" s="537" t="s">
        <v>662</v>
      </c>
      <c r="T82" s="537" t="s">
        <v>663</v>
      </c>
      <c r="U82" s="537" t="s">
        <v>663</v>
      </c>
      <c r="V82" s="544" t="s">
        <v>663</v>
      </c>
      <c r="W82" s="544" t="s">
        <v>663</v>
      </c>
      <c r="X82" s="544" t="s">
        <v>663</v>
      </c>
      <c r="Y82" s="544" t="s">
        <v>663</v>
      </c>
      <c r="Z82" s="544" t="s">
        <v>663</v>
      </c>
      <c r="AA82" s="544" t="s">
        <v>663</v>
      </c>
      <c r="AB82" s="537" t="str">
        <f t="shared" si="12"/>
        <v>PHY</v>
      </c>
      <c r="AC82" s="537" t="s">
        <v>1192</v>
      </c>
      <c r="AD82" s="545" t="str" cm="1">
        <f t="array" ref="AD82">IF(SUMPRODUCT(ISNUMBER(SEARCH("y",R82:AA82))+0)=0,"",IF(AA82="y","400G",IF(Z82="y","100G",IF(X82="y","40G",IF(V82="y","10G",IF(S82="y","1G",IF(R82="y","100M",""))))))&amp;" "&amp;AB82&amp;" "&amp;AC82)</f>
        <v>1G PHY UPLINK</v>
      </c>
      <c r="AE82" s="546" t="str">
        <f t="shared" si="23"/>
        <v/>
      </c>
      <c r="AF82" s="912" t="str">
        <f t="shared" si="13"/>
        <v>ns</v>
      </c>
      <c r="AG82" s="405" t="str">
        <f t="shared" si="14"/>
        <v>.</v>
      </c>
      <c r="AH82" s="405" t="str">
        <f t="shared" si="22"/>
        <v>.</v>
      </c>
      <c r="AI82" s="405" t="str">
        <f t="shared" si="15"/>
        <v>ns</v>
      </c>
      <c r="AJ82" s="405" t="str">
        <f t="shared" si="16"/>
        <v>ns</v>
      </c>
      <c r="AK82" s="922" t="str">
        <f t="shared" si="17"/>
        <v>ns</v>
      </c>
      <c r="AL82" s="405" t="str">
        <f t="shared" si="17"/>
        <v>ns</v>
      </c>
      <c r="AM82" s="912" t="str">
        <f t="shared" si="18"/>
        <v>ns</v>
      </c>
      <c r="AN82" s="405" t="str">
        <f t="shared" si="19"/>
        <v>ns</v>
      </c>
      <c r="AO82" s="405" t="str">
        <f t="shared" si="20"/>
        <v>ns</v>
      </c>
      <c r="AP82" s="405" t="str">
        <f t="shared" si="21"/>
        <v>ns</v>
      </c>
      <c r="AQ82" s="547"/>
    </row>
    <row r="83" spans="1:43">
      <c r="A83" s="537">
        <v>83</v>
      </c>
      <c r="B83" s="537" t="s">
        <v>45</v>
      </c>
      <c r="C83" s="538">
        <v>543</v>
      </c>
      <c r="D83" s="537" t="s">
        <v>710</v>
      </c>
      <c r="E83" s="537" t="s">
        <v>1327</v>
      </c>
      <c r="F83" s="537" t="s">
        <v>663</v>
      </c>
      <c r="G83" s="537" t="s">
        <v>661</v>
      </c>
      <c r="H83" s="539" t="s">
        <v>105</v>
      </c>
      <c r="I83" s="540" t="s">
        <v>711</v>
      </c>
      <c r="J83" s="541" t="s">
        <v>712</v>
      </c>
      <c r="K83" s="540" t="s">
        <v>710</v>
      </c>
      <c r="L83" s="460" t="s">
        <v>674</v>
      </c>
      <c r="M83" s="542" t="s">
        <v>714</v>
      </c>
      <c r="N83" s="543" t="s">
        <v>671</v>
      </c>
      <c r="O83" s="544" t="s">
        <v>969</v>
      </c>
      <c r="P83" s="537" t="s">
        <v>827</v>
      </c>
      <c r="Q83" s="544" t="s">
        <v>663</v>
      </c>
      <c r="R83" s="537" t="s">
        <v>662</v>
      </c>
      <c r="S83" s="537" t="s">
        <v>662</v>
      </c>
      <c r="T83" s="537" t="s">
        <v>663</v>
      </c>
      <c r="U83" s="537" t="s">
        <v>663</v>
      </c>
      <c r="V83" s="544" t="s">
        <v>663</v>
      </c>
      <c r="W83" s="544" t="s">
        <v>663</v>
      </c>
      <c r="X83" s="544" t="s">
        <v>663</v>
      </c>
      <c r="Y83" s="544" t="s">
        <v>663</v>
      </c>
      <c r="Z83" s="544" t="s">
        <v>663</v>
      </c>
      <c r="AA83" s="544" t="s">
        <v>663</v>
      </c>
      <c r="AB83" s="537" t="str">
        <f t="shared" si="12"/>
        <v>PHY</v>
      </c>
      <c r="AC83" s="537" t="s">
        <v>1201</v>
      </c>
      <c r="AD83" s="545" t="str" cm="1">
        <f t="array" ref="AD83">IF(SUMPRODUCT(ISNUMBER(SEARCH("y",R83:AA83))+0)=0,"",IF(AA83="y","400G",IF(Z83="y","100G",IF(X83="y","40G",IF(V83="y","10G",IF(S83="y","1G",IF(R83="y","100M",""))))))&amp;" "&amp;AB83&amp;" "&amp;AC83)</f>
        <v>1G PHY BASE</v>
      </c>
      <c r="AE83" s="546" t="str">
        <f t="shared" si="23"/>
        <v>IE210L-10GP 1G PHY BASE</v>
      </c>
      <c r="AF83" s="912" t="str">
        <f t="shared" si="13"/>
        <v>ns</v>
      </c>
      <c r="AG83" s="405" t="str">
        <f t="shared" si="14"/>
        <v>.</v>
      </c>
      <c r="AH83" s="405" t="str">
        <f t="shared" si="22"/>
        <v>.</v>
      </c>
      <c r="AI83" s="405" t="str">
        <f t="shared" si="15"/>
        <v>ns</v>
      </c>
      <c r="AJ83" s="405" t="str">
        <f t="shared" si="16"/>
        <v>ns</v>
      </c>
      <c r="AK83" s="922" t="str">
        <f t="shared" si="17"/>
        <v>ns</v>
      </c>
      <c r="AL83" s="405" t="str">
        <f t="shared" si="17"/>
        <v>ns</v>
      </c>
      <c r="AM83" s="912" t="str">
        <f t="shared" si="18"/>
        <v>ns</v>
      </c>
      <c r="AN83" s="405" t="str">
        <f t="shared" si="19"/>
        <v>ns</v>
      </c>
      <c r="AO83" s="405" t="str">
        <f t="shared" si="20"/>
        <v>ns</v>
      </c>
      <c r="AP83" s="405" t="str">
        <f t="shared" si="21"/>
        <v>ns</v>
      </c>
      <c r="AQ83" s="547"/>
    </row>
    <row r="84" spans="1:43">
      <c r="A84" s="537">
        <v>84</v>
      </c>
      <c r="B84" s="537" t="s">
        <v>45</v>
      </c>
      <c r="C84" s="538">
        <v>544</v>
      </c>
      <c r="D84" s="537" t="s">
        <v>715</v>
      </c>
      <c r="E84" s="537" t="s">
        <v>1328</v>
      </c>
      <c r="F84" s="537" t="s">
        <v>663</v>
      </c>
      <c r="G84" s="537" t="s">
        <v>661</v>
      </c>
      <c r="H84" s="539" t="s">
        <v>105</v>
      </c>
      <c r="I84" s="540" t="s">
        <v>711</v>
      </c>
      <c r="J84" s="541" t="s">
        <v>712</v>
      </c>
      <c r="K84" s="540" t="s">
        <v>197</v>
      </c>
      <c r="L84" s="550" t="s">
        <v>197</v>
      </c>
      <c r="M84" s="541" t="s">
        <v>197</v>
      </c>
      <c r="N84" s="543" t="s">
        <v>671</v>
      </c>
      <c r="O84" s="544" t="s">
        <v>1030</v>
      </c>
      <c r="P84" s="537" t="s">
        <v>827</v>
      </c>
      <c r="Q84" s="544" t="s">
        <v>663</v>
      </c>
      <c r="R84" s="537" t="s">
        <v>662</v>
      </c>
      <c r="S84" s="537" t="s">
        <v>662</v>
      </c>
      <c r="T84" s="537" t="s">
        <v>663</v>
      </c>
      <c r="U84" s="537" t="s">
        <v>663</v>
      </c>
      <c r="V84" s="544" t="s">
        <v>663</v>
      </c>
      <c r="W84" s="544" t="s">
        <v>663</v>
      </c>
      <c r="X84" s="544" t="s">
        <v>663</v>
      </c>
      <c r="Y84" s="544" t="s">
        <v>663</v>
      </c>
      <c r="Z84" s="544" t="s">
        <v>663</v>
      </c>
      <c r="AA84" s="544" t="s">
        <v>663</v>
      </c>
      <c r="AB84" s="537" t="str">
        <f t="shared" si="12"/>
        <v>PHY</v>
      </c>
      <c r="AC84" s="537" t="s">
        <v>1201</v>
      </c>
      <c r="AD84" s="545" t="str" cm="1">
        <f t="array" ref="AD84">IF(SUMPRODUCT(ISNUMBER(SEARCH("y",R84:AA84))+0)=0,"",IF(AA84="y","400G",IF(Z84="y","100G",IF(X84="y","40G",IF(V84="y","10G",IF(S84="y","1G",IF(R84="y","100M",""))))))&amp;" "&amp;AB84&amp;" "&amp;AC84)</f>
        <v>1G PHY BASE</v>
      </c>
      <c r="AE84" s="546" t="str">
        <f t="shared" si="23"/>
        <v/>
      </c>
      <c r="AF84" s="912" t="str">
        <f t="shared" si="13"/>
        <v>ns</v>
      </c>
      <c r="AG84" s="405" t="str">
        <f t="shared" si="14"/>
        <v>.</v>
      </c>
      <c r="AH84" s="405" t="str">
        <f t="shared" si="22"/>
        <v>.</v>
      </c>
      <c r="AI84" s="405" t="str">
        <f t="shared" si="15"/>
        <v>ns</v>
      </c>
      <c r="AJ84" s="405" t="str">
        <f t="shared" si="16"/>
        <v>ns</v>
      </c>
      <c r="AK84" s="922" t="str">
        <f t="shared" si="17"/>
        <v>ns</v>
      </c>
      <c r="AL84" s="405" t="str">
        <f t="shared" si="17"/>
        <v>ns</v>
      </c>
      <c r="AM84" s="912" t="str">
        <f t="shared" si="18"/>
        <v>ns</v>
      </c>
      <c r="AN84" s="405" t="str">
        <f t="shared" si="19"/>
        <v>ns</v>
      </c>
      <c r="AO84" s="405" t="str">
        <f t="shared" si="20"/>
        <v>ns</v>
      </c>
      <c r="AP84" s="405" t="str">
        <f t="shared" si="21"/>
        <v>ns</v>
      </c>
      <c r="AQ84" s="547"/>
    </row>
    <row r="85" spans="1:43">
      <c r="A85" s="537">
        <v>85</v>
      </c>
      <c r="B85" s="537" t="s">
        <v>46</v>
      </c>
      <c r="C85" s="538">
        <v>539</v>
      </c>
      <c r="D85" s="537" t="s">
        <v>736</v>
      </c>
      <c r="E85" s="537" t="s">
        <v>1329</v>
      </c>
      <c r="F85" s="537" t="s">
        <v>663</v>
      </c>
      <c r="G85" s="537" t="s">
        <v>661</v>
      </c>
      <c r="H85" s="539" t="s">
        <v>105</v>
      </c>
      <c r="I85" s="540" t="s">
        <v>729</v>
      </c>
      <c r="J85" s="541" t="s">
        <v>730</v>
      </c>
      <c r="K85" s="540" t="s">
        <v>197</v>
      </c>
      <c r="L85" s="550" t="s">
        <v>197</v>
      </c>
      <c r="M85" s="541" t="s">
        <v>197</v>
      </c>
      <c r="N85" s="543" t="s">
        <v>671</v>
      </c>
      <c r="O85" s="544" t="s">
        <v>732</v>
      </c>
      <c r="P85" s="537" t="s">
        <v>827</v>
      </c>
      <c r="Q85" s="544" t="s">
        <v>663</v>
      </c>
      <c r="R85" s="544" t="s">
        <v>663</v>
      </c>
      <c r="S85" s="537" t="s">
        <v>662</v>
      </c>
      <c r="T85" s="537" t="s">
        <v>663</v>
      </c>
      <c r="U85" s="537" t="s">
        <v>663</v>
      </c>
      <c r="V85" s="544" t="s">
        <v>663</v>
      </c>
      <c r="W85" s="544" t="s">
        <v>663</v>
      </c>
      <c r="X85" s="544" t="s">
        <v>663</v>
      </c>
      <c r="Y85" s="544" t="s">
        <v>663</v>
      </c>
      <c r="Z85" s="544" t="s">
        <v>663</v>
      </c>
      <c r="AA85" s="544" t="s">
        <v>663</v>
      </c>
      <c r="AB85" s="537" t="str">
        <f t="shared" si="12"/>
        <v>PHY</v>
      </c>
      <c r="AC85" s="537" t="s">
        <v>1192</v>
      </c>
      <c r="AD85" s="545" t="str" cm="1">
        <f t="array" ref="AD85">IF(SUMPRODUCT(ISNUMBER(SEARCH("y",R85:AA85))+0)=0,"",IF(AA85="y","400G",IF(Z85="y","100G",IF(X85="y","40G",IF(V85="y","10G",IF(S85="y","1G",IF(R85="y","100M",""))))))&amp;" "&amp;AB85&amp;" "&amp;AC85)</f>
        <v>1G PHY UPLINK</v>
      </c>
      <c r="AE85" s="546" t="str">
        <f t="shared" si="23"/>
        <v/>
      </c>
      <c r="AF85" s="912" t="str">
        <f t="shared" si="13"/>
        <v>ns</v>
      </c>
      <c r="AG85" s="405" t="str">
        <f t="shared" si="14"/>
        <v>ns</v>
      </c>
      <c r="AH85" s="405" t="str">
        <f t="shared" si="22"/>
        <v>.</v>
      </c>
      <c r="AI85" s="405" t="str">
        <f t="shared" si="15"/>
        <v>ns</v>
      </c>
      <c r="AJ85" s="405" t="str">
        <f t="shared" si="16"/>
        <v>ns</v>
      </c>
      <c r="AK85" s="922" t="str">
        <f t="shared" si="17"/>
        <v>ns</v>
      </c>
      <c r="AL85" s="405" t="str">
        <f t="shared" si="17"/>
        <v>ns</v>
      </c>
      <c r="AM85" s="912" t="str">
        <f t="shared" si="18"/>
        <v>ns</v>
      </c>
      <c r="AN85" s="405" t="str">
        <f t="shared" si="19"/>
        <v>ns</v>
      </c>
      <c r="AO85" s="405" t="str">
        <f>IF(Z85="n","ns",".")</f>
        <v>ns</v>
      </c>
      <c r="AP85" s="405" t="str">
        <f t="shared" si="21"/>
        <v>ns</v>
      </c>
      <c r="AQ85" s="547"/>
    </row>
    <row r="86" spans="1:43">
      <c r="A86" s="537">
        <v>86</v>
      </c>
      <c r="B86" s="537" t="s">
        <v>46</v>
      </c>
      <c r="C86" s="538">
        <v>540</v>
      </c>
      <c r="D86" s="537" t="s">
        <v>742</v>
      </c>
      <c r="E86" s="537" t="s">
        <v>1330</v>
      </c>
      <c r="F86" s="537" t="s">
        <v>663</v>
      </c>
      <c r="G86" s="537" t="s">
        <v>661</v>
      </c>
      <c r="H86" s="539" t="s">
        <v>105</v>
      </c>
      <c r="I86" s="540" t="s">
        <v>729</v>
      </c>
      <c r="J86" s="541" t="s">
        <v>730</v>
      </c>
      <c r="K86" s="540" t="s">
        <v>197</v>
      </c>
      <c r="L86" s="550" t="s">
        <v>197</v>
      </c>
      <c r="M86" s="541" t="s">
        <v>197</v>
      </c>
      <c r="N86" s="543" t="s">
        <v>671</v>
      </c>
      <c r="O86" s="544" t="s">
        <v>743</v>
      </c>
      <c r="P86" s="537" t="s">
        <v>827</v>
      </c>
      <c r="Q86" s="544" t="s">
        <v>663</v>
      </c>
      <c r="R86" s="544" t="s">
        <v>663</v>
      </c>
      <c r="S86" s="537" t="s">
        <v>662</v>
      </c>
      <c r="T86" s="537" t="s">
        <v>663</v>
      </c>
      <c r="U86" s="537" t="s">
        <v>663</v>
      </c>
      <c r="V86" s="544" t="s">
        <v>663</v>
      </c>
      <c r="W86" s="544" t="s">
        <v>663</v>
      </c>
      <c r="X86" s="544" t="s">
        <v>663</v>
      </c>
      <c r="Y86" s="544" t="s">
        <v>663</v>
      </c>
      <c r="Z86" s="544" t="s">
        <v>663</v>
      </c>
      <c r="AA86" s="544" t="s">
        <v>663</v>
      </c>
      <c r="AB86" s="537" t="str">
        <f t="shared" si="12"/>
        <v>PHY</v>
      </c>
      <c r="AC86" s="537" t="s">
        <v>1192</v>
      </c>
      <c r="AD86" s="545" t="str" cm="1">
        <f t="array" ref="AD86">IF(SUMPRODUCT(ISNUMBER(SEARCH("y",R86:AA86))+0)=0,"",IF(AA86="y","400G",IF(Z86="y","100G",IF(X86="y","40G",IF(V86="y","10G",IF(S86="y","1G",IF(R86="y","100M",""))))))&amp;" "&amp;AB86&amp;" "&amp;AC86)</f>
        <v>1G PHY UPLINK</v>
      </c>
      <c r="AE86" s="546" t="str">
        <f t="shared" si="23"/>
        <v/>
      </c>
      <c r="AF86" s="912" t="str">
        <f t="shared" si="13"/>
        <v>ns</v>
      </c>
      <c r="AG86" s="405" t="str">
        <f t="shared" si="14"/>
        <v>ns</v>
      </c>
      <c r="AH86" s="405" t="str">
        <f t="shared" si="22"/>
        <v>.</v>
      </c>
      <c r="AI86" s="405" t="str">
        <f t="shared" si="15"/>
        <v>ns</v>
      </c>
      <c r="AJ86" s="405" t="str">
        <f t="shared" si="16"/>
        <v>ns</v>
      </c>
      <c r="AK86" s="922" t="str">
        <f t="shared" si="17"/>
        <v>ns</v>
      </c>
      <c r="AL86" s="405" t="str">
        <f t="shared" si="17"/>
        <v>ns</v>
      </c>
      <c r="AM86" s="912" t="str">
        <f t="shared" si="18"/>
        <v>ns</v>
      </c>
      <c r="AN86" s="405" t="str">
        <f t="shared" si="19"/>
        <v>ns</v>
      </c>
      <c r="AO86" s="405" t="str">
        <f t="shared" si="20"/>
        <v>ns</v>
      </c>
      <c r="AP86" s="405" t="str">
        <f t="shared" si="21"/>
        <v>ns</v>
      </c>
      <c r="AQ86" s="547"/>
    </row>
    <row r="87" spans="1:43">
      <c r="A87" s="537">
        <v>87</v>
      </c>
      <c r="B87" s="537" t="s">
        <v>46</v>
      </c>
      <c r="C87" s="538">
        <v>541</v>
      </c>
      <c r="D87" s="537" t="s">
        <v>737</v>
      </c>
      <c r="E87" s="537" t="s">
        <v>1331</v>
      </c>
      <c r="F87" s="537" t="s">
        <v>663</v>
      </c>
      <c r="G87" s="537" t="s">
        <v>661</v>
      </c>
      <c r="H87" s="539" t="s">
        <v>105</v>
      </c>
      <c r="I87" s="540" t="s">
        <v>729</v>
      </c>
      <c r="J87" s="541" t="s">
        <v>730</v>
      </c>
      <c r="K87" s="540" t="s">
        <v>197</v>
      </c>
      <c r="L87" s="550" t="s">
        <v>197</v>
      </c>
      <c r="M87" s="541" t="s">
        <v>197</v>
      </c>
      <c r="N87" s="543" t="s">
        <v>671</v>
      </c>
      <c r="O87" s="544" t="s">
        <v>732</v>
      </c>
      <c r="P87" s="537" t="s">
        <v>827</v>
      </c>
      <c r="Q87" s="544" t="s">
        <v>663</v>
      </c>
      <c r="R87" s="544" t="s">
        <v>663</v>
      </c>
      <c r="S87" s="537" t="s">
        <v>662</v>
      </c>
      <c r="T87" s="537" t="s">
        <v>663</v>
      </c>
      <c r="U87" s="537" t="s">
        <v>663</v>
      </c>
      <c r="V87" s="544" t="s">
        <v>663</v>
      </c>
      <c r="W87" s="544" t="s">
        <v>663</v>
      </c>
      <c r="X87" s="544" t="s">
        <v>663</v>
      </c>
      <c r="Y87" s="544" t="s">
        <v>663</v>
      </c>
      <c r="Z87" s="544" t="s">
        <v>663</v>
      </c>
      <c r="AA87" s="544" t="s">
        <v>663</v>
      </c>
      <c r="AB87" s="537" t="str">
        <f t="shared" si="12"/>
        <v>PHY</v>
      </c>
      <c r="AC87" s="537" t="s">
        <v>1192</v>
      </c>
      <c r="AD87" s="545" t="str" cm="1">
        <f t="array" ref="AD87">IF(SUMPRODUCT(ISNUMBER(SEARCH("y",R87:AA87))+0)=0,"",IF(AA87="y","400G",IF(Z87="y","100G",IF(X87="y","40G",IF(V87="y","10G",IF(S87="y","1G",IF(R87="y","100M",""))))))&amp;" "&amp;AB87&amp;" "&amp;AC87)</f>
        <v>1G PHY UPLINK</v>
      </c>
      <c r="AE87" s="546" t="str">
        <f t="shared" si="23"/>
        <v/>
      </c>
      <c r="AF87" s="912" t="str">
        <f t="shared" si="13"/>
        <v>ns</v>
      </c>
      <c r="AG87" s="405" t="str">
        <f t="shared" si="14"/>
        <v>ns</v>
      </c>
      <c r="AH87" s="405" t="str">
        <f t="shared" si="22"/>
        <v>.</v>
      </c>
      <c r="AI87" s="405" t="str">
        <f t="shared" si="15"/>
        <v>ns</v>
      </c>
      <c r="AJ87" s="405" t="str">
        <f t="shared" si="16"/>
        <v>ns</v>
      </c>
      <c r="AK87" s="922" t="str">
        <f t="shared" si="17"/>
        <v>ns</v>
      </c>
      <c r="AL87" s="405" t="str">
        <f t="shared" si="17"/>
        <v>ns</v>
      </c>
      <c r="AM87" s="912" t="str">
        <f t="shared" si="18"/>
        <v>ns</v>
      </c>
      <c r="AN87" s="405" t="str">
        <f t="shared" si="19"/>
        <v>ns</v>
      </c>
      <c r="AO87" s="405" t="str">
        <f>IF(Z87="n","ns",".")</f>
        <v>ns</v>
      </c>
      <c r="AP87" s="405" t="str">
        <f t="shared" si="21"/>
        <v>ns</v>
      </c>
      <c r="AQ87" s="547"/>
    </row>
    <row r="88" spans="1:43">
      <c r="A88" s="537">
        <v>88</v>
      </c>
      <c r="B88" s="537" t="s">
        <v>46</v>
      </c>
      <c r="C88" s="538">
        <v>542</v>
      </c>
      <c r="D88" s="537" t="s">
        <v>728</v>
      </c>
      <c r="E88" s="537" t="s">
        <v>1332</v>
      </c>
      <c r="F88" s="537" t="s">
        <v>663</v>
      </c>
      <c r="G88" s="537" t="s">
        <v>661</v>
      </c>
      <c r="H88" s="539" t="s">
        <v>105</v>
      </c>
      <c r="I88" s="540" t="s">
        <v>729</v>
      </c>
      <c r="J88" s="541" t="s">
        <v>730</v>
      </c>
      <c r="K88" s="540" t="s">
        <v>728</v>
      </c>
      <c r="L88" s="550" t="s">
        <v>734</v>
      </c>
      <c r="M88" s="541" t="s">
        <v>735</v>
      </c>
      <c r="N88" s="543" t="s">
        <v>671</v>
      </c>
      <c r="O88" s="544" t="s">
        <v>732</v>
      </c>
      <c r="P88" s="537" t="s">
        <v>827</v>
      </c>
      <c r="Q88" s="544" t="s">
        <v>663</v>
      </c>
      <c r="R88" s="537" t="s">
        <v>662</v>
      </c>
      <c r="S88" s="537" t="s">
        <v>662</v>
      </c>
      <c r="T88" s="537" t="s">
        <v>663</v>
      </c>
      <c r="U88" s="537" t="s">
        <v>663</v>
      </c>
      <c r="V88" s="544" t="s">
        <v>663</v>
      </c>
      <c r="W88" s="544" t="s">
        <v>663</v>
      </c>
      <c r="X88" s="544" t="s">
        <v>663</v>
      </c>
      <c r="Y88" s="544" t="s">
        <v>663</v>
      </c>
      <c r="Z88" s="544" t="s">
        <v>663</v>
      </c>
      <c r="AA88" s="544" t="s">
        <v>663</v>
      </c>
      <c r="AB88" s="537" t="str">
        <f t="shared" si="12"/>
        <v>PHY</v>
      </c>
      <c r="AC88" s="537" t="s">
        <v>1192</v>
      </c>
      <c r="AD88" s="545" t="str" cm="1">
        <f t="array" ref="AD88">IF(SUMPRODUCT(ISNUMBER(SEARCH("y",R88:AA88))+0)=0,"",IF(AA88="y","400G",IF(Z88="y","100G",IF(X88="y","40G",IF(V88="y","10G",IF(S88="y","1G",IF(R88="y","100M",""))))))&amp;" "&amp;AB88&amp;" "&amp;AC88)</f>
        <v>1G PHY UPLINK</v>
      </c>
      <c r="AE88" s="546" t="str">
        <f t="shared" si="23"/>
        <v>IE340-20GP 1G PHY UPLINK</v>
      </c>
      <c r="AF88" s="912" t="str">
        <f t="shared" si="13"/>
        <v>ns</v>
      </c>
      <c r="AG88" s="405" t="str">
        <f t="shared" si="14"/>
        <v>.</v>
      </c>
      <c r="AH88" s="405" t="str">
        <f t="shared" si="22"/>
        <v>.</v>
      </c>
      <c r="AI88" s="405" t="str">
        <f t="shared" si="15"/>
        <v>ns</v>
      </c>
      <c r="AJ88" s="405" t="str">
        <f t="shared" si="16"/>
        <v>ns</v>
      </c>
      <c r="AK88" s="922" t="str">
        <f t="shared" si="17"/>
        <v>ns</v>
      </c>
      <c r="AL88" s="405" t="str">
        <f t="shared" si="17"/>
        <v>ns</v>
      </c>
      <c r="AM88" s="912" t="str">
        <f t="shared" si="18"/>
        <v>ns</v>
      </c>
      <c r="AN88" s="405" t="str">
        <f t="shared" si="19"/>
        <v>ns</v>
      </c>
      <c r="AO88" s="405" t="str">
        <f t="shared" si="20"/>
        <v>ns</v>
      </c>
      <c r="AP88" s="405" t="str">
        <f t="shared" si="21"/>
        <v>ns</v>
      </c>
      <c r="AQ88" s="547"/>
    </row>
    <row r="89" spans="1:43">
      <c r="A89" s="537">
        <v>89</v>
      </c>
      <c r="B89" s="537" t="s">
        <v>932</v>
      </c>
      <c r="C89" s="538">
        <v>462</v>
      </c>
      <c r="D89" s="537" t="s">
        <v>1333</v>
      </c>
      <c r="E89" s="537" t="s">
        <v>1334</v>
      </c>
      <c r="F89" s="537" t="s">
        <v>662</v>
      </c>
      <c r="G89" s="537" t="s">
        <v>661</v>
      </c>
      <c r="H89" s="539" t="s">
        <v>105</v>
      </c>
      <c r="I89" s="540" t="s">
        <v>921</v>
      </c>
      <c r="J89" s="541" t="s">
        <v>712</v>
      </c>
      <c r="K89" s="540" t="s">
        <v>197</v>
      </c>
      <c r="L89" s="550" t="s">
        <v>197</v>
      </c>
      <c r="M89" s="541" t="s">
        <v>197</v>
      </c>
      <c r="N89" s="543" t="s">
        <v>671</v>
      </c>
      <c r="O89" s="544" t="s">
        <v>969</v>
      </c>
      <c r="P89" s="537" t="s">
        <v>827</v>
      </c>
      <c r="Q89" s="544" t="s">
        <v>663</v>
      </c>
      <c r="R89" s="537" t="s">
        <v>662</v>
      </c>
      <c r="S89" s="537" t="s">
        <v>662</v>
      </c>
      <c r="T89" s="537" t="s">
        <v>663</v>
      </c>
      <c r="U89" s="537" t="s">
        <v>663</v>
      </c>
      <c r="V89" s="544" t="s">
        <v>663</v>
      </c>
      <c r="W89" s="544" t="s">
        <v>663</v>
      </c>
      <c r="X89" s="544" t="s">
        <v>663</v>
      </c>
      <c r="Y89" s="544" t="s">
        <v>663</v>
      </c>
      <c r="Z89" s="544" t="s">
        <v>663</v>
      </c>
      <c r="AA89" s="544" t="s">
        <v>663</v>
      </c>
      <c r="AB89" s="537" t="str">
        <f t="shared" si="12"/>
        <v>PHY</v>
      </c>
      <c r="AC89" s="537" t="s">
        <v>1192</v>
      </c>
      <c r="AD89" s="545" t="str" cm="1">
        <f t="array" ref="AD89">IF(SUMPRODUCT(ISNUMBER(SEARCH("y",R89:AA89))+0)=0,"",IF(AA89="y","400G",IF(Z89="y","100G",IF(X89="y","40G",IF(V89="y","10G",IF(S89="y","1G",IF(R89="y","100M",""))))))&amp;" "&amp;AB89&amp;" "&amp;AC89)</f>
        <v>1G PHY UPLINK</v>
      </c>
      <c r="AE89" s="546" t="str">
        <f t="shared" si="23"/>
        <v/>
      </c>
      <c r="AF89" s="912" t="str">
        <f t="shared" si="13"/>
        <v>ns</v>
      </c>
      <c r="AG89" s="405" t="str">
        <f t="shared" si="14"/>
        <v>.</v>
      </c>
      <c r="AH89" s="405" t="str">
        <f t="shared" si="22"/>
        <v>.</v>
      </c>
      <c r="AI89" s="405" t="str">
        <f t="shared" si="15"/>
        <v>ns</v>
      </c>
      <c r="AJ89" s="405" t="str">
        <f t="shared" si="16"/>
        <v>ns</v>
      </c>
      <c r="AK89" s="922" t="str">
        <f t="shared" si="17"/>
        <v>ns</v>
      </c>
      <c r="AL89" s="405" t="str">
        <f t="shared" si="17"/>
        <v>ns</v>
      </c>
      <c r="AM89" s="912" t="str">
        <f t="shared" si="18"/>
        <v>ns</v>
      </c>
      <c r="AN89" s="405" t="str">
        <f t="shared" si="19"/>
        <v>ns</v>
      </c>
      <c r="AO89" s="405" t="str">
        <f t="shared" si="20"/>
        <v>ns</v>
      </c>
      <c r="AP89" s="405" t="str">
        <f t="shared" si="21"/>
        <v>ns</v>
      </c>
      <c r="AQ89" s="547"/>
    </row>
    <row r="90" spans="1:43">
      <c r="A90" s="537">
        <v>90</v>
      </c>
      <c r="B90" s="537" t="s">
        <v>932</v>
      </c>
      <c r="C90" s="538">
        <v>463</v>
      </c>
      <c r="D90" s="537" t="s">
        <v>1335</v>
      </c>
      <c r="E90" s="537" t="s">
        <v>1336</v>
      </c>
      <c r="F90" s="537" t="s">
        <v>662</v>
      </c>
      <c r="G90" s="537" t="s">
        <v>661</v>
      </c>
      <c r="H90" s="539" t="s">
        <v>105</v>
      </c>
      <c r="I90" s="540" t="s">
        <v>921</v>
      </c>
      <c r="J90" s="541" t="s">
        <v>712</v>
      </c>
      <c r="K90" s="540" t="s">
        <v>197</v>
      </c>
      <c r="L90" s="550" t="s">
        <v>197</v>
      </c>
      <c r="M90" s="541" t="s">
        <v>197</v>
      </c>
      <c r="N90" s="543" t="s">
        <v>671</v>
      </c>
      <c r="O90" s="544" t="s">
        <v>1030</v>
      </c>
      <c r="P90" s="537" t="s">
        <v>827</v>
      </c>
      <c r="Q90" s="544" t="s">
        <v>663</v>
      </c>
      <c r="R90" s="537" t="s">
        <v>662</v>
      </c>
      <c r="S90" s="537" t="s">
        <v>662</v>
      </c>
      <c r="T90" s="537" t="s">
        <v>663</v>
      </c>
      <c r="U90" s="537" t="s">
        <v>663</v>
      </c>
      <c r="V90" s="544" t="s">
        <v>663</v>
      </c>
      <c r="W90" s="544" t="s">
        <v>663</v>
      </c>
      <c r="X90" s="544" t="s">
        <v>663</v>
      </c>
      <c r="Y90" s="544" t="s">
        <v>663</v>
      </c>
      <c r="Z90" s="544" t="s">
        <v>663</v>
      </c>
      <c r="AA90" s="544" t="s">
        <v>663</v>
      </c>
      <c r="AB90" s="537" t="str">
        <f t="shared" si="12"/>
        <v>PHY</v>
      </c>
      <c r="AC90" s="537" t="s">
        <v>1192</v>
      </c>
      <c r="AD90" s="545" t="str" cm="1">
        <f t="array" ref="AD90">IF(SUMPRODUCT(ISNUMBER(SEARCH("y",R90:AA90))+0)=0,"",IF(AA90="y","400G",IF(Z90="y","100G",IF(X90="y","40G",IF(V90="y","10G",IF(S90="y","1G",IF(R90="y","100M",""))))))&amp;" "&amp;AB90&amp;" "&amp;AC90)</f>
        <v>1G PHY UPLINK</v>
      </c>
      <c r="AE90" s="546" t="str">
        <f t="shared" si="23"/>
        <v/>
      </c>
      <c r="AF90" s="912" t="str">
        <f t="shared" si="13"/>
        <v>ns</v>
      </c>
      <c r="AG90" s="405" t="str">
        <f t="shared" si="14"/>
        <v>.</v>
      </c>
      <c r="AH90" s="405" t="str">
        <f t="shared" si="22"/>
        <v>.</v>
      </c>
      <c r="AI90" s="405" t="str">
        <f t="shared" si="15"/>
        <v>ns</v>
      </c>
      <c r="AJ90" s="405" t="str">
        <f t="shared" si="16"/>
        <v>ns</v>
      </c>
      <c r="AK90" s="922" t="str">
        <f t="shared" si="17"/>
        <v>ns</v>
      </c>
      <c r="AL90" s="405" t="str">
        <f t="shared" si="17"/>
        <v>ns</v>
      </c>
      <c r="AM90" s="912" t="str">
        <f t="shared" si="18"/>
        <v>ns</v>
      </c>
      <c r="AN90" s="405" t="str">
        <f t="shared" si="19"/>
        <v>ns</v>
      </c>
      <c r="AO90" s="405" t="str">
        <f t="shared" si="20"/>
        <v>ns</v>
      </c>
      <c r="AP90" s="405" t="str">
        <f t="shared" si="21"/>
        <v>ns</v>
      </c>
      <c r="AQ90" s="547"/>
    </row>
    <row r="91" spans="1:43">
      <c r="A91" s="537">
        <v>91</v>
      </c>
      <c r="B91" s="537" t="s">
        <v>932</v>
      </c>
      <c r="C91" s="538">
        <v>464</v>
      </c>
      <c r="D91" s="537" t="s">
        <v>1337</v>
      </c>
      <c r="E91" s="537" t="s">
        <v>1338</v>
      </c>
      <c r="F91" s="537" t="s">
        <v>662</v>
      </c>
      <c r="G91" s="537" t="s">
        <v>661</v>
      </c>
      <c r="H91" s="539" t="s">
        <v>105</v>
      </c>
      <c r="I91" s="540" t="s">
        <v>929</v>
      </c>
      <c r="J91" s="541" t="s">
        <v>712</v>
      </c>
      <c r="K91" s="540" t="s">
        <v>197</v>
      </c>
      <c r="L91" s="550" t="s">
        <v>197</v>
      </c>
      <c r="M91" s="541" t="s">
        <v>197</v>
      </c>
      <c r="N91" s="543" t="s">
        <v>671</v>
      </c>
      <c r="O91" s="544" t="s">
        <v>889</v>
      </c>
      <c r="P91" s="537" t="s">
        <v>827</v>
      </c>
      <c r="Q91" s="544" t="s">
        <v>663</v>
      </c>
      <c r="R91" s="537" t="s">
        <v>662</v>
      </c>
      <c r="S91" s="537" t="s">
        <v>662</v>
      </c>
      <c r="T91" s="537" t="s">
        <v>663</v>
      </c>
      <c r="U91" s="537" t="s">
        <v>663</v>
      </c>
      <c r="V91" s="544" t="s">
        <v>663</v>
      </c>
      <c r="W91" s="544" t="s">
        <v>663</v>
      </c>
      <c r="X91" s="544" t="s">
        <v>663</v>
      </c>
      <c r="Y91" s="544" t="s">
        <v>663</v>
      </c>
      <c r="Z91" s="544" t="s">
        <v>663</v>
      </c>
      <c r="AA91" s="544" t="s">
        <v>663</v>
      </c>
      <c r="AB91" s="537" t="str">
        <f t="shared" si="12"/>
        <v>PHY</v>
      </c>
      <c r="AC91" s="537" t="s">
        <v>1192</v>
      </c>
      <c r="AD91" s="545" t="str" cm="1">
        <f t="array" ref="AD91">IF(SUMPRODUCT(ISNUMBER(SEARCH("y",R91:AA91))+0)=0,"",IF(AA91="y","400G",IF(Z91="y","100G",IF(X91="y","40G",IF(V91="y","10G",IF(S91="y","1G",IF(R91="y","100M",""))))))&amp;" "&amp;AB91&amp;" "&amp;AC91)</f>
        <v>1G PHY UPLINK</v>
      </c>
      <c r="AE91" s="546" t="str">
        <f t="shared" si="23"/>
        <v/>
      </c>
      <c r="AF91" s="912" t="str">
        <f t="shared" si="13"/>
        <v>ns</v>
      </c>
      <c r="AG91" s="405" t="str">
        <f t="shared" si="14"/>
        <v>.</v>
      </c>
      <c r="AH91" s="405" t="str">
        <f t="shared" si="22"/>
        <v>.</v>
      </c>
      <c r="AI91" s="405" t="str">
        <f t="shared" si="15"/>
        <v>ns</v>
      </c>
      <c r="AJ91" s="405" t="str">
        <f t="shared" si="16"/>
        <v>ns</v>
      </c>
      <c r="AK91" s="922" t="str">
        <f t="shared" si="17"/>
        <v>ns</v>
      </c>
      <c r="AL91" s="405" t="str">
        <f t="shared" si="17"/>
        <v>ns</v>
      </c>
      <c r="AM91" s="912" t="str">
        <f t="shared" si="18"/>
        <v>ns</v>
      </c>
      <c r="AN91" s="405" t="str">
        <f t="shared" si="19"/>
        <v>ns</v>
      </c>
      <c r="AO91" s="405" t="str">
        <f t="shared" si="20"/>
        <v>ns</v>
      </c>
      <c r="AP91" s="405" t="str">
        <f t="shared" si="21"/>
        <v>ns</v>
      </c>
      <c r="AQ91" s="547"/>
    </row>
    <row r="92" spans="1:43">
      <c r="A92" s="537">
        <v>92</v>
      </c>
      <c r="B92" s="537" t="s">
        <v>932</v>
      </c>
      <c r="C92" s="538">
        <v>472</v>
      </c>
      <c r="D92" s="537" t="s">
        <v>1339</v>
      </c>
      <c r="E92" s="537" t="s">
        <v>1340</v>
      </c>
      <c r="F92" s="537" t="s">
        <v>662</v>
      </c>
      <c r="G92" s="537" t="s">
        <v>661</v>
      </c>
      <c r="H92" s="539" t="s">
        <v>105</v>
      </c>
      <c r="I92" s="540" t="s">
        <v>916</v>
      </c>
      <c r="J92" s="541" t="s">
        <v>730</v>
      </c>
      <c r="K92" s="540" t="s">
        <v>197</v>
      </c>
      <c r="L92" s="550" t="s">
        <v>197</v>
      </c>
      <c r="M92" s="541" t="s">
        <v>197</v>
      </c>
      <c r="N92" s="543" t="s">
        <v>671</v>
      </c>
      <c r="O92" s="544" t="s">
        <v>969</v>
      </c>
      <c r="P92" s="537" t="s">
        <v>827</v>
      </c>
      <c r="Q92" s="544" t="s">
        <v>663</v>
      </c>
      <c r="R92" s="537" t="s">
        <v>662</v>
      </c>
      <c r="S92" s="537" t="s">
        <v>662</v>
      </c>
      <c r="T92" s="537" t="s">
        <v>663</v>
      </c>
      <c r="U92" s="537" t="s">
        <v>663</v>
      </c>
      <c r="V92" s="544" t="s">
        <v>663</v>
      </c>
      <c r="W92" s="544" t="s">
        <v>663</v>
      </c>
      <c r="X92" s="544" t="s">
        <v>663</v>
      </c>
      <c r="Y92" s="544" t="s">
        <v>663</v>
      </c>
      <c r="Z92" s="544" t="s">
        <v>663</v>
      </c>
      <c r="AA92" s="544" t="s">
        <v>663</v>
      </c>
      <c r="AB92" s="537" t="str">
        <f t="shared" ref="AB92:AB155" si="24">IF(O92="N/A","",IF(J92="DC","DC","PHY"))</f>
        <v>PHY</v>
      </c>
      <c r="AC92" s="537" t="s">
        <v>1192</v>
      </c>
      <c r="AD92" s="545" t="str" cm="1">
        <f t="array" ref="AD92">IF(SUMPRODUCT(ISNUMBER(SEARCH("y",R92:AA92))+0)=0,"",IF(AA92="y","400G",IF(Z92="y","100G",IF(X92="y","40G",IF(V92="y","10G",IF(S92="y","1G",IF(R92="y","100M",""))))))&amp;" "&amp;AB92&amp;" "&amp;AC92)</f>
        <v>1G PHY UPLINK</v>
      </c>
      <c r="AE92" s="546" t="str">
        <f t="shared" si="23"/>
        <v/>
      </c>
      <c r="AF92" s="912" t="str">
        <f t="shared" si="13"/>
        <v>ns</v>
      </c>
      <c r="AG92" s="405" t="str">
        <f t="shared" si="14"/>
        <v>.</v>
      </c>
      <c r="AH92" s="405" t="str">
        <f t="shared" si="22"/>
        <v>.</v>
      </c>
      <c r="AI92" s="405" t="str">
        <f t="shared" si="15"/>
        <v>ns</v>
      </c>
      <c r="AJ92" s="405" t="str">
        <f t="shared" si="16"/>
        <v>ns</v>
      </c>
      <c r="AK92" s="922" t="str">
        <f t="shared" si="17"/>
        <v>ns</v>
      </c>
      <c r="AL92" s="405" t="str">
        <f t="shared" si="17"/>
        <v>ns</v>
      </c>
      <c r="AM92" s="912" t="str">
        <f t="shared" si="18"/>
        <v>ns</v>
      </c>
      <c r="AN92" s="405" t="str">
        <f t="shared" si="19"/>
        <v>ns</v>
      </c>
      <c r="AO92" s="405" t="str">
        <f t="shared" si="20"/>
        <v>ns</v>
      </c>
      <c r="AP92" s="405" t="str">
        <f t="shared" si="21"/>
        <v>ns</v>
      </c>
      <c r="AQ92" s="547"/>
    </row>
    <row r="93" spans="1:43">
      <c r="A93" s="537">
        <v>93</v>
      </c>
      <c r="B93" s="537" t="s">
        <v>932</v>
      </c>
      <c r="C93" s="538">
        <v>473</v>
      </c>
      <c r="D93" s="537" t="s">
        <v>1341</v>
      </c>
      <c r="E93" s="537" t="s">
        <v>1342</v>
      </c>
      <c r="F93" s="537" t="s">
        <v>662</v>
      </c>
      <c r="G93" s="537" t="s">
        <v>661</v>
      </c>
      <c r="H93" s="539" t="s">
        <v>105</v>
      </c>
      <c r="I93" s="540" t="s">
        <v>916</v>
      </c>
      <c r="J93" s="541" t="s">
        <v>712</v>
      </c>
      <c r="K93" s="540" t="s">
        <v>197</v>
      </c>
      <c r="L93" s="550" t="s">
        <v>197</v>
      </c>
      <c r="M93" s="541" t="s">
        <v>197</v>
      </c>
      <c r="N93" s="543" t="s">
        <v>671</v>
      </c>
      <c r="O93" s="544" t="s">
        <v>1030</v>
      </c>
      <c r="P93" s="537" t="s">
        <v>827</v>
      </c>
      <c r="Q93" s="544" t="s">
        <v>663</v>
      </c>
      <c r="R93" s="537" t="s">
        <v>662</v>
      </c>
      <c r="S93" s="537" t="s">
        <v>662</v>
      </c>
      <c r="T93" s="537" t="s">
        <v>663</v>
      </c>
      <c r="U93" s="537" t="s">
        <v>663</v>
      </c>
      <c r="V93" s="544" t="s">
        <v>663</v>
      </c>
      <c r="W93" s="544" t="s">
        <v>663</v>
      </c>
      <c r="X93" s="544" t="s">
        <v>663</v>
      </c>
      <c r="Y93" s="544" t="s">
        <v>663</v>
      </c>
      <c r="Z93" s="544" t="s">
        <v>663</v>
      </c>
      <c r="AA93" s="544" t="s">
        <v>663</v>
      </c>
      <c r="AB93" s="537" t="str">
        <f t="shared" si="24"/>
        <v>PHY</v>
      </c>
      <c r="AC93" s="537" t="s">
        <v>1192</v>
      </c>
      <c r="AD93" s="545" t="str" cm="1">
        <f t="array" ref="AD93">IF(SUMPRODUCT(ISNUMBER(SEARCH("y",R93:AA93))+0)=0,"",IF(AA93="y","400G",IF(Z93="y","100G",IF(X93="y","40G",IF(V93="y","10G",IF(S93="y","1G",IF(R93="y","100M",""))))))&amp;" "&amp;AB93&amp;" "&amp;AC93)</f>
        <v>1G PHY UPLINK</v>
      </c>
      <c r="AE93" s="546" t="str">
        <f t="shared" si="23"/>
        <v/>
      </c>
      <c r="AF93" s="912" t="str">
        <f t="shared" si="13"/>
        <v>ns</v>
      </c>
      <c r="AG93" s="405" t="str">
        <f t="shared" si="14"/>
        <v>.</v>
      </c>
      <c r="AH93" s="405" t="str">
        <f t="shared" si="22"/>
        <v>.</v>
      </c>
      <c r="AI93" s="405" t="str">
        <f t="shared" si="15"/>
        <v>ns</v>
      </c>
      <c r="AJ93" s="405" t="str">
        <f t="shared" si="16"/>
        <v>ns</v>
      </c>
      <c r="AK93" s="922" t="str">
        <f t="shared" si="17"/>
        <v>ns</v>
      </c>
      <c r="AL93" s="405" t="str">
        <f t="shared" si="17"/>
        <v>ns</v>
      </c>
      <c r="AM93" s="912" t="str">
        <f t="shared" si="18"/>
        <v>ns</v>
      </c>
      <c r="AN93" s="405" t="str">
        <f t="shared" si="19"/>
        <v>ns</v>
      </c>
      <c r="AO93" s="405" t="str">
        <f t="shared" si="20"/>
        <v>ns</v>
      </c>
      <c r="AP93" s="405" t="str">
        <f t="shared" si="21"/>
        <v>ns</v>
      </c>
      <c r="AQ93" s="547"/>
    </row>
    <row r="94" spans="1:43">
      <c r="A94" s="537">
        <v>94</v>
      </c>
      <c r="B94" s="537" t="s">
        <v>932</v>
      </c>
      <c r="C94" s="538">
        <v>474</v>
      </c>
      <c r="D94" s="537" t="s">
        <v>1343</v>
      </c>
      <c r="E94" s="537" t="s">
        <v>1344</v>
      </c>
      <c r="F94" s="537" t="s">
        <v>662</v>
      </c>
      <c r="G94" s="537" t="s">
        <v>661</v>
      </c>
      <c r="H94" s="539" t="s">
        <v>105</v>
      </c>
      <c r="I94" s="540" t="s">
        <v>929</v>
      </c>
      <c r="J94" s="541" t="s">
        <v>712</v>
      </c>
      <c r="K94" s="540" t="s">
        <v>197</v>
      </c>
      <c r="L94" s="550" t="s">
        <v>197</v>
      </c>
      <c r="M94" s="541" t="s">
        <v>197</v>
      </c>
      <c r="N94" s="543" t="s">
        <v>671</v>
      </c>
      <c r="O94" s="544" t="s">
        <v>889</v>
      </c>
      <c r="P94" s="537" t="s">
        <v>827</v>
      </c>
      <c r="Q94" s="544" t="s">
        <v>663</v>
      </c>
      <c r="R94" s="537" t="s">
        <v>662</v>
      </c>
      <c r="S94" s="537" t="s">
        <v>662</v>
      </c>
      <c r="T94" s="537" t="s">
        <v>663</v>
      </c>
      <c r="U94" s="537" t="s">
        <v>663</v>
      </c>
      <c r="V94" s="544" t="s">
        <v>663</v>
      </c>
      <c r="W94" s="544" t="s">
        <v>663</v>
      </c>
      <c r="X94" s="544" t="s">
        <v>663</v>
      </c>
      <c r="Y94" s="544" t="s">
        <v>663</v>
      </c>
      <c r="Z94" s="544" t="s">
        <v>663</v>
      </c>
      <c r="AA94" s="544" t="s">
        <v>663</v>
      </c>
      <c r="AB94" s="537" t="str">
        <f t="shared" si="24"/>
        <v>PHY</v>
      </c>
      <c r="AC94" s="537" t="s">
        <v>1192</v>
      </c>
      <c r="AD94" s="545" t="str" cm="1">
        <f t="array" ref="AD94">IF(SUMPRODUCT(ISNUMBER(SEARCH("y",R94:AA94))+0)=0,"",IF(AA94="y","400G",IF(Z94="y","100G",IF(X94="y","40G",IF(V94="y","10G",IF(S94="y","1G",IF(R94="y","100M",""))))))&amp;" "&amp;AB94&amp;" "&amp;AC94)</f>
        <v>1G PHY UPLINK</v>
      </c>
      <c r="AE94" s="546" t="str">
        <f t="shared" si="23"/>
        <v/>
      </c>
      <c r="AF94" s="912" t="str">
        <f t="shared" si="13"/>
        <v>ns</v>
      </c>
      <c r="AG94" s="405" t="str">
        <f t="shared" si="14"/>
        <v>.</v>
      </c>
      <c r="AH94" s="405" t="str">
        <f t="shared" si="22"/>
        <v>.</v>
      </c>
      <c r="AI94" s="405" t="str">
        <f t="shared" si="15"/>
        <v>ns</v>
      </c>
      <c r="AJ94" s="405" t="str">
        <f t="shared" si="16"/>
        <v>ns</v>
      </c>
      <c r="AK94" s="922" t="str">
        <f t="shared" si="17"/>
        <v>ns</v>
      </c>
      <c r="AL94" s="405" t="str">
        <f t="shared" si="17"/>
        <v>ns</v>
      </c>
      <c r="AM94" s="912" t="str">
        <f t="shared" si="18"/>
        <v>ns</v>
      </c>
      <c r="AN94" s="405" t="str">
        <f t="shared" si="19"/>
        <v>ns</v>
      </c>
      <c r="AO94" s="405" t="str">
        <f t="shared" si="20"/>
        <v>ns</v>
      </c>
      <c r="AP94" s="405" t="str">
        <f t="shared" si="21"/>
        <v>ns</v>
      </c>
      <c r="AQ94" s="547"/>
    </row>
    <row r="95" spans="1:43">
      <c r="A95" s="537">
        <v>95</v>
      </c>
      <c r="B95" s="537" t="s">
        <v>105</v>
      </c>
      <c r="C95" s="538">
        <v>400</v>
      </c>
      <c r="D95" s="561" t="s">
        <v>918</v>
      </c>
      <c r="E95" s="537" t="s">
        <v>1345</v>
      </c>
      <c r="F95" s="537" t="s">
        <v>663</v>
      </c>
      <c r="G95" s="537" t="s">
        <v>661</v>
      </c>
      <c r="H95" s="539" t="s">
        <v>105</v>
      </c>
      <c r="I95" s="540" t="s">
        <v>916</v>
      </c>
      <c r="J95" s="541" t="s">
        <v>730</v>
      </c>
      <c r="K95" s="540" t="s">
        <v>918</v>
      </c>
      <c r="L95" s="550" t="s">
        <v>674</v>
      </c>
      <c r="M95" s="541" t="s">
        <v>919</v>
      </c>
      <c r="N95" s="543" t="s">
        <v>671</v>
      </c>
      <c r="O95" s="544" t="s">
        <v>969</v>
      </c>
      <c r="P95" s="537" t="s">
        <v>827</v>
      </c>
      <c r="Q95" s="544" t="s">
        <v>663</v>
      </c>
      <c r="R95" s="537" t="s">
        <v>662</v>
      </c>
      <c r="S95" s="537" t="s">
        <v>662</v>
      </c>
      <c r="T95" s="537" t="s">
        <v>663</v>
      </c>
      <c r="U95" s="537" t="s">
        <v>663</v>
      </c>
      <c r="V95" s="544" t="s">
        <v>663</v>
      </c>
      <c r="W95" s="544" t="s">
        <v>663</v>
      </c>
      <c r="X95" s="544" t="s">
        <v>663</v>
      </c>
      <c r="Y95" s="544" t="s">
        <v>663</v>
      </c>
      <c r="Z95" s="544" t="s">
        <v>663</v>
      </c>
      <c r="AA95" s="544" t="s">
        <v>663</v>
      </c>
      <c r="AB95" s="537" t="str">
        <f t="shared" si="24"/>
        <v>PHY</v>
      </c>
      <c r="AC95" s="537" t="s">
        <v>1192</v>
      </c>
      <c r="AD95" s="545" t="str" cm="1">
        <f t="array" ref="AD95">IF(SUMPRODUCT(ISNUMBER(SEARCH("y",R95:AA95))+0)=0,"",IF(AA95="y","400G",IF(Z95="y","100G",IF(X95="y","40G",IF(V95="y","10G",IF(S95="y","1G",IF(R95="y","100M",""))))))&amp;" "&amp;AB95&amp;" "&amp;AC95)</f>
        <v>1G PHY UPLINK</v>
      </c>
      <c r="AE95" s="546" t="str">
        <f t="shared" si="23"/>
        <v>x230-10GT 1G PHY UPLINK</v>
      </c>
      <c r="AF95" s="912" t="str">
        <f t="shared" si="13"/>
        <v>ns</v>
      </c>
      <c r="AG95" s="405" t="str">
        <f t="shared" si="14"/>
        <v>.</v>
      </c>
      <c r="AH95" s="405" t="str">
        <f t="shared" si="22"/>
        <v>.</v>
      </c>
      <c r="AI95" s="405" t="str">
        <f t="shared" si="15"/>
        <v>ns</v>
      </c>
      <c r="AJ95" s="405" t="str">
        <f t="shared" si="16"/>
        <v>ns</v>
      </c>
      <c r="AK95" s="922" t="str">
        <f t="shared" si="17"/>
        <v>ns</v>
      </c>
      <c r="AL95" s="405" t="str">
        <f t="shared" si="17"/>
        <v>ns</v>
      </c>
      <c r="AM95" s="912" t="str">
        <f t="shared" si="18"/>
        <v>ns</v>
      </c>
      <c r="AN95" s="405" t="str">
        <f t="shared" si="19"/>
        <v>ns</v>
      </c>
      <c r="AO95" s="405" t="str">
        <f t="shared" si="20"/>
        <v>ns</v>
      </c>
      <c r="AP95" s="405" t="str">
        <f t="shared" si="21"/>
        <v>ns</v>
      </c>
      <c r="AQ95" s="547"/>
    </row>
    <row r="96" spans="1:43">
      <c r="A96" s="537">
        <v>96</v>
      </c>
      <c r="B96" s="537" t="s">
        <v>105</v>
      </c>
      <c r="C96" s="538">
        <v>401</v>
      </c>
      <c r="D96" s="561" t="s">
        <v>1346</v>
      </c>
      <c r="E96" s="537" t="s">
        <v>1347</v>
      </c>
      <c r="F96" s="537" t="s">
        <v>663</v>
      </c>
      <c r="G96" s="537" t="s">
        <v>661</v>
      </c>
      <c r="H96" s="539" t="s">
        <v>105</v>
      </c>
      <c r="I96" s="540" t="s">
        <v>916</v>
      </c>
      <c r="J96" s="541" t="s">
        <v>712</v>
      </c>
      <c r="K96" s="540" t="s">
        <v>197</v>
      </c>
      <c r="L96" s="562" t="s">
        <v>197</v>
      </c>
      <c r="M96" s="563" t="s">
        <v>197</v>
      </c>
      <c r="N96" s="543" t="s">
        <v>671</v>
      </c>
      <c r="O96" s="544" t="s">
        <v>1030</v>
      </c>
      <c r="P96" s="537" t="s">
        <v>827</v>
      </c>
      <c r="Q96" s="544" t="s">
        <v>663</v>
      </c>
      <c r="R96" s="537" t="s">
        <v>662</v>
      </c>
      <c r="S96" s="537" t="s">
        <v>662</v>
      </c>
      <c r="T96" s="537" t="s">
        <v>663</v>
      </c>
      <c r="U96" s="537" t="s">
        <v>663</v>
      </c>
      <c r="V96" s="544" t="s">
        <v>663</v>
      </c>
      <c r="W96" s="544" t="s">
        <v>663</v>
      </c>
      <c r="X96" s="544" t="s">
        <v>663</v>
      </c>
      <c r="Y96" s="544" t="s">
        <v>663</v>
      </c>
      <c r="Z96" s="544" t="s">
        <v>663</v>
      </c>
      <c r="AA96" s="544" t="s">
        <v>663</v>
      </c>
      <c r="AB96" s="537" t="str">
        <f t="shared" si="24"/>
        <v>PHY</v>
      </c>
      <c r="AC96" s="537" t="s">
        <v>1192</v>
      </c>
      <c r="AD96" s="545" t="str" cm="1">
        <f t="array" ref="AD96">IF(SUMPRODUCT(ISNUMBER(SEARCH("y",R96:AA96))+0)=0,"",IF(AA96="y","400G",IF(Z96="y","100G",IF(X96="y","40G",IF(V96="y","10G",IF(S96="y","1G",IF(R96="y","100M",""))))))&amp;" "&amp;AB96&amp;" "&amp;AC96)</f>
        <v>1G PHY UPLINK</v>
      </c>
      <c r="AE96" s="546" t="str">
        <f t="shared" si="23"/>
        <v/>
      </c>
      <c r="AF96" s="912" t="str">
        <f t="shared" si="13"/>
        <v>ns</v>
      </c>
      <c r="AG96" s="405" t="str">
        <f t="shared" si="14"/>
        <v>.</v>
      </c>
      <c r="AH96" s="405" t="str">
        <f t="shared" si="22"/>
        <v>.</v>
      </c>
      <c r="AI96" s="405" t="str">
        <f t="shared" si="15"/>
        <v>ns</v>
      </c>
      <c r="AJ96" s="405" t="str">
        <f t="shared" si="16"/>
        <v>ns</v>
      </c>
      <c r="AK96" s="922" t="str">
        <f t="shared" si="17"/>
        <v>ns</v>
      </c>
      <c r="AL96" s="405" t="str">
        <f t="shared" si="17"/>
        <v>ns</v>
      </c>
      <c r="AM96" s="912" t="str">
        <f t="shared" si="18"/>
        <v>ns</v>
      </c>
      <c r="AN96" s="405" t="str">
        <f t="shared" si="19"/>
        <v>ns</v>
      </c>
      <c r="AO96" s="405" t="str">
        <f t="shared" si="20"/>
        <v>ns</v>
      </c>
      <c r="AP96" s="405" t="str">
        <f t="shared" si="21"/>
        <v>ns</v>
      </c>
      <c r="AQ96" s="547"/>
    </row>
    <row r="97" spans="1:212">
      <c r="A97" s="537">
        <v>97</v>
      </c>
      <c r="B97" s="537" t="s">
        <v>105</v>
      </c>
      <c r="C97" s="538">
        <v>402</v>
      </c>
      <c r="D97" s="561" t="s">
        <v>1348</v>
      </c>
      <c r="E97" s="537" t="s">
        <v>1349</v>
      </c>
      <c r="F97" s="537" t="s">
        <v>663</v>
      </c>
      <c r="G97" s="537" t="s">
        <v>661</v>
      </c>
      <c r="H97" s="539" t="s">
        <v>105</v>
      </c>
      <c r="I97" s="540" t="s">
        <v>929</v>
      </c>
      <c r="J97" s="541" t="s">
        <v>712</v>
      </c>
      <c r="K97" s="540" t="s">
        <v>197</v>
      </c>
      <c r="L97" s="562" t="s">
        <v>197</v>
      </c>
      <c r="M97" s="563" t="s">
        <v>197</v>
      </c>
      <c r="N97" s="543" t="s">
        <v>671</v>
      </c>
      <c r="O97" s="544" t="s">
        <v>889</v>
      </c>
      <c r="P97" s="537" t="s">
        <v>827</v>
      </c>
      <c r="Q97" s="544" t="s">
        <v>663</v>
      </c>
      <c r="R97" s="537" t="s">
        <v>662</v>
      </c>
      <c r="S97" s="537" t="s">
        <v>662</v>
      </c>
      <c r="T97" s="537" t="s">
        <v>663</v>
      </c>
      <c r="U97" s="537" t="s">
        <v>663</v>
      </c>
      <c r="V97" s="544" t="s">
        <v>663</v>
      </c>
      <c r="W97" s="544" t="s">
        <v>663</v>
      </c>
      <c r="X97" s="544" t="s">
        <v>663</v>
      </c>
      <c r="Y97" s="544" t="s">
        <v>663</v>
      </c>
      <c r="Z97" s="544" t="s">
        <v>663</v>
      </c>
      <c r="AA97" s="544" t="s">
        <v>663</v>
      </c>
      <c r="AB97" s="537" t="str">
        <f t="shared" si="24"/>
        <v>PHY</v>
      </c>
      <c r="AC97" s="537" t="s">
        <v>1192</v>
      </c>
      <c r="AD97" s="545" t="str" cm="1">
        <f t="array" ref="AD97">IF(SUMPRODUCT(ISNUMBER(SEARCH("y",R97:AA97))+0)=0,"",IF(AA97="y","400G",IF(Z97="y","100G",IF(X97="y","40G",IF(V97="y","10G",IF(S97="y","1G",IF(R97="y","100M",""))))))&amp;" "&amp;AB97&amp;" "&amp;AC97)</f>
        <v>1G PHY UPLINK</v>
      </c>
      <c r="AE97" s="546" t="str">
        <f t="shared" si="23"/>
        <v/>
      </c>
      <c r="AF97" s="912" t="str">
        <f t="shared" si="13"/>
        <v>ns</v>
      </c>
      <c r="AG97" s="405" t="str">
        <f t="shared" si="14"/>
        <v>.</v>
      </c>
      <c r="AH97" s="405" t="str">
        <f t="shared" si="22"/>
        <v>.</v>
      </c>
      <c r="AI97" s="405" t="str">
        <f t="shared" si="15"/>
        <v>ns</v>
      </c>
      <c r="AJ97" s="405" t="str">
        <f t="shared" si="16"/>
        <v>ns</v>
      </c>
      <c r="AK97" s="922" t="str">
        <f t="shared" si="17"/>
        <v>ns</v>
      </c>
      <c r="AL97" s="405" t="str">
        <f t="shared" si="17"/>
        <v>ns</v>
      </c>
      <c r="AM97" s="912" t="str">
        <f t="shared" si="18"/>
        <v>ns</v>
      </c>
      <c r="AN97" s="405" t="str">
        <f t="shared" si="19"/>
        <v>ns</v>
      </c>
      <c r="AO97" s="405" t="str">
        <f t="shared" si="20"/>
        <v>ns</v>
      </c>
      <c r="AP97" s="405" t="str">
        <f t="shared" si="21"/>
        <v>ns</v>
      </c>
      <c r="AQ97" s="547"/>
    </row>
    <row r="98" spans="1:212">
      <c r="A98" s="537">
        <v>98</v>
      </c>
      <c r="B98" s="537" t="s">
        <v>105</v>
      </c>
      <c r="C98" s="564">
        <v>403</v>
      </c>
      <c r="D98" s="561" t="s">
        <v>1350</v>
      </c>
      <c r="E98" s="537" t="s">
        <v>1351</v>
      </c>
      <c r="F98" s="537" t="s">
        <v>663</v>
      </c>
      <c r="G98" s="537" t="s">
        <v>661</v>
      </c>
      <c r="H98" s="539" t="s">
        <v>105</v>
      </c>
      <c r="I98" s="540" t="s">
        <v>929</v>
      </c>
      <c r="J98" s="541" t="s">
        <v>712</v>
      </c>
      <c r="K98" s="540" t="s">
        <v>197</v>
      </c>
      <c r="L98" s="562" t="s">
        <v>197</v>
      </c>
      <c r="M98" s="563" t="s">
        <v>197</v>
      </c>
      <c r="N98" s="543" t="s">
        <v>671</v>
      </c>
      <c r="O98" s="544" t="s">
        <v>902</v>
      </c>
      <c r="P98" s="537" t="s">
        <v>827</v>
      </c>
      <c r="Q98" s="544" t="s">
        <v>663</v>
      </c>
      <c r="R98" s="537" t="s">
        <v>662</v>
      </c>
      <c r="S98" s="537" t="s">
        <v>662</v>
      </c>
      <c r="T98" s="537" t="s">
        <v>663</v>
      </c>
      <c r="U98" s="537" t="s">
        <v>663</v>
      </c>
      <c r="V98" s="544" t="s">
        <v>663</v>
      </c>
      <c r="W98" s="544" t="s">
        <v>663</v>
      </c>
      <c r="X98" s="544" t="s">
        <v>663</v>
      </c>
      <c r="Y98" s="544" t="s">
        <v>663</v>
      </c>
      <c r="Z98" s="544" t="s">
        <v>663</v>
      </c>
      <c r="AA98" s="544" t="s">
        <v>663</v>
      </c>
      <c r="AB98" s="537" t="str">
        <f t="shared" si="24"/>
        <v>PHY</v>
      </c>
      <c r="AC98" s="537" t="s">
        <v>1192</v>
      </c>
      <c r="AD98" s="545" t="str" cm="1">
        <f t="array" ref="AD98">IF(SUMPRODUCT(ISNUMBER(SEARCH("y",R98:AA98))+0)=0,"",IF(AA98="y","400G",IF(Z98="y","100G",IF(X98="y","40G",IF(V98="y","10G",IF(S98="y","1G",IF(R98="y","100M",""))))))&amp;" "&amp;AB98&amp;" "&amp;AC98)</f>
        <v>1G PHY UPLINK</v>
      </c>
      <c r="AE98" s="546" t="str">
        <f t="shared" si="23"/>
        <v/>
      </c>
      <c r="AF98" s="912" t="str">
        <f t="shared" si="13"/>
        <v>ns</v>
      </c>
      <c r="AG98" s="405" t="str">
        <f t="shared" si="14"/>
        <v>.</v>
      </c>
      <c r="AH98" s="405" t="str">
        <f t="shared" si="22"/>
        <v>.</v>
      </c>
      <c r="AI98" s="405" t="str">
        <f t="shared" si="15"/>
        <v>ns</v>
      </c>
      <c r="AJ98" s="405" t="str">
        <f t="shared" si="16"/>
        <v>ns</v>
      </c>
      <c r="AK98" s="922" t="str">
        <f t="shared" si="17"/>
        <v>ns</v>
      </c>
      <c r="AL98" s="405" t="str">
        <f t="shared" si="17"/>
        <v>ns</v>
      </c>
      <c r="AM98" s="912" t="str">
        <f t="shared" si="18"/>
        <v>ns</v>
      </c>
      <c r="AN98" s="405" t="str">
        <f t="shared" si="19"/>
        <v>ns</v>
      </c>
      <c r="AO98" s="405" t="str">
        <f t="shared" si="20"/>
        <v>ns</v>
      </c>
      <c r="AP98" s="405" t="str">
        <f t="shared" si="21"/>
        <v>ns</v>
      </c>
      <c r="AQ98" s="547"/>
    </row>
    <row r="99" spans="1:212">
      <c r="A99" s="537">
        <v>99</v>
      </c>
      <c r="B99" s="537" t="s">
        <v>105</v>
      </c>
      <c r="C99" s="538">
        <v>404</v>
      </c>
      <c r="D99" s="561" t="s">
        <v>1352</v>
      </c>
      <c r="E99" s="537" t="s">
        <v>1353</v>
      </c>
      <c r="F99" s="537" t="s">
        <v>663</v>
      </c>
      <c r="G99" s="537" t="s">
        <v>661</v>
      </c>
      <c r="H99" s="539" t="s">
        <v>105</v>
      </c>
      <c r="I99" s="540" t="s">
        <v>921</v>
      </c>
      <c r="J99" s="541" t="s">
        <v>712</v>
      </c>
      <c r="K99" s="540" t="s">
        <v>197</v>
      </c>
      <c r="L99" s="562" t="s">
        <v>197</v>
      </c>
      <c r="M99" s="563" t="s">
        <v>197</v>
      </c>
      <c r="N99" s="543" t="s">
        <v>671</v>
      </c>
      <c r="O99" s="544" t="s">
        <v>969</v>
      </c>
      <c r="P99" s="537" t="s">
        <v>827</v>
      </c>
      <c r="Q99" s="544" t="s">
        <v>663</v>
      </c>
      <c r="R99" s="537" t="s">
        <v>662</v>
      </c>
      <c r="S99" s="537" t="s">
        <v>662</v>
      </c>
      <c r="T99" s="537" t="s">
        <v>663</v>
      </c>
      <c r="U99" s="537" t="s">
        <v>663</v>
      </c>
      <c r="V99" s="544" t="s">
        <v>663</v>
      </c>
      <c r="W99" s="544" t="s">
        <v>663</v>
      </c>
      <c r="X99" s="544" t="s">
        <v>663</v>
      </c>
      <c r="Y99" s="544" t="s">
        <v>663</v>
      </c>
      <c r="Z99" s="544" t="s">
        <v>663</v>
      </c>
      <c r="AA99" s="544" t="s">
        <v>663</v>
      </c>
      <c r="AB99" s="537" t="str">
        <f t="shared" si="24"/>
        <v>PHY</v>
      </c>
      <c r="AC99" s="537" t="s">
        <v>1192</v>
      </c>
      <c r="AD99" s="545" t="str" cm="1">
        <f t="array" ref="AD99">IF(SUMPRODUCT(ISNUMBER(SEARCH("y",R99:AA99))+0)=0,"",IF(AA99="y","400G",IF(Z99="y","100G",IF(X99="y","40G",IF(V99="y","10G",IF(S99="y","1G",IF(R99="y","100M",""))))))&amp;" "&amp;AB99&amp;" "&amp;AC99)</f>
        <v>1G PHY UPLINK</v>
      </c>
      <c r="AE99" s="546" t="str">
        <f t="shared" si="23"/>
        <v/>
      </c>
      <c r="AF99" s="912" t="str">
        <f t="shared" si="13"/>
        <v>ns</v>
      </c>
      <c r="AG99" s="405" t="str">
        <f t="shared" si="14"/>
        <v>.</v>
      </c>
      <c r="AH99" s="405" t="str">
        <f t="shared" si="22"/>
        <v>.</v>
      </c>
      <c r="AI99" s="405" t="str">
        <f t="shared" si="15"/>
        <v>ns</v>
      </c>
      <c r="AJ99" s="405" t="str">
        <f t="shared" si="16"/>
        <v>ns</v>
      </c>
      <c r="AK99" s="922" t="str">
        <f t="shared" si="17"/>
        <v>ns</v>
      </c>
      <c r="AL99" s="405" t="str">
        <f t="shared" si="17"/>
        <v>ns</v>
      </c>
      <c r="AM99" s="912" t="str">
        <f t="shared" si="18"/>
        <v>ns</v>
      </c>
      <c r="AN99" s="405" t="str">
        <f t="shared" si="19"/>
        <v>ns</v>
      </c>
      <c r="AO99" s="405" t="str">
        <f t="shared" si="20"/>
        <v>ns</v>
      </c>
      <c r="AP99" s="405" t="str">
        <f t="shared" si="21"/>
        <v>ns</v>
      </c>
      <c r="AQ99" s="547"/>
    </row>
    <row r="100" spans="1:212">
      <c r="A100" s="537">
        <v>100</v>
      </c>
      <c r="B100" s="537" t="s">
        <v>105</v>
      </c>
      <c r="C100" s="538">
        <v>405</v>
      </c>
      <c r="D100" s="561" t="s">
        <v>1354</v>
      </c>
      <c r="E100" s="537" t="s">
        <v>1355</v>
      </c>
      <c r="F100" s="537" t="s">
        <v>663</v>
      </c>
      <c r="G100" s="537" t="s">
        <v>661</v>
      </c>
      <c r="H100" s="539" t="s">
        <v>105</v>
      </c>
      <c r="I100" s="540" t="s">
        <v>921</v>
      </c>
      <c r="J100" s="541" t="s">
        <v>712</v>
      </c>
      <c r="K100" s="540"/>
      <c r="L100" s="550"/>
      <c r="M100" s="541"/>
      <c r="N100" s="543" t="s">
        <v>671</v>
      </c>
      <c r="O100" s="544" t="s">
        <v>1030</v>
      </c>
      <c r="P100" s="537" t="s">
        <v>827</v>
      </c>
      <c r="Q100" s="544" t="s">
        <v>663</v>
      </c>
      <c r="R100" s="537" t="s">
        <v>662</v>
      </c>
      <c r="S100" s="537" t="s">
        <v>662</v>
      </c>
      <c r="T100" s="537" t="s">
        <v>663</v>
      </c>
      <c r="U100" s="537" t="s">
        <v>663</v>
      </c>
      <c r="V100" s="544" t="s">
        <v>663</v>
      </c>
      <c r="W100" s="544" t="s">
        <v>663</v>
      </c>
      <c r="X100" s="544" t="s">
        <v>663</v>
      </c>
      <c r="Y100" s="544" t="s">
        <v>663</v>
      </c>
      <c r="Z100" s="544" t="s">
        <v>663</v>
      </c>
      <c r="AA100" s="544" t="s">
        <v>663</v>
      </c>
      <c r="AB100" s="537" t="str">
        <f t="shared" si="24"/>
        <v>PHY</v>
      </c>
      <c r="AC100" s="537" t="s">
        <v>1192</v>
      </c>
      <c r="AD100" s="545" t="str" cm="1">
        <f t="array" ref="AD100">IF(SUMPRODUCT(ISNUMBER(SEARCH("y",R100:AA100))+0)=0,"",IF(AA100="y","400G",IF(Z100="y","100G",IF(X100="y","40G",IF(V100="y","10G",IF(S100="y","1G",IF(R100="y","100M",""))))))&amp;" "&amp;AB100&amp;" "&amp;AC100)</f>
        <v>1G PHY UPLINK</v>
      </c>
      <c r="AE100" s="546" t="str">
        <f t="shared" si="23"/>
        <v xml:space="preserve"> 1G PHY UPLINK</v>
      </c>
      <c r="AF100" s="912" t="str">
        <f t="shared" si="13"/>
        <v>ns</v>
      </c>
      <c r="AG100" s="405" t="str">
        <f t="shared" si="14"/>
        <v>.</v>
      </c>
      <c r="AH100" s="405" t="str">
        <f t="shared" si="22"/>
        <v>.</v>
      </c>
      <c r="AI100" s="405" t="str">
        <f t="shared" si="15"/>
        <v>ns</v>
      </c>
      <c r="AJ100" s="405" t="str">
        <f t="shared" si="16"/>
        <v>ns</v>
      </c>
      <c r="AK100" s="922" t="str">
        <f t="shared" si="17"/>
        <v>ns</v>
      </c>
      <c r="AL100" s="405" t="str">
        <f t="shared" si="17"/>
        <v>ns</v>
      </c>
      <c r="AM100" s="912" t="str">
        <f t="shared" si="18"/>
        <v>ns</v>
      </c>
      <c r="AN100" s="405" t="str">
        <f t="shared" si="19"/>
        <v>ns</v>
      </c>
      <c r="AO100" s="405" t="str">
        <f t="shared" si="20"/>
        <v>ns</v>
      </c>
      <c r="AP100" s="405" t="str">
        <f t="shared" si="21"/>
        <v>ns</v>
      </c>
      <c r="AQ100" s="547"/>
    </row>
    <row r="101" spans="1:212">
      <c r="A101" s="537">
        <v>101</v>
      </c>
      <c r="B101" s="537" t="s">
        <v>105</v>
      </c>
      <c r="C101" s="538">
        <v>406</v>
      </c>
      <c r="D101" s="561" t="s">
        <v>1356</v>
      </c>
      <c r="E101" s="537" t="s">
        <v>1357</v>
      </c>
      <c r="F101" s="537" t="s">
        <v>663</v>
      </c>
      <c r="G101" s="537" t="s">
        <v>661</v>
      </c>
      <c r="H101" s="539" t="s">
        <v>105</v>
      </c>
      <c r="I101" s="540" t="s">
        <v>929</v>
      </c>
      <c r="J101" s="541" t="s">
        <v>712</v>
      </c>
      <c r="K101" s="540" t="s">
        <v>1348</v>
      </c>
      <c r="L101" s="550" t="s">
        <v>1523</v>
      </c>
      <c r="M101" s="541" t="s">
        <v>2347</v>
      </c>
      <c r="N101" s="543" t="s">
        <v>671</v>
      </c>
      <c r="O101" s="544" t="s">
        <v>889</v>
      </c>
      <c r="P101" s="537" t="s">
        <v>827</v>
      </c>
      <c r="Q101" s="544" t="s">
        <v>663</v>
      </c>
      <c r="R101" s="537" t="s">
        <v>662</v>
      </c>
      <c r="S101" s="537" t="s">
        <v>662</v>
      </c>
      <c r="T101" s="537" t="s">
        <v>663</v>
      </c>
      <c r="U101" s="537" t="s">
        <v>663</v>
      </c>
      <c r="V101" s="544" t="s">
        <v>663</v>
      </c>
      <c r="W101" s="544" t="s">
        <v>663</v>
      </c>
      <c r="X101" s="544" t="s">
        <v>663</v>
      </c>
      <c r="Y101" s="544" t="s">
        <v>663</v>
      </c>
      <c r="Z101" s="544" t="s">
        <v>663</v>
      </c>
      <c r="AA101" s="544" t="s">
        <v>663</v>
      </c>
      <c r="AB101" s="537" t="str">
        <f t="shared" si="24"/>
        <v>PHY</v>
      </c>
      <c r="AC101" s="537" t="s">
        <v>1192</v>
      </c>
      <c r="AD101" s="545" t="str" cm="1">
        <f t="array" ref="AD101">IF(SUMPRODUCT(ISNUMBER(SEARCH("y",R101:AA101))+0)=0,"",IF(AA101="y","400G",IF(Z101="y","100G",IF(X101="y","40G",IF(V101="y","10G",IF(S101="y","1G",IF(R101="y","100M",""))))))&amp;" "&amp;AB101&amp;" "&amp;AC101)</f>
        <v>1G PHY UPLINK</v>
      </c>
      <c r="AE101" s="546" t="str">
        <f t="shared" si="23"/>
        <v>x230-28GT 1G PHY UPLINK</v>
      </c>
      <c r="AF101" s="912" t="str">
        <f t="shared" si="13"/>
        <v>ns</v>
      </c>
      <c r="AG101" s="405" t="str">
        <f t="shared" si="14"/>
        <v>.</v>
      </c>
      <c r="AH101" s="405" t="str">
        <f t="shared" si="22"/>
        <v>.</v>
      </c>
      <c r="AI101" s="405" t="str">
        <f t="shared" si="15"/>
        <v>ns</v>
      </c>
      <c r="AJ101" s="405" t="str">
        <f t="shared" si="16"/>
        <v>ns</v>
      </c>
      <c r="AK101" s="922" t="str">
        <f t="shared" si="17"/>
        <v>ns</v>
      </c>
      <c r="AL101" s="405" t="str">
        <f t="shared" si="17"/>
        <v>ns</v>
      </c>
      <c r="AM101" s="912" t="str">
        <f t="shared" si="18"/>
        <v>ns</v>
      </c>
      <c r="AN101" s="405" t="str">
        <f t="shared" si="19"/>
        <v>ns</v>
      </c>
      <c r="AO101" s="405" t="str">
        <f t="shared" si="20"/>
        <v>ns</v>
      </c>
      <c r="AP101" s="405" t="str">
        <f t="shared" si="21"/>
        <v>ns</v>
      </c>
      <c r="AQ101" s="547"/>
    </row>
    <row r="102" spans="1:212">
      <c r="A102" s="537">
        <v>102</v>
      </c>
      <c r="B102" s="537" t="s">
        <v>105</v>
      </c>
      <c r="C102" s="564">
        <v>407</v>
      </c>
      <c r="D102" s="561" t="s">
        <v>1358</v>
      </c>
      <c r="E102" s="537" t="s">
        <v>1359</v>
      </c>
      <c r="F102" s="537" t="s">
        <v>663</v>
      </c>
      <c r="G102" s="537" t="s">
        <v>661</v>
      </c>
      <c r="H102" s="539" t="s">
        <v>885</v>
      </c>
      <c r="I102" s="540" t="s">
        <v>901</v>
      </c>
      <c r="J102" s="540" t="s">
        <v>654</v>
      </c>
      <c r="K102" s="540" t="s">
        <v>197</v>
      </c>
      <c r="L102" s="562" t="s">
        <v>197</v>
      </c>
      <c r="M102" s="563" t="s">
        <v>197</v>
      </c>
      <c r="N102" s="543" t="s">
        <v>671</v>
      </c>
      <c r="O102" s="544" t="s">
        <v>902</v>
      </c>
      <c r="P102" s="537" t="s">
        <v>827</v>
      </c>
      <c r="Q102" s="544" t="s">
        <v>663</v>
      </c>
      <c r="R102" s="537" t="s">
        <v>662</v>
      </c>
      <c r="S102" s="537" t="s">
        <v>662</v>
      </c>
      <c r="T102" s="537" t="s">
        <v>663</v>
      </c>
      <c r="U102" s="537" t="s">
        <v>663</v>
      </c>
      <c r="V102" s="544" t="s">
        <v>663</v>
      </c>
      <c r="W102" s="544" t="s">
        <v>663</v>
      </c>
      <c r="X102" s="544" t="s">
        <v>663</v>
      </c>
      <c r="Y102" s="544" t="s">
        <v>663</v>
      </c>
      <c r="Z102" s="544" t="s">
        <v>663</v>
      </c>
      <c r="AA102" s="544" t="s">
        <v>663</v>
      </c>
      <c r="AB102" s="537" t="str">
        <f t="shared" si="24"/>
        <v>PHY</v>
      </c>
      <c r="AC102" s="537" t="s">
        <v>1192</v>
      </c>
      <c r="AD102" s="545" t="str" cm="1">
        <f t="array" ref="AD102">IF(SUMPRODUCT(ISNUMBER(SEARCH("y",R102:AA102))+0)=0,"",IF(AA102="y","400G",IF(Z102="y","100G",IF(X102="y","40G",IF(V102="y","10G",IF(S102="y","1G",IF(R102="y","100M",""))))))&amp;" "&amp;AB102&amp;" "&amp;AC102)</f>
        <v>1G PHY UPLINK</v>
      </c>
      <c r="AE102" s="546" t="str">
        <f t="shared" si="23"/>
        <v/>
      </c>
      <c r="AF102" s="912" t="str">
        <f t="shared" si="13"/>
        <v>ns</v>
      </c>
      <c r="AG102" s="405" t="str">
        <f t="shared" si="14"/>
        <v>.</v>
      </c>
      <c r="AH102" s="405" t="str">
        <f t="shared" si="22"/>
        <v>.</v>
      </c>
      <c r="AI102" s="405" t="str">
        <f t="shared" si="15"/>
        <v>ns</v>
      </c>
      <c r="AJ102" s="405" t="str">
        <f t="shared" si="16"/>
        <v>ns</v>
      </c>
      <c r="AK102" s="922" t="str">
        <f t="shared" si="17"/>
        <v>ns</v>
      </c>
      <c r="AL102" s="405" t="str">
        <f t="shared" si="17"/>
        <v>ns</v>
      </c>
      <c r="AM102" s="912" t="str">
        <f t="shared" si="18"/>
        <v>ns</v>
      </c>
      <c r="AN102" s="405" t="str">
        <f t="shared" si="19"/>
        <v>ns</v>
      </c>
      <c r="AO102" s="405" t="str">
        <f t="shared" si="20"/>
        <v>ns</v>
      </c>
      <c r="AP102" s="405" t="str">
        <f t="shared" si="21"/>
        <v>ns</v>
      </c>
      <c r="AQ102" s="547"/>
    </row>
    <row r="103" spans="1:212">
      <c r="A103" s="537">
        <v>103</v>
      </c>
      <c r="B103" s="537" t="s">
        <v>105</v>
      </c>
      <c r="C103" s="538">
        <v>555</v>
      </c>
      <c r="D103" s="537" t="s">
        <v>1360</v>
      </c>
      <c r="E103" s="537" t="s">
        <v>1361</v>
      </c>
      <c r="F103" s="537" t="s">
        <v>663</v>
      </c>
      <c r="G103" s="537" t="s">
        <v>661</v>
      </c>
      <c r="H103" s="539" t="s">
        <v>105</v>
      </c>
      <c r="I103" s="540" t="s">
        <v>916</v>
      </c>
      <c r="J103" s="541" t="s">
        <v>712</v>
      </c>
      <c r="K103" s="540" t="s">
        <v>197</v>
      </c>
      <c r="L103" s="562" t="s">
        <v>197</v>
      </c>
      <c r="M103" s="563" t="s">
        <v>197</v>
      </c>
      <c r="N103" s="543" t="s">
        <v>671</v>
      </c>
      <c r="O103" s="544" t="s">
        <v>1362</v>
      </c>
      <c r="P103" s="537" t="s">
        <v>827</v>
      </c>
      <c r="Q103" s="544" t="s">
        <v>663</v>
      </c>
      <c r="R103" s="537" t="s">
        <v>662</v>
      </c>
      <c r="S103" s="537" t="s">
        <v>662</v>
      </c>
      <c r="T103" s="537" t="s">
        <v>663</v>
      </c>
      <c r="U103" s="537" t="s">
        <v>663</v>
      </c>
      <c r="V103" s="544" t="s">
        <v>663</v>
      </c>
      <c r="W103" s="544" t="s">
        <v>663</v>
      </c>
      <c r="X103" s="544" t="s">
        <v>663</v>
      </c>
      <c r="Y103" s="544" t="s">
        <v>663</v>
      </c>
      <c r="Z103" s="544" t="s">
        <v>663</v>
      </c>
      <c r="AA103" s="544" t="s">
        <v>663</v>
      </c>
      <c r="AB103" s="537" t="str">
        <f t="shared" si="24"/>
        <v>PHY</v>
      </c>
      <c r="AC103" s="537" t="s">
        <v>1192</v>
      </c>
      <c r="AD103" s="545" t="str" cm="1">
        <f t="array" ref="AD103">IF(SUMPRODUCT(ISNUMBER(SEARCH("y",R103:AA103))+0)=0,"",IF(AA103="y","400G",IF(Z103="y","100G",IF(X103="y","40G",IF(V103="y","10G",IF(S103="y","1G",IF(R103="y","100M",""))))))&amp;" "&amp;AB103&amp;" "&amp;AC103)</f>
        <v>1G PHY UPLINK</v>
      </c>
      <c r="AE103" s="546" t="str">
        <f t="shared" si="23"/>
        <v/>
      </c>
      <c r="AF103" s="912" t="str">
        <f t="shared" si="13"/>
        <v>ns</v>
      </c>
      <c r="AG103" s="405" t="str">
        <f t="shared" si="14"/>
        <v>.</v>
      </c>
      <c r="AH103" s="405" t="str">
        <f t="shared" si="22"/>
        <v>.</v>
      </c>
      <c r="AI103" s="405" t="str">
        <f t="shared" si="15"/>
        <v>ns</v>
      </c>
      <c r="AJ103" s="405" t="str">
        <f t="shared" si="16"/>
        <v>ns</v>
      </c>
      <c r="AK103" s="922" t="str">
        <f t="shared" si="17"/>
        <v>ns</v>
      </c>
      <c r="AL103" s="405" t="str">
        <f t="shared" si="17"/>
        <v>ns</v>
      </c>
      <c r="AM103" s="912" t="str">
        <f t="shared" si="18"/>
        <v>ns</v>
      </c>
      <c r="AN103" s="405" t="str">
        <f t="shared" si="19"/>
        <v>ns</v>
      </c>
      <c r="AO103" s="405" t="str">
        <f t="shared" si="20"/>
        <v>ns</v>
      </c>
      <c r="AP103" s="405" t="str">
        <f t="shared" si="21"/>
        <v>ns</v>
      </c>
      <c r="AQ103" s="547"/>
    </row>
    <row r="104" spans="1:212">
      <c r="A104" s="537">
        <v>104</v>
      </c>
      <c r="B104" s="537" t="s">
        <v>105</v>
      </c>
      <c r="C104" s="538">
        <v>556</v>
      </c>
      <c r="D104" s="537" t="s">
        <v>1363</v>
      </c>
      <c r="E104" s="537" t="s">
        <v>1364</v>
      </c>
      <c r="F104" s="537" t="s">
        <v>663</v>
      </c>
      <c r="G104" s="537" t="s">
        <v>661</v>
      </c>
      <c r="H104" s="539" t="s">
        <v>105</v>
      </c>
      <c r="I104" s="540" t="s">
        <v>929</v>
      </c>
      <c r="J104" s="541" t="s">
        <v>712</v>
      </c>
      <c r="K104" s="540" t="s">
        <v>197</v>
      </c>
      <c r="L104" s="562" t="s">
        <v>197</v>
      </c>
      <c r="M104" s="563" t="s">
        <v>197</v>
      </c>
      <c r="N104" s="543" t="s">
        <v>671</v>
      </c>
      <c r="O104" s="544" t="s">
        <v>1365</v>
      </c>
      <c r="P104" s="537" t="s">
        <v>827</v>
      </c>
      <c r="Q104" s="544" t="s">
        <v>663</v>
      </c>
      <c r="R104" s="537" t="s">
        <v>662</v>
      </c>
      <c r="S104" s="537" t="s">
        <v>662</v>
      </c>
      <c r="T104" s="537" t="s">
        <v>663</v>
      </c>
      <c r="U104" s="537" t="s">
        <v>663</v>
      </c>
      <c r="V104" s="544" t="s">
        <v>663</v>
      </c>
      <c r="W104" s="544" t="s">
        <v>663</v>
      </c>
      <c r="X104" s="544" t="s">
        <v>663</v>
      </c>
      <c r="Y104" s="544" t="s">
        <v>663</v>
      </c>
      <c r="Z104" s="544" t="s">
        <v>663</v>
      </c>
      <c r="AA104" s="544" t="s">
        <v>663</v>
      </c>
      <c r="AB104" s="537" t="str">
        <f t="shared" si="24"/>
        <v>PHY</v>
      </c>
      <c r="AC104" s="537" t="s">
        <v>1192</v>
      </c>
      <c r="AD104" s="545" t="str" cm="1">
        <f t="array" ref="AD104">IF(SUMPRODUCT(ISNUMBER(SEARCH("y",R104:AA104))+0)=0,"",IF(AA104="y","400G",IF(Z104="y","100G",IF(X104="y","40G",IF(V104="y","10G",IF(S104="y","1G",IF(R104="y","100M",""))))))&amp;" "&amp;AB104&amp;" "&amp;AC104)</f>
        <v>1G PHY UPLINK</v>
      </c>
      <c r="AE104" s="546" t="str">
        <f t="shared" si="23"/>
        <v/>
      </c>
      <c r="AF104" s="912" t="str">
        <f t="shared" si="13"/>
        <v>ns</v>
      </c>
      <c r="AG104" s="405" t="str">
        <f t="shared" si="14"/>
        <v>.</v>
      </c>
      <c r="AH104" s="405" t="str">
        <f t="shared" si="22"/>
        <v>.</v>
      </c>
      <c r="AI104" s="405" t="str">
        <f t="shared" si="15"/>
        <v>ns</v>
      </c>
      <c r="AJ104" s="405" t="str">
        <f t="shared" si="16"/>
        <v>ns</v>
      </c>
      <c r="AK104" s="922" t="str">
        <f t="shared" si="17"/>
        <v>ns</v>
      </c>
      <c r="AL104" s="405" t="str">
        <f t="shared" si="17"/>
        <v>ns</v>
      </c>
      <c r="AM104" s="912" t="str">
        <f t="shared" si="18"/>
        <v>ns</v>
      </c>
      <c r="AN104" s="405" t="str">
        <f t="shared" si="19"/>
        <v>ns</v>
      </c>
      <c r="AO104" s="405" t="str">
        <f t="shared" si="20"/>
        <v>ns</v>
      </c>
      <c r="AP104" s="405" t="str">
        <f t="shared" si="21"/>
        <v>ns</v>
      </c>
      <c r="AQ104" s="547"/>
    </row>
    <row r="105" spans="1:212" s="536" customFormat="1">
      <c r="A105" s="504">
        <v>105</v>
      </c>
      <c r="B105" s="525" t="s">
        <v>55</v>
      </c>
      <c r="C105" s="526">
        <v>442</v>
      </c>
      <c r="D105" s="525" t="s">
        <v>680</v>
      </c>
      <c r="E105" s="525" t="s">
        <v>1366</v>
      </c>
      <c r="F105" s="525" t="s">
        <v>663</v>
      </c>
      <c r="G105" s="525" t="s">
        <v>661</v>
      </c>
      <c r="H105" s="527" t="s">
        <v>681</v>
      </c>
      <c r="I105" s="528" t="s">
        <v>682</v>
      </c>
      <c r="J105" s="529" t="s">
        <v>683</v>
      </c>
      <c r="K105" s="528" t="s">
        <v>197</v>
      </c>
      <c r="L105" s="565" t="s">
        <v>197</v>
      </c>
      <c r="M105" s="566" t="s">
        <v>197</v>
      </c>
      <c r="N105" s="531" t="s">
        <v>655</v>
      </c>
      <c r="O105" s="532" t="s">
        <v>1365</v>
      </c>
      <c r="P105" s="525" t="s">
        <v>1125</v>
      </c>
      <c r="Q105" s="532" t="s">
        <v>663</v>
      </c>
      <c r="R105" s="525" t="s">
        <v>662</v>
      </c>
      <c r="S105" s="525" t="s">
        <v>662</v>
      </c>
      <c r="T105" s="525" t="s">
        <v>663</v>
      </c>
      <c r="U105" s="525" t="s">
        <v>663</v>
      </c>
      <c r="V105" s="532" t="s">
        <v>663</v>
      </c>
      <c r="W105" s="532" t="s">
        <v>663</v>
      </c>
      <c r="X105" s="532" t="s">
        <v>663</v>
      </c>
      <c r="Y105" s="532" t="s">
        <v>663</v>
      </c>
      <c r="Z105" s="532" t="s">
        <v>663</v>
      </c>
      <c r="AA105" s="532" t="s">
        <v>663</v>
      </c>
      <c r="AB105" s="525" t="str">
        <f t="shared" si="24"/>
        <v>PHY</v>
      </c>
      <c r="AC105" s="525" t="s">
        <v>1206</v>
      </c>
      <c r="AD105" s="533" t="str" cm="1">
        <f t="array" ref="AD105">IF(SUMPRODUCT(ISNUMBER(SEARCH("y",R105:AA105))+0)=0,"",IF(AA105="y","400G",IF(Z105="y","100G",IF(X105="y","40G",IF(V105="y","10G",IF(S105="y","1G",IF(R105="y","100M",""))))))&amp;" "&amp;AB105&amp;" "&amp;AC105)</f>
        <v>1G PHY COMBO</v>
      </c>
      <c r="AE105" s="534" t="str">
        <f t="shared" si="23"/>
        <v/>
      </c>
      <c r="AF105" s="910" t="str">
        <f t="shared" si="13"/>
        <v>ns</v>
      </c>
      <c r="AG105" s="911" t="str">
        <f t="shared" si="14"/>
        <v>.</v>
      </c>
      <c r="AH105" s="911" t="str">
        <f t="shared" si="22"/>
        <v>.</v>
      </c>
      <c r="AI105" s="911" t="str">
        <f t="shared" si="15"/>
        <v>ns</v>
      </c>
      <c r="AJ105" s="911" t="str">
        <f t="shared" si="16"/>
        <v>ns</v>
      </c>
      <c r="AK105" s="921" t="str">
        <f t="shared" si="17"/>
        <v>ns</v>
      </c>
      <c r="AL105" s="908" t="str">
        <f t="shared" si="17"/>
        <v>ns</v>
      </c>
      <c r="AM105" s="909" t="str">
        <f t="shared" si="18"/>
        <v>ns</v>
      </c>
      <c r="AN105" s="908" t="str">
        <f t="shared" si="19"/>
        <v>ns</v>
      </c>
      <c r="AO105" s="908" t="str">
        <f t="shared" si="20"/>
        <v>ns</v>
      </c>
      <c r="AP105" s="908" t="str">
        <f t="shared" si="21"/>
        <v>ns</v>
      </c>
      <c r="AQ105" s="53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row>
    <row r="106" spans="1:212" s="536" customFormat="1">
      <c r="A106" s="504">
        <v>106</v>
      </c>
      <c r="B106" s="525" t="s">
        <v>55</v>
      </c>
      <c r="C106" s="526">
        <v>442</v>
      </c>
      <c r="D106" s="525" t="s">
        <v>680</v>
      </c>
      <c r="E106" s="525" t="s">
        <v>1366</v>
      </c>
      <c r="F106" s="525" t="s">
        <v>663</v>
      </c>
      <c r="G106" s="525" t="s">
        <v>661</v>
      </c>
      <c r="H106" s="527" t="s">
        <v>681</v>
      </c>
      <c r="I106" s="528" t="s">
        <v>682</v>
      </c>
      <c r="J106" s="529" t="s">
        <v>688</v>
      </c>
      <c r="K106" s="528" t="s">
        <v>197</v>
      </c>
      <c r="L106" s="565" t="s">
        <v>197</v>
      </c>
      <c r="M106" s="566" t="s">
        <v>197</v>
      </c>
      <c r="N106" s="531" t="s">
        <v>689</v>
      </c>
      <c r="O106" s="532" t="s">
        <v>1367</v>
      </c>
      <c r="P106" s="525" t="s">
        <v>689</v>
      </c>
      <c r="Q106" s="532" t="s">
        <v>663</v>
      </c>
      <c r="R106" s="532" t="s">
        <v>663</v>
      </c>
      <c r="S106" s="532" t="s">
        <v>663</v>
      </c>
      <c r="T106" s="525" t="s">
        <v>663</v>
      </c>
      <c r="U106" s="525" t="s">
        <v>663</v>
      </c>
      <c r="V106" s="532" t="s">
        <v>662</v>
      </c>
      <c r="W106" s="532" t="s">
        <v>663</v>
      </c>
      <c r="X106" s="532" t="s">
        <v>663</v>
      </c>
      <c r="Y106" s="532" t="s">
        <v>663</v>
      </c>
      <c r="Z106" s="532" t="s">
        <v>663</v>
      </c>
      <c r="AA106" s="532" t="s">
        <v>663</v>
      </c>
      <c r="AB106" s="525" t="str">
        <f t="shared" si="24"/>
        <v>DC</v>
      </c>
      <c r="AC106" s="525" t="s">
        <v>1192</v>
      </c>
      <c r="AD106" s="533" t="str" cm="1">
        <f t="array" ref="AD106">IF(SUMPRODUCT(ISNUMBER(SEARCH("y",R106:AA106))+0)=0,"",IF(AA106="y","400G",IF(Z106="y","100G",IF(X106="y","40G",IF(V106="y","10G",IF(S106="y","1G",IF(R106="y","100M",""))))))&amp;" "&amp;AB106&amp;" "&amp;AC106)</f>
        <v>10G DC UPLINK</v>
      </c>
      <c r="AE106" s="534" t="str">
        <f t="shared" si="23"/>
        <v/>
      </c>
      <c r="AF106" s="910" t="str">
        <f t="shared" si="13"/>
        <v>ns</v>
      </c>
      <c r="AG106" s="911" t="str">
        <f t="shared" si="14"/>
        <v>ns</v>
      </c>
      <c r="AH106" s="911" t="str">
        <f t="shared" si="22"/>
        <v>ns</v>
      </c>
      <c r="AI106" s="911" t="str">
        <f t="shared" si="15"/>
        <v>ns</v>
      </c>
      <c r="AJ106" s="911" t="str">
        <f t="shared" si="16"/>
        <v>ns</v>
      </c>
      <c r="AK106" s="921" t="str">
        <f t="shared" si="17"/>
        <v>.</v>
      </c>
      <c r="AL106" s="908" t="str">
        <f t="shared" si="17"/>
        <v>ns</v>
      </c>
      <c r="AM106" s="909" t="str">
        <f t="shared" si="18"/>
        <v>ns</v>
      </c>
      <c r="AN106" s="908" t="str">
        <f t="shared" si="19"/>
        <v>ns</v>
      </c>
      <c r="AO106" s="908" t="str">
        <f t="shared" si="20"/>
        <v>ns</v>
      </c>
      <c r="AP106" s="908" t="str">
        <f t="shared" si="21"/>
        <v>ns</v>
      </c>
      <c r="AQ106" s="535"/>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row>
    <row r="107" spans="1:212" s="536" customFormat="1">
      <c r="A107" s="504">
        <v>107</v>
      </c>
      <c r="B107" s="525" t="s">
        <v>55</v>
      </c>
      <c r="C107" s="526">
        <v>443</v>
      </c>
      <c r="D107" s="525" t="s">
        <v>685</v>
      </c>
      <c r="E107" s="525" t="s">
        <v>1368</v>
      </c>
      <c r="F107" s="525" t="s">
        <v>663</v>
      </c>
      <c r="G107" s="525" t="s">
        <v>661</v>
      </c>
      <c r="H107" s="527" t="s">
        <v>681</v>
      </c>
      <c r="I107" s="528" t="s">
        <v>682</v>
      </c>
      <c r="J107" s="529" t="s">
        <v>683</v>
      </c>
      <c r="K107" s="528" t="s">
        <v>685</v>
      </c>
      <c r="L107" s="567" t="s">
        <v>686</v>
      </c>
      <c r="M107" s="568" t="s">
        <v>687</v>
      </c>
      <c r="N107" s="531" t="s">
        <v>655</v>
      </c>
      <c r="O107" s="532" t="s">
        <v>1365</v>
      </c>
      <c r="P107" s="525" t="s">
        <v>1125</v>
      </c>
      <c r="Q107" s="532" t="s">
        <v>663</v>
      </c>
      <c r="R107" s="525" t="s">
        <v>662</v>
      </c>
      <c r="S107" s="525" t="s">
        <v>662</v>
      </c>
      <c r="T107" s="525" t="s">
        <v>663</v>
      </c>
      <c r="U107" s="525" t="s">
        <v>663</v>
      </c>
      <c r="V107" s="532" t="s">
        <v>663</v>
      </c>
      <c r="W107" s="532" t="s">
        <v>663</v>
      </c>
      <c r="X107" s="532" t="s">
        <v>663</v>
      </c>
      <c r="Y107" s="532" t="s">
        <v>663</v>
      </c>
      <c r="Z107" s="532" t="s">
        <v>663</v>
      </c>
      <c r="AA107" s="532" t="s">
        <v>663</v>
      </c>
      <c r="AB107" s="525" t="str">
        <f t="shared" si="24"/>
        <v>PHY</v>
      </c>
      <c r="AC107" s="525" t="s">
        <v>1206</v>
      </c>
      <c r="AD107" s="533" t="str" cm="1">
        <f t="array" ref="AD107">IF(SUMPRODUCT(ISNUMBER(SEARCH("y",R107:AA107))+0)=0,"",IF(AA107="y","400G",IF(Z107="y","100G",IF(X107="y","40G",IF(V107="y","10G",IF(S107="y","1G",IF(R107="y","100M",""))))))&amp;" "&amp;AB107&amp;" "&amp;AC107)</f>
        <v>1G PHY COMBO</v>
      </c>
      <c r="AE107" s="534" t="str">
        <f t="shared" si="23"/>
        <v>AT-GS924MPX 1G PHY COMBO</v>
      </c>
      <c r="AF107" s="910" t="str">
        <f t="shared" si="13"/>
        <v>ns</v>
      </c>
      <c r="AG107" s="911" t="str">
        <f t="shared" si="14"/>
        <v>.</v>
      </c>
      <c r="AH107" s="911" t="str">
        <f t="shared" si="22"/>
        <v>.</v>
      </c>
      <c r="AI107" s="911" t="str">
        <f t="shared" si="15"/>
        <v>ns</v>
      </c>
      <c r="AJ107" s="911" t="str">
        <f t="shared" si="16"/>
        <v>ns</v>
      </c>
      <c r="AK107" s="921" t="str">
        <f t="shared" si="17"/>
        <v>ns</v>
      </c>
      <c r="AL107" s="908" t="str">
        <f t="shared" si="17"/>
        <v>ns</v>
      </c>
      <c r="AM107" s="909" t="str">
        <f t="shared" si="18"/>
        <v>ns</v>
      </c>
      <c r="AN107" s="908" t="str">
        <f t="shared" si="19"/>
        <v>ns</v>
      </c>
      <c r="AO107" s="908" t="str">
        <f t="shared" si="20"/>
        <v>ns</v>
      </c>
      <c r="AP107" s="908" t="str">
        <f t="shared" si="21"/>
        <v>ns</v>
      </c>
      <c r="AQ107" s="535"/>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row>
    <row r="108" spans="1:212" s="536" customFormat="1">
      <c r="A108" s="504">
        <v>108</v>
      </c>
      <c r="B108" s="525" t="s">
        <v>55</v>
      </c>
      <c r="C108" s="526">
        <v>443</v>
      </c>
      <c r="D108" s="525" t="s">
        <v>685</v>
      </c>
      <c r="E108" s="525" t="s">
        <v>1368</v>
      </c>
      <c r="F108" s="525" t="s">
        <v>663</v>
      </c>
      <c r="G108" s="525" t="s">
        <v>661</v>
      </c>
      <c r="H108" s="527" t="s">
        <v>681</v>
      </c>
      <c r="I108" s="528" t="s">
        <v>682</v>
      </c>
      <c r="J108" s="529" t="s">
        <v>688</v>
      </c>
      <c r="K108" s="528" t="s">
        <v>685</v>
      </c>
      <c r="L108" s="567" t="s">
        <v>686</v>
      </c>
      <c r="M108" s="568" t="s">
        <v>687</v>
      </c>
      <c r="N108" s="531" t="s">
        <v>689</v>
      </c>
      <c r="O108" s="532" t="s">
        <v>1367</v>
      </c>
      <c r="P108" s="525" t="s">
        <v>689</v>
      </c>
      <c r="Q108" s="532" t="s">
        <v>663</v>
      </c>
      <c r="R108" s="532" t="s">
        <v>663</v>
      </c>
      <c r="S108" s="532" t="s">
        <v>663</v>
      </c>
      <c r="T108" s="525" t="s">
        <v>663</v>
      </c>
      <c r="U108" s="525" t="s">
        <v>663</v>
      </c>
      <c r="V108" s="532" t="s">
        <v>662</v>
      </c>
      <c r="W108" s="532" t="s">
        <v>663</v>
      </c>
      <c r="X108" s="532" t="s">
        <v>663</v>
      </c>
      <c r="Y108" s="532" t="s">
        <v>663</v>
      </c>
      <c r="Z108" s="532" t="s">
        <v>663</v>
      </c>
      <c r="AA108" s="532" t="s">
        <v>663</v>
      </c>
      <c r="AB108" s="525" t="str">
        <f t="shared" si="24"/>
        <v>DC</v>
      </c>
      <c r="AC108" s="525" t="s">
        <v>1192</v>
      </c>
      <c r="AD108" s="533" t="str" cm="1">
        <f t="array" ref="AD108">IF(SUMPRODUCT(ISNUMBER(SEARCH("y",R108:AA108))+0)=0,"",IF(AA108="y","400G",IF(Z108="y","100G",IF(X108="y","40G",IF(V108="y","10G",IF(S108="y","1G",IF(R108="y","100M",""))))))&amp;" "&amp;AB108&amp;" "&amp;AC108)</f>
        <v>10G DC UPLINK</v>
      </c>
      <c r="AE108" s="534" t="str">
        <f t="shared" si="23"/>
        <v>AT-GS924MPX 10G DC UPLINK</v>
      </c>
      <c r="AF108" s="910" t="str">
        <f t="shared" si="13"/>
        <v>ns</v>
      </c>
      <c r="AG108" s="911" t="str">
        <f t="shared" si="14"/>
        <v>ns</v>
      </c>
      <c r="AH108" s="911" t="str">
        <f t="shared" si="22"/>
        <v>ns</v>
      </c>
      <c r="AI108" s="911" t="str">
        <f t="shared" si="15"/>
        <v>ns</v>
      </c>
      <c r="AJ108" s="911" t="str">
        <f t="shared" si="16"/>
        <v>ns</v>
      </c>
      <c r="AK108" s="921" t="str">
        <f t="shared" si="17"/>
        <v>.</v>
      </c>
      <c r="AL108" s="908" t="str">
        <f t="shared" si="17"/>
        <v>ns</v>
      </c>
      <c r="AM108" s="909" t="str">
        <f t="shared" si="18"/>
        <v>ns</v>
      </c>
      <c r="AN108" s="908" t="str">
        <f t="shared" si="19"/>
        <v>ns</v>
      </c>
      <c r="AO108" s="908" t="str">
        <f t="shared" si="20"/>
        <v>ns</v>
      </c>
      <c r="AP108" s="908" t="str">
        <f t="shared" si="21"/>
        <v>ns</v>
      </c>
      <c r="AQ108" s="535"/>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row>
    <row r="109" spans="1:212" s="536" customFormat="1">
      <c r="A109" s="504">
        <v>109</v>
      </c>
      <c r="B109" s="525" t="s">
        <v>55</v>
      </c>
      <c r="C109" s="526">
        <v>444</v>
      </c>
      <c r="D109" s="525" t="s">
        <v>691</v>
      </c>
      <c r="E109" s="525" t="s">
        <v>1369</v>
      </c>
      <c r="F109" s="525" t="s">
        <v>663</v>
      </c>
      <c r="G109" s="525" t="s">
        <v>661</v>
      </c>
      <c r="H109" s="527" t="s">
        <v>681</v>
      </c>
      <c r="I109" s="528" t="s">
        <v>682</v>
      </c>
      <c r="J109" s="529" t="s">
        <v>683</v>
      </c>
      <c r="K109" s="528" t="s">
        <v>197</v>
      </c>
      <c r="L109" s="565" t="s">
        <v>197</v>
      </c>
      <c r="M109" s="566" t="s">
        <v>197</v>
      </c>
      <c r="N109" s="531" t="s">
        <v>655</v>
      </c>
      <c r="O109" s="532" t="s">
        <v>1370</v>
      </c>
      <c r="P109" s="525" t="s">
        <v>1125</v>
      </c>
      <c r="Q109" s="532" t="s">
        <v>663</v>
      </c>
      <c r="R109" s="525" t="s">
        <v>662</v>
      </c>
      <c r="S109" s="525" t="s">
        <v>662</v>
      </c>
      <c r="T109" s="525" t="s">
        <v>663</v>
      </c>
      <c r="U109" s="525" t="s">
        <v>663</v>
      </c>
      <c r="V109" s="532" t="s">
        <v>663</v>
      </c>
      <c r="W109" s="532" t="s">
        <v>663</v>
      </c>
      <c r="X109" s="532" t="s">
        <v>663</v>
      </c>
      <c r="Y109" s="532" t="s">
        <v>663</v>
      </c>
      <c r="Z109" s="532" t="s">
        <v>663</v>
      </c>
      <c r="AA109" s="532" t="s">
        <v>663</v>
      </c>
      <c r="AB109" s="525" t="str">
        <f t="shared" si="24"/>
        <v>PHY</v>
      </c>
      <c r="AC109" s="525" t="s">
        <v>1206</v>
      </c>
      <c r="AD109" s="533" t="str" cm="1">
        <f t="array" ref="AD109">IF(SUMPRODUCT(ISNUMBER(SEARCH("y",R109:AA109))+0)=0,"",IF(AA109="y","400G",IF(Z109="y","100G",IF(X109="y","40G",IF(V109="y","10G",IF(S109="y","1G",IF(R109="y","100M",""))))))&amp;" "&amp;AB109&amp;" "&amp;AC109)</f>
        <v>1G PHY COMBO</v>
      </c>
      <c r="AE109" s="534" t="str">
        <f t="shared" si="23"/>
        <v/>
      </c>
      <c r="AF109" s="910" t="str">
        <f t="shared" si="13"/>
        <v>ns</v>
      </c>
      <c r="AG109" s="911" t="str">
        <f t="shared" si="14"/>
        <v>.</v>
      </c>
      <c r="AH109" s="911" t="str">
        <f t="shared" si="22"/>
        <v>.</v>
      </c>
      <c r="AI109" s="911" t="str">
        <f t="shared" si="15"/>
        <v>ns</v>
      </c>
      <c r="AJ109" s="911" t="str">
        <f t="shared" si="16"/>
        <v>ns</v>
      </c>
      <c r="AK109" s="921" t="str">
        <f t="shared" si="17"/>
        <v>ns</v>
      </c>
      <c r="AL109" s="908" t="str">
        <f t="shared" si="17"/>
        <v>ns</v>
      </c>
      <c r="AM109" s="909" t="str">
        <f t="shared" si="18"/>
        <v>ns</v>
      </c>
      <c r="AN109" s="908" t="str">
        <f t="shared" si="19"/>
        <v>ns</v>
      </c>
      <c r="AO109" s="908" t="str">
        <f t="shared" si="20"/>
        <v>ns</v>
      </c>
      <c r="AP109" s="908" t="str">
        <f t="shared" si="21"/>
        <v>ns</v>
      </c>
      <c r="AQ109" s="535"/>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row>
    <row r="110" spans="1:212" s="536" customFormat="1">
      <c r="A110" s="504">
        <v>110</v>
      </c>
      <c r="B110" s="525" t="s">
        <v>55</v>
      </c>
      <c r="C110" s="526">
        <v>444</v>
      </c>
      <c r="D110" s="525" t="s">
        <v>691</v>
      </c>
      <c r="E110" s="525" t="s">
        <v>1369</v>
      </c>
      <c r="F110" s="525" t="s">
        <v>663</v>
      </c>
      <c r="G110" s="525" t="s">
        <v>661</v>
      </c>
      <c r="H110" s="527" t="s">
        <v>681</v>
      </c>
      <c r="I110" s="528" t="s">
        <v>682</v>
      </c>
      <c r="J110" s="529" t="s">
        <v>688</v>
      </c>
      <c r="K110" s="528" t="s">
        <v>197</v>
      </c>
      <c r="L110" s="565" t="s">
        <v>197</v>
      </c>
      <c r="M110" s="566" t="s">
        <v>197</v>
      </c>
      <c r="N110" s="531" t="s">
        <v>689</v>
      </c>
      <c r="O110" s="532" t="s">
        <v>1371</v>
      </c>
      <c r="P110" s="525" t="s">
        <v>689</v>
      </c>
      <c r="Q110" s="532" t="s">
        <v>663</v>
      </c>
      <c r="R110" s="532" t="s">
        <v>663</v>
      </c>
      <c r="S110" s="532" t="s">
        <v>663</v>
      </c>
      <c r="T110" s="525" t="s">
        <v>663</v>
      </c>
      <c r="U110" s="525" t="s">
        <v>663</v>
      </c>
      <c r="V110" s="532" t="s">
        <v>662</v>
      </c>
      <c r="W110" s="532" t="s">
        <v>663</v>
      </c>
      <c r="X110" s="532" t="s">
        <v>663</v>
      </c>
      <c r="Y110" s="532" t="s">
        <v>663</v>
      </c>
      <c r="Z110" s="532" t="s">
        <v>663</v>
      </c>
      <c r="AA110" s="532" t="s">
        <v>663</v>
      </c>
      <c r="AB110" s="525" t="str">
        <f t="shared" si="24"/>
        <v>DC</v>
      </c>
      <c r="AC110" s="525" t="s">
        <v>1192</v>
      </c>
      <c r="AD110" s="533" t="str" cm="1">
        <f t="array" ref="AD110">IF(SUMPRODUCT(ISNUMBER(SEARCH("y",R110:AA110))+0)=0,"",IF(AA110="y","400G",IF(Z110="y","100G",IF(X110="y","40G",IF(V110="y","10G",IF(S110="y","1G",IF(R110="y","100M",""))))))&amp;" "&amp;AB110&amp;" "&amp;AC110)</f>
        <v>10G DC UPLINK</v>
      </c>
      <c r="AE110" s="534" t="str">
        <f t="shared" si="23"/>
        <v/>
      </c>
      <c r="AF110" s="910" t="str">
        <f t="shared" si="13"/>
        <v>ns</v>
      </c>
      <c r="AG110" s="911" t="str">
        <f t="shared" si="14"/>
        <v>ns</v>
      </c>
      <c r="AH110" s="911" t="str">
        <f t="shared" si="22"/>
        <v>ns</v>
      </c>
      <c r="AI110" s="911" t="str">
        <f t="shared" si="15"/>
        <v>ns</v>
      </c>
      <c r="AJ110" s="911" t="str">
        <f t="shared" si="16"/>
        <v>ns</v>
      </c>
      <c r="AK110" s="921" t="str">
        <f t="shared" si="17"/>
        <v>.</v>
      </c>
      <c r="AL110" s="908" t="str">
        <f t="shared" si="17"/>
        <v>ns</v>
      </c>
      <c r="AM110" s="909" t="str">
        <f t="shared" si="18"/>
        <v>ns</v>
      </c>
      <c r="AN110" s="908" t="str">
        <f t="shared" si="19"/>
        <v>ns</v>
      </c>
      <c r="AO110" s="908" t="str">
        <f t="shared" si="20"/>
        <v>ns</v>
      </c>
      <c r="AP110" s="908" t="str">
        <f t="shared" si="21"/>
        <v>ns</v>
      </c>
      <c r="AQ110" s="535"/>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row>
    <row r="111" spans="1:212" s="536" customFormat="1">
      <c r="A111" s="504">
        <v>111</v>
      </c>
      <c r="B111" s="525" t="s">
        <v>55</v>
      </c>
      <c r="C111" s="526">
        <v>445</v>
      </c>
      <c r="D111" s="525" t="s">
        <v>692</v>
      </c>
      <c r="E111" s="525" t="s">
        <v>1372</v>
      </c>
      <c r="F111" s="525" t="s">
        <v>663</v>
      </c>
      <c r="G111" s="525" t="s">
        <v>661</v>
      </c>
      <c r="H111" s="527" t="s">
        <v>681</v>
      </c>
      <c r="I111" s="528" t="s">
        <v>682</v>
      </c>
      <c r="J111" s="529" t="s">
        <v>683</v>
      </c>
      <c r="K111" s="528" t="s">
        <v>197</v>
      </c>
      <c r="L111" s="565" t="s">
        <v>197</v>
      </c>
      <c r="M111" s="566" t="s">
        <v>197</v>
      </c>
      <c r="N111" s="531" t="s">
        <v>655</v>
      </c>
      <c r="O111" s="532" t="s">
        <v>1370</v>
      </c>
      <c r="P111" s="525" t="s">
        <v>1125</v>
      </c>
      <c r="Q111" s="532" t="s">
        <v>663</v>
      </c>
      <c r="R111" s="525" t="s">
        <v>662</v>
      </c>
      <c r="S111" s="525" t="s">
        <v>662</v>
      </c>
      <c r="T111" s="525" t="s">
        <v>663</v>
      </c>
      <c r="U111" s="525" t="s">
        <v>663</v>
      </c>
      <c r="V111" s="532" t="s">
        <v>663</v>
      </c>
      <c r="W111" s="532" t="s">
        <v>663</v>
      </c>
      <c r="X111" s="532" t="s">
        <v>663</v>
      </c>
      <c r="Y111" s="532" t="s">
        <v>663</v>
      </c>
      <c r="Z111" s="532" t="s">
        <v>663</v>
      </c>
      <c r="AA111" s="532" t="s">
        <v>663</v>
      </c>
      <c r="AB111" s="525" t="str">
        <f t="shared" si="24"/>
        <v>PHY</v>
      </c>
      <c r="AC111" s="525" t="s">
        <v>1206</v>
      </c>
      <c r="AD111" s="533" t="str" cm="1">
        <f t="array" ref="AD111">IF(SUMPRODUCT(ISNUMBER(SEARCH("y",R111:AA111))+0)=0,"",IF(AA111="y","400G",IF(Z111="y","100G",IF(X111="y","40G",IF(V111="y","10G",IF(S111="y","1G",IF(R111="y","100M",""))))))&amp;" "&amp;AB111&amp;" "&amp;AC111)</f>
        <v>1G PHY COMBO</v>
      </c>
      <c r="AE111" s="534" t="str">
        <f t="shared" si="23"/>
        <v/>
      </c>
      <c r="AF111" s="910" t="str">
        <f t="shared" si="13"/>
        <v>ns</v>
      </c>
      <c r="AG111" s="911" t="str">
        <f t="shared" si="14"/>
        <v>.</v>
      </c>
      <c r="AH111" s="911" t="str">
        <f t="shared" si="22"/>
        <v>.</v>
      </c>
      <c r="AI111" s="911" t="str">
        <f t="shared" si="15"/>
        <v>ns</v>
      </c>
      <c r="AJ111" s="911" t="str">
        <f t="shared" si="16"/>
        <v>ns</v>
      </c>
      <c r="AK111" s="921" t="str">
        <f t="shared" si="17"/>
        <v>ns</v>
      </c>
      <c r="AL111" s="908" t="str">
        <f t="shared" si="17"/>
        <v>ns</v>
      </c>
      <c r="AM111" s="909" t="str">
        <f t="shared" si="18"/>
        <v>ns</v>
      </c>
      <c r="AN111" s="908" t="str">
        <f t="shared" si="19"/>
        <v>ns</v>
      </c>
      <c r="AO111" s="908" t="str">
        <f t="shared" si="20"/>
        <v>ns</v>
      </c>
      <c r="AP111" s="908" t="str">
        <f t="shared" si="21"/>
        <v>ns</v>
      </c>
      <c r="AQ111" s="535"/>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row>
    <row r="112" spans="1:212" s="536" customFormat="1">
      <c r="A112" s="504">
        <v>112</v>
      </c>
      <c r="B112" s="525" t="s">
        <v>55</v>
      </c>
      <c r="C112" s="526">
        <v>445</v>
      </c>
      <c r="D112" s="525" t="s">
        <v>692</v>
      </c>
      <c r="E112" s="525" t="s">
        <v>1372</v>
      </c>
      <c r="F112" s="525" t="s">
        <v>663</v>
      </c>
      <c r="G112" s="525" t="s">
        <v>661</v>
      </c>
      <c r="H112" s="527" t="s">
        <v>681</v>
      </c>
      <c r="I112" s="528" t="s">
        <v>682</v>
      </c>
      <c r="J112" s="529" t="s">
        <v>688</v>
      </c>
      <c r="K112" s="528" t="s">
        <v>197</v>
      </c>
      <c r="L112" s="565" t="s">
        <v>197</v>
      </c>
      <c r="M112" s="566" t="s">
        <v>197</v>
      </c>
      <c r="N112" s="531" t="s">
        <v>689</v>
      </c>
      <c r="O112" s="532" t="s">
        <v>1371</v>
      </c>
      <c r="P112" s="525" t="s">
        <v>689</v>
      </c>
      <c r="Q112" s="532" t="s">
        <v>663</v>
      </c>
      <c r="R112" s="532" t="s">
        <v>663</v>
      </c>
      <c r="S112" s="532" t="s">
        <v>663</v>
      </c>
      <c r="T112" s="525" t="s">
        <v>663</v>
      </c>
      <c r="U112" s="525" t="s">
        <v>663</v>
      </c>
      <c r="V112" s="532" t="s">
        <v>662</v>
      </c>
      <c r="W112" s="532" t="s">
        <v>663</v>
      </c>
      <c r="X112" s="532" t="s">
        <v>663</v>
      </c>
      <c r="Y112" s="532" t="s">
        <v>663</v>
      </c>
      <c r="Z112" s="532" t="s">
        <v>663</v>
      </c>
      <c r="AA112" s="532" t="s">
        <v>663</v>
      </c>
      <c r="AB112" s="525" t="str">
        <f t="shared" si="24"/>
        <v>DC</v>
      </c>
      <c r="AC112" s="525" t="s">
        <v>1192</v>
      </c>
      <c r="AD112" s="533" t="str" cm="1">
        <f t="array" ref="AD112">IF(SUMPRODUCT(ISNUMBER(SEARCH("y",R112:AA112))+0)=0,"",IF(AA112="y","400G",IF(Z112="y","100G",IF(X112="y","40G",IF(V112="y","10G",IF(S112="y","1G",IF(R112="y","100M",""))))))&amp;" "&amp;AB112&amp;" "&amp;AC112)</f>
        <v>10G DC UPLINK</v>
      </c>
      <c r="AE112" s="534" t="str">
        <f t="shared" si="23"/>
        <v/>
      </c>
      <c r="AF112" s="910" t="str">
        <f t="shared" si="13"/>
        <v>ns</v>
      </c>
      <c r="AG112" s="911" t="str">
        <f t="shared" si="14"/>
        <v>ns</v>
      </c>
      <c r="AH112" s="911" t="str">
        <f t="shared" si="22"/>
        <v>ns</v>
      </c>
      <c r="AI112" s="911" t="str">
        <f t="shared" si="15"/>
        <v>ns</v>
      </c>
      <c r="AJ112" s="911" t="str">
        <f t="shared" si="16"/>
        <v>ns</v>
      </c>
      <c r="AK112" s="921" t="str">
        <f t="shared" si="17"/>
        <v>.</v>
      </c>
      <c r="AL112" s="908" t="str">
        <f t="shared" si="17"/>
        <v>ns</v>
      </c>
      <c r="AM112" s="909" t="str">
        <f t="shared" si="18"/>
        <v>ns</v>
      </c>
      <c r="AN112" s="908" t="str">
        <f t="shared" si="19"/>
        <v>ns</v>
      </c>
      <c r="AO112" s="908" t="str">
        <f t="shared" si="20"/>
        <v>ns</v>
      </c>
      <c r="AP112" s="908" t="str">
        <f t="shared" si="21"/>
        <v>ns</v>
      </c>
      <c r="AQ112" s="535"/>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row>
    <row r="113" spans="1:212" s="536" customFormat="1">
      <c r="A113" s="504">
        <v>113</v>
      </c>
      <c r="B113" s="525" t="s">
        <v>53</v>
      </c>
      <c r="C113" s="526">
        <v>437</v>
      </c>
      <c r="D113" s="525" t="s">
        <v>1373</v>
      </c>
      <c r="E113" s="525" t="s">
        <v>1374</v>
      </c>
      <c r="F113" s="525" t="s">
        <v>663</v>
      </c>
      <c r="G113" s="525" t="s">
        <v>661</v>
      </c>
      <c r="H113" s="527" t="s">
        <v>681</v>
      </c>
      <c r="I113" s="528" t="s">
        <v>717</v>
      </c>
      <c r="J113" s="529" t="s">
        <v>718</v>
      </c>
      <c r="K113" s="528" t="s">
        <v>197</v>
      </c>
      <c r="L113" s="565" t="s">
        <v>197</v>
      </c>
      <c r="M113" s="566" t="s">
        <v>197</v>
      </c>
      <c r="N113" s="531" t="s">
        <v>671</v>
      </c>
      <c r="O113" s="532" t="s">
        <v>732</v>
      </c>
      <c r="P113" s="525" t="s">
        <v>827</v>
      </c>
      <c r="Q113" s="532" t="s">
        <v>662</v>
      </c>
      <c r="R113" s="525" t="s">
        <v>662</v>
      </c>
      <c r="S113" s="525" t="s">
        <v>662</v>
      </c>
      <c r="T113" s="525" t="s">
        <v>663</v>
      </c>
      <c r="U113" s="525" t="s">
        <v>663</v>
      </c>
      <c r="V113" s="532" t="s">
        <v>663</v>
      </c>
      <c r="W113" s="532" t="s">
        <v>663</v>
      </c>
      <c r="X113" s="532" t="s">
        <v>663</v>
      </c>
      <c r="Y113" s="532" t="s">
        <v>663</v>
      </c>
      <c r="Z113" s="532" t="s">
        <v>663</v>
      </c>
      <c r="AA113" s="532" t="s">
        <v>663</v>
      </c>
      <c r="AB113" s="525" t="str">
        <f t="shared" si="24"/>
        <v>PHY</v>
      </c>
      <c r="AC113" s="525" t="s">
        <v>1201</v>
      </c>
      <c r="AD113" s="533" t="str" cm="1">
        <f t="array" ref="AD113">IF(SUMPRODUCT(ISNUMBER(SEARCH("y",R113:AA113))+0)=0,"",IF(AA113="y","400G",IF(Z113="y","100G",IF(X113="y","40G",IF(V113="y","10G",IF(S113="y","1G",IF(R113="y","100M",""))))))&amp;" "&amp;AB113&amp;" "&amp;AC113)</f>
        <v>1G PHY BASE</v>
      </c>
      <c r="AE113" s="534" t="str">
        <f t="shared" si="23"/>
        <v/>
      </c>
      <c r="AF113" s="910" t="str">
        <f t="shared" si="13"/>
        <v>.</v>
      </c>
      <c r="AG113" s="911" t="str">
        <f t="shared" si="14"/>
        <v>.</v>
      </c>
      <c r="AH113" s="911" t="str">
        <f t="shared" si="22"/>
        <v>.</v>
      </c>
      <c r="AI113" s="911" t="str">
        <f t="shared" si="15"/>
        <v>ns</v>
      </c>
      <c r="AJ113" s="911" t="str">
        <f t="shared" si="16"/>
        <v>ns</v>
      </c>
      <c r="AK113" s="921" t="str">
        <f t="shared" si="17"/>
        <v>ns</v>
      </c>
      <c r="AL113" s="908" t="str">
        <f t="shared" si="17"/>
        <v>ns</v>
      </c>
      <c r="AM113" s="909" t="str">
        <f t="shared" si="18"/>
        <v>ns</v>
      </c>
      <c r="AN113" s="908" t="str">
        <f t="shared" si="19"/>
        <v>ns</v>
      </c>
      <c r="AO113" s="908" t="str">
        <f t="shared" si="20"/>
        <v>ns</v>
      </c>
      <c r="AP113" s="908" t="str">
        <f t="shared" si="21"/>
        <v>ns</v>
      </c>
      <c r="AQ113" s="535"/>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row>
    <row r="114" spans="1:212" s="536" customFormat="1">
      <c r="A114" s="504">
        <v>114</v>
      </c>
      <c r="B114" s="525" t="s">
        <v>53</v>
      </c>
      <c r="C114" s="526">
        <v>438</v>
      </c>
      <c r="D114" s="525" t="s">
        <v>721</v>
      </c>
      <c r="E114" s="525" t="s">
        <v>1375</v>
      </c>
      <c r="F114" s="525" t="s">
        <v>663</v>
      </c>
      <c r="G114" s="525" t="s">
        <v>661</v>
      </c>
      <c r="H114" s="527" t="s">
        <v>681</v>
      </c>
      <c r="I114" s="528" t="s">
        <v>717</v>
      </c>
      <c r="J114" s="529" t="s">
        <v>718</v>
      </c>
      <c r="K114" s="528" t="s">
        <v>721</v>
      </c>
      <c r="L114" s="530" t="s">
        <v>686</v>
      </c>
      <c r="M114" s="529" t="s">
        <v>722</v>
      </c>
      <c r="N114" s="531" t="s">
        <v>671</v>
      </c>
      <c r="O114" s="532" t="s">
        <v>732</v>
      </c>
      <c r="P114" s="525" t="s">
        <v>827</v>
      </c>
      <c r="Q114" s="532" t="s">
        <v>662</v>
      </c>
      <c r="R114" s="525" t="s">
        <v>662</v>
      </c>
      <c r="S114" s="525" t="s">
        <v>662</v>
      </c>
      <c r="T114" s="525" t="s">
        <v>663</v>
      </c>
      <c r="U114" s="525" t="s">
        <v>663</v>
      </c>
      <c r="V114" s="532" t="s">
        <v>663</v>
      </c>
      <c r="W114" s="532" t="s">
        <v>663</v>
      </c>
      <c r="X114" s="532" t="s">
        <v>663</v>
      </c>
      <c r="Y114" s="532" t="s">
        <v>663</v>
      </c>
      <c r="Z114" s="532" t="s">
        <v>663</v>
      </c>
      <c r="AA114" s="532" t="s">
        <v>663</v>
      </c>
      <c r="AB114" s="525" t="str">
        <f t="shared" si="24"/>
        <v>PHY</v>
      </c>
      <c r="AC114" s="525" t="s">
        <v>1201</v>
      </c>
      <c r="AD114" s="533" t="str" cm="1">
        <f t="array" ref="AD114">IF(SUMPRODUCT(ISNUMBER(SEARCH("y",R114:AA114))+0)=0,"",IF(AA114="y","400G",IF(Z114="y","100G",IF(X114="y","40G",IF(V114="y","10G",IF(S114="y","1G",IF(R114="y","100M",""))))))&amp;" "&amp;AB114&amp;" "&amp;AC114)</f>
        <v>1G PHY BASE</v>
      </c>
      <c r="AE114" s="534" t="str">
        <f t="shared" si="23"/>
        <v>AT-IE300-12GP 1G PHY BASE</v>
      </c>
      <c r="AF114" s="910" t="str">
        <f t="shared" si="13"/>
        <v>.</v>
      </c>
      <c r="AG114" s="911" t="str">
        <f t="shared" si="14"/>
        <v>.</v>
      </c>
      <c r="AH114" s="911" t="str">
        <f t="shared" si="22"/>
        <v>.</v>
      </c>
      <c r="AI114" s="911" t="str">
        <f t="shared" si="15"/>
        <v>ns</v>
      </c>
      <c r="AJ114" s="911" t="str">
        <f t="shared" si="16"/>
        <v>ns</v>
      </c>
      <c r="AK114" s="921" t="str">
        <f t="shared" si="17"/>
        <v>ns</v>
      </c>
      <c r="AL114" s="908" t="str">
        <f t="shared" si="17"/>
        <v>ns</v>
      </c>
      <c r="AM114" s="909" t="str">
        <f t="shared" si="18"/>
        <v>ns</v>
      </c>
      <c r="AN114" s="908" t="str">
        <f t="shared" si="19"/>
        <v>ns</v>
      </c>
      <c r="AO114" s="908" t="str">
        <f t="shared" si="20"/>
        <v>ns</v>
      </c>
      <c r="AP114" s="908" t="str">
        <f t="shared" si="21"/>
        <v>ns</v>
      </c>
      <c r="AQ114" s="535"/>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row>
    <row r="115" spans="1:212" s="536" customFormat="1">
      <c r="A115" s="504">
        <v>115</v>
      </c>
      <c r="B115" s="525" t="s">
        <v>53</v>
      </c>
      <c r="C115" s="526">
        <v>439</v>
      </c>
      <c r="D115" s="525" t="s">
        <v>1376</v>
      </c>
      <c r="E115" s="525" t="s">
        <v>1377</v>
      </c>
      <c r="F115" s="525" t="s">
        <v>663</v>
      </c>
      <c r="G115" s="525" t="s">
        <v>725</v>
      </c>
      <c r="H115" s="527" t="s">
        <v>681</v>
      </c>
      <c r="I115" s="528" t="s">
        <v>717</v>
      </c>
      <c r="J115" s="529" t="s">
        <v>718</v>
      </c>
      <c r="K115" s="528" t="s">
        <v>1376</v>
      </c>
      <c r="L115" s="569" t="s">
        <v>159</v>
      </c>
      <c r="M115" s="570" t="s">
        <v>159</v>
      </c>
      <c r="N115" s="531" t="s">
        <v>159</v>
      </c>
      <c r="O115" s="525" t="s">
        <v>159</v>
      </c>
      <c r="P115" s="525" t="s">
        <v>197</v>
      </c>
      <c r="Q115" s="532" t="s">
        <v>663</v>
      </c>
      <c r="R115" s="532" t="s">
        <v>663</v>
      </c>
      <c r="S115" s="532" t="s">
        <v>663</v>
      </c>
      <c r="T115" s="525" t="s">
        <v>663</v>
      </c>
      <c r="U115" s="525" t="s">
        <v>663</v>
      </c>
      <c r="V115" s="532" t="s">
        <v>663</v>
      </c>
      <c r="W115" s="532" t="s">
        <v>663</v>
      </c>
      <c r="X115" s="532" t="s">
        <v>663</v>
      </c>
      <c r="Y115" s="532" t="s">
        <v>663</v>
      </c>
      <c r="Z115" s="532" t="s">
        <v>663</v>
      </c>
      <c r="AA115" s="532" t="s">
        <v>663</v>
      </c>
      <c r="AB115" s="525" t="str">
        <f t="shared" si="24"/>
        <v/>
      </c>
      <c r="AC115" s="525"/>
      <c r="AD115" s="533" t="str" cm="1">
        <f t="array" ref="AD115">IF(SUMPRODUCT(ISNUMBER(SEARCH("y",R115:AA115))+0)=0,"",IF(AA115="y","400G",IF(Z115="y","100G",IF(X115="y","40G",IF(V115="y","10G",IF(S115="y","1G",IF(R115="y","100M",""))))))&amp;" "&amp;AB115&amp;" "&amp;AC115)</f>
        <v/>
      </c>
      <c r="AE115" s="534" t="str">
        <f t="shared" si="23"/>
        <v xml:space="preserve">AT-IE300-12GS </v>
      </c>
      <c r="AF115" s="910" t="str">
        <f t="shared" si="13"/>
        <v>ns</v>
      </c>
      <c r="AG115" s="911" t="str">
        <f t="shared" si="14"/>
        <v>ns</v>
      </c>
      <c r="AH115" s="911" t="str">
        <f t="shared" si="22"/>
        <v>ns</v>
      </c>
      <c r="AI115" s="911" t="str">
        <f t="shared" si="15"/>
        <v>ns</v>
      </c>
      <c r="AJ115" s="911" t="str">
        <f t="shared" si="16"/>
        <v>ns</v>
      </c>
      <c r="AK115" s="921" t="str">
        <f t="shared" si="17"/>
        <v>ns</v>
      </c>
      <c r="AL115" s="908" t="str">
        <f t="shared" si="17"/>
        <v>ns</v>
      </c>
      <c r="AM115" s="909" t="str">
        <f t="shared" si="18"/>
        <v>ns</v>
      </c>
      <c r="AN115" s="908" t="str">
        <f t="shared" si="19"/>
        <v>ns</v>
      </c>
      <c r="AO115" s="908" t="str">
        <f t="shared" si="20"/>
        <v>ns</v>
      </c>
      <c r="AP115" s="908" t="str">
        <f t="shared" si="21"/>
        <v>ns</v>
      </c>
      <c r="AQ115" s="53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row>
    <row r="116" spans="1:212" s="536" customFormat="1">
      <c r="A116" s="504">
        <v>116</v>
      </c>
      <c r="B116" s="525" t="s">
        <v>53</v>
      </c>
      <c r="C116" s="526">
        <v>439</v>
      </c>
      <c r="D116" s="525" t="s">
        <v>1376</v>
      </c>
      <c r="E116" s="525" t="s">
        <v>1377</v>
      </c>
      <c r="F116" s="525" t="s">
        <v>663</v>
      </c>
      <c r="G116" s="525" t="s">
        <v>725</v>
      </c>
      <c r="H116" s="527" t="s">
        <v>681</v>
      </c>
      <c r="I116" s="528" t="s">
        <v>717</v>
      </c>
      <c r="J116" s="529" t="s">
        <v>726</v>
      </c>
      <c r="K116" s="528" t="s">
        <v>1376</v>
      </c>
      <c r="L116" s="569" t="s">
        <v>159</v>
      </c>
      <c r="M116" s="570" t="s">
        <v>159</v>
      </c>
      <c r="N116" s="531" t="s">
        <v>159</v>
      </c>
      <c r="O116" s="525" t="s">
        <v>159</v>
      </c>
      <c r="P116" s="525" t="s">
        <v>197</v>
      </c>
      <c r="Q116" s="532" t="s">
        <v>663</v>
      </c>
      <c r="R116" s="532" t="s">
        <v>663</v>
      </c>
      <c r="S116" s="532" t="s">
        <v>663</v>
      </c>
      <c r="T116" s="525" t="s">
        <v>663</v>
      </c>
      <c r="U116" s="525" t="s">
        <v>663</v>
      </c>
      <c r="V116" s="532" t="s">
        <v>663</v>
      </c>
      <c r="W116" s="532" t="s">
        <v>663</v>
      </c>
      <c r="X116" s="532" t="s">
        <v>663</v>
      </c>
      <c r="Y116" s="532" t="s">
        <v>663</v>
      </c>
      <c r="Z116" s="532" t="s">
        <v>663</v>
      </c>
      <c r="AA116" s="532" t="s">
        <v>663</v>
      </c>
      <c r="AB116" s="525" t="str">
        <f t="shared" si="24"/>
        <v/>
      </c>
      <c r="AC116" s="525"/>
      <c r="AD116" s="533" t="str" cm="1">
        <f t="array" ref="AD116">IF(SUMPRODUCT(ISNUMBER(SEARCH("y",R116:AA116))+0)=0,"",IF(AA116="y","400G",IF(Z116="y","100G",IF(X116="y","40G",IF(V116="y","10G",IF(S116="y","1G",IF(R116="y","100M",""))))))&amp;" "&amp;AB116&amp;" "&amp;AC116)</f>
        <v/>
      </c>
      <c r="AE116" s="534" t="str">
        <f t="shared" si="23"/>
        <v xml:space="preserve">AT-IE300-12GS </v>
      </c>
      <c r="AF116" s="910" t="str">
        <f t="shared" si="13"/>
        <v>ns</v>
      </c>
      <c r="AG116" s="911" t="str">
        <f t="shared" si="14"/>
        <v>ns</v>
      </c>
      <c r="AH116" s="911" t="str">
        <f t="shared" si="22"/>
        <v>ns</v>
      </c>
      <c r="AI116" s="911" t="str">
        <f t="shared" si="15"/>
        <v>ns</v>
      </c>
      <c r="AJ116" s="911" t="str">
        <f t="shared" si="16"/>
        <v>ns</v>
      </c>
      <c r="AK116" s="921" t="str">
        <f t="shared" si="17"/>
        <v>ns</v>
      </c>
      <c r="AL116" s="908" t="str">
        <f t="shared" si="17"/>
        <v>ns</v>
      </c>
      <c r="AM116" s="909" t="str">
        <f t="shared" si="18"/>
        <v>ns</v>
      </c>
      <c r="AN116" s="908" t="str">
        <f t="shared" si="19"/>
        <v>ns</v>
      </c>
      <c r="AO116" s="908" t="str">
        <f t="shared" si="20"/>
        <v>ns</v>
      </c>
      <c r="AP116" s="908" t="str">
        <f t="shared" si="21"/>
        <v>ns</v>
      </c>
      <c r="AQ116" s="535"/>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row>
    <row r="117" spans="1:212" s="536" customFormat="1">
      <c r="A117" s="504">
        <v>117</v>
      </c>
      <c r="B117" s="525" t="s">
        <v>53</v>
      </c>
      <c r="C117" s="526">
        <v>440</v>
      </c>
      <c r="D117" s="525" t="s">
        <v>1378</v>
      </c>
      <c r="E117" s="525" t="s">
        <v>1379</v>
      </c>
      <c r="F117" s="525" t="s">
        <v>663</v>
      </c>
      <c r="G117" s="525" t="s">
        <v>725</v>
      </c>
      <c r="H117" s="527" t="s">
        <v>681</v>
      </c>
      <c r="I117" s="528" t="s">
        <v>717</v>
      </c>
      <c r="J117" s="529" t="s">
        <v>718</v>
      </c>
      <c r="K117" s="528" t="s">
        <v>1378</v>
      </c>
      <c r="L117" s="569" t="s">
        <v>159</v>
      </c>
      <c r="M117" s="570" t="s">
        <v>159</v>
      </c>
      <c r="N117" s="531" t="s">
        <v>159</v>
      </c>
      <c r="O117" s="525" t="s">
        <v>159</v>
      </c>
      <c r="P117" s="525" t="s">
        <v>197</v>
      </c>
      <c r="Q117" s="532" t="s">
        <v>663</v>
      </c>
      <c r="R117" s="532" t="s">
        <v>663</v>
      </c>
      <c r="S117" s="532" t="s">
        <v>663</v>
      </c>
      <c r="T117" s="525" t="s">
        <v>663</v>
      </c>
      <c r="U117" s="525" t="s">
        <v>663</v>
      </c>
      <c r="V117" s="532" t="s">
        <v>663</v>
      </c>
      <c r="W117" s="532" t="s">
        <v>663</v>
      </c>
      <c r="X117" s="532" t="s">
        <v>663</v>
      </c>
      <c r="Y117" s="532" t="s">
        <v>663</v>
      </c>
      <c r="Z117" s="532" t="s">
        <v>663</v>
      </c>
      <c r="AA117" s="532" t="s">
        <v>663</v>
      </c>
      <c r="AB117" s="525" t="str">
        <f t="shared" si="24"/>
        <v/>
      </c>
      <c r="AC117" s="525"/>
      <c r="AD117" s="533" t="str" cm="1">
        <f t="array" ref="AD117">IF(SUMPRODUCT(ISNUMBER(SEARCH("y",R117:AA117))+0)=0,"",IF(AA117="y","400G",IF(Z117="y","100G",IF(X117="y","40G",IF(V117="y","10G",IF(S117="y","1G",IF(R117="y","100M",""))))))&amp;" "&amp;AB117&amp;" "&amp;AC117)</f>
        <v/>
      </c>
      <c r="AE117" s="534" t="str">
        <f t="shared" si="23"/>
        <v xml:space="preserve">AT-IE300-20GST </v>
      </c>
      <c r="AF117" s="910" t="str">
        <f t="shared" si="13"/>
        <v>ns</v>
      </c>
      <c r="AG117" s="911" t="str">
        <f t="shared" si="14"/>
        <v>ns</v>
      </c>
      <c r="AH117" s="911" t="str">
        <f t="shared" si="22"/>
        <v>ns</v>
      </c>
      <c r="AI117" s="911" t="str">
        <f t="shared" si="15"/>
        <v>ns</v>
      </c>
      <c r="AJ117" s="911" t="str">
        <f t="shared" si="16"/>
        <v>ns</v>
      </c>
      <c r="AK117" s="921" t="str">
        <f t="shared" si="17"/>
        <v>ns</v>
      </c>
      <c r="AL117" s="908" t="str">
        <f t="shared" si="17"/>
        <v>ns</v>
      </c>
      <c r="AM117" s="909" t="str">
        <f t="shared" si="18"/>
        <v>ns</v>
      </c>
      <c r="AN117" s="908" t="str">
        <f t="shared" si="19"/>
        <v>ns</v>
      </c>
      <c r="AO117" s="908" t="str">
        <f t="shared" si="20"/>
        <v>ns</v>
      </c>
      <c r="AP117" s="908" t="str">
        <f t="shared" si="21"/>
        <v>ns</v>
      </c>
      <c r="AQ117" s="535"/>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row>
    <row r="118" spans="1:212" s="536" customFormat="1">
      <c r="A118" s="504">
        <v>118</v>
      </c>
      <c r="B118" s="525" t="s">
        <v>53</v>
      </c>
      <c r="C118" s="526">
        <v>440</v>
      </c>
      <c r="D118" s="525" t="s">
        <v>1378</v>
      </c>
      <c r="E118" s="525" t="s">
        <v>1379</v>
      </c>
      <c r="F118" s="525" t="s">
        <v>663</v>
      </c>
      <c r="G118" s="525" t="s">
        <v>725</v>
      </c>
      <c r="H118" s="527" t="s">
        <v>681</v>
      </c>
      <c r="I118" s="528" t="s">
        <v>717</v>
      </c>
      <c r="J118" s="529" t="s">
        <v>726</v>
      </c>
      <c r="K118" s="528" t="s">
        <v>1378</v>
      </c>
      <c r="L118" s="569" t="s">
        <v>159</v>
      </c>
      <c r="M118" s="570" t="s">
        <v>159</v>
      </c>
      <c r="N118" s="531" t="s">
        <v>159</v>
      </c>
      <c r="O118" s="525" t="s">
        <v>159</v>
      </c>
      <c r="P118" s="525" t="s">
        <v>197</v>
      </c>
      <c r="Q118" s="532" t="s">
        <v>663</v>
      </c>
      <c r="R118" s="532" t="s">
        <v>663</v>
      </c>
      <c r="S118" s="532" t="s">
        <v>663</v>
      </c>
      <c r="T118" s="525" t="s">
        <v>663</v>
      </c>
      <c r="U118" s="525" t="s">
        <v>663</v>
      </c>
      <c r="V118" s="532" t="s">
        <v>663</v>
      </c>
      <c r="W118" s="532" t="s">
        <v>663</v>
      </c>
      <c r="X118" s="532" t="s">
        <v>663</v>
      </c>
      <c r="Y118" s="532" t="s">
        <v>663</v>
      </c>
      <c r="Z118" s="532" t="s">
        <v>663</v>
      </c>
      <c r="AA118" s="532" t="s">
        <v>663</v>
      </c>
      <c r="AB118" s="525" t="str">
        <f t="shared" si="24"/>
        <v/>
      </c>
      <c r="AC118" s="525"/>
      <c r="AD118" s="533" t="str" cm="1">
        <f t="array" ref="AD118">IF(SUMPRODUCT(ISNUMBER(SEARCH("y",R118:AA118))+0)=0,"",IF(AA118="y","400G",IF(Z118="y","100G",IF(X118="y","40G",IF(V118="y","10G",IF(S118="y","1G",IF(R118="y","100M",""))))))&amp;" "&amp;AB118&amp;" "&amp;AC118)</f>
        <v/>
      </c>
      <c r="AE118" s="534" t="str">
        <f t="shared" si="23"/>
        <v xml:space="preserve">AT-IE300-20GST </v>
      </c>
      <c r="AF118" s="910" t="str">
        <f t="shared" si="13"/>
        <v>ns</v>
      </c>
      <c r="AG118" s="911" t="str">
        <f t="shared" si="14"/>
        <v>ns</v>
      </c>
      <c r="AH118" s="911" t="str">
        <f t="shared" si="22"/>
        <v>ns</v>
      </c>
      <c r="AI118" s="911" t="str">
        <f t="shared" si="15"/>
        <v>ns</v>
      </c>
      <c r="AJ118" s="911" t="str">
        <f t="shared" si="16"/>
        <v>ns</v>
      </c>
      <c r="AK118" s="921" t="str">
        <f t="shared" si="17"/>
        <v>ns</v>
      </c>
      <c r="AL118" s="908" t="str">
        <f t="shared" si="17"/>
        <v>ns</v>
      </c>
      <c r="AM118" s="909" t="str">
        <f t="shared" si="18"/>
        <v>ns</v>
      </c>
      <c r="AN118" s="908" t="str">
        <f t="shared" si="19"/>
        <v>ns</v>
      </c>
      <c r="AO118" s="908" t="str">
        <f t="shared" si="20"/>
        <v>ns</v>
      </c>
      <c r="AP118" s="908" t="str">
        <f t="shared" si="21"/>
        <v>ns</v>
      </c>
      <c r="AQ118" s="535"/>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row>
    <row r="119" spans="1:212" s="536" customFormat="1">
      <c r="A119" s="504">
        <v>119</v>
      </c>
      <c r="B119" s="525" t="s">
        <v>959</v>
      </c>
      <c r="C119" s="526">
        <v>468</v>
      </c>
      <c r="D119" s="571" t="s">
        <v>960</v>
      </c>
      <c r="E119" s="525" t="s">
        <v>1380</v>
      </c>
      <c r="F119" s="525" t="s">
        <v>663</v>
      </c>
      <c r="G119" s="525" t="s">
        <v>661</v>
      </c>
      <c r="H119" s="527" t="s">
        <v>681</v>
      </c>
      <c r="I119" s="528" t="s">
        <v>711</v>
      </c>
      <c r="J119" s="529" t="s">
        <v>948</v>
      </c>
      <c r="K119" s="528" t="s">
        <v>197</v>
      </c>
      <c r="L119" s="565" t="s">
        <v>197</v>
      </c>
      <c r="M119" s="566" t="s">
        <v>197</v>
      </c>
      <c r="N119" s="531" t="s">
        <v>671</v>
      </c>
      <c r="O119" s="532" t="s">
        <v>1365</v>
      </c>
      <c r="P119" s="525" t="s">
        <v>827</v>
      </c>
      <c r="Q119" s="532" t="s">
        <v>663</v>
      </c>
      <c r="R119" s="525" t="s">
        <v>662</v>
      </c>
      <c r="S119" s="525" t="s">
        <v>662</v>
      </c>
      <c r="T119" s="525" t="s">
        <v>663</v>
      </c>
      <c r="U119" s="525" t="s">
        <v>663</v>
      </c>
      <c r="V119" s="532" t="s">
        <v>663</v>
      </c>
      <c r="W119" s="532" t="s">
        <v>663</v>
      </c>
      <c r="X119" s="532" t="s">
        <v>663</v>
      </c>
      <c r="Y119" s="532" t="s">
        <v>663</v>
      </c>
      <c r="Z119" s="532" t="s">
        <v>663</v>
      </c>
      <c r="AA119" s="532" t="s">
        <v>663</v>
      </c>
      <c r="AB119" s="525" t="str">
        <f t="shared" si="24"/>
        <v>PHY</v>
      </c>
      <c r="AC119" s="525"/>
      <c r="AD119" s="533" t="str" cm="1">
        <f t="array" ref="AD119">IF(SUMPRODUCT(ISNUMBER(SEARCH("y",R119:AA119))+0)=0,"",IF(AA119="y","400G",IF(Z119="y","100G",IF(X119="y","40G",IF(V119="y","10G",IF(S119="y","1G",IF(R119="y","100M",""))))))&amp;" "&amp;AB119&amp;" "&amp;AC119)</f>
        <v xml:space="preserve">1G PHY </v>
      </c>
      <c r="AE119" s="534" t="str">
        <f t="shared" si="23"/>
        <v/>
      </c>
      <c r="AF119" s="910" t="str">
        <f t="shared" si="13"/>
        <v>ns</v>
      </c>
      <c r="AG119" s="911" t="str">
        <f t="shared" si="14"/>
        <v>.</v>
      </c>
      <c r="AH119" s="911" t="str">
        <f t="shared" si="22"/>
        <v>.</v>
      </c>
      <c r="AI119" s="911" t="str">
        <f t="shared" si="15"/>
        <v>ns</v>
      </c>
      <c r="AJ119" s="911" t="str">
        <f t="shared" si="16"/>
        <v>ns</v>
      </c>
      <c r="AK119" s="921" t="str">
        <f t="shared" si="17"/>
        <v>ns</v>
      </c>
      <c r="AL119" s="908" t="str">
        <f t="shared" si="17"/>
        <v>ns</v>
      </c>
      <c r="AM119" s="909" t="str">
        <f t="shared" si="18"/>
        <v>ns</v>
      </c>
      <c r="AN119" s="908" t="str">
        <f t="shared" si="19"/>
        <v>ns</v>
      </c>
      <c r="AO119" s="908" t="str">
        <f t="shared" si="20"/>
        <v>ns</v>
      </c>
      <c r="AP119" s="908" t="str">
        <f t="shared" si="21"/>
        <v>ns</v>
      </c>
      <c r="AQ119" s="535"/>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row>
    <row r="120" spans="1:212" s="536" customFormat="1">
      <c r="A120" s="504">
        <v>120</v>
      </c>
      <c r="B120" s="525" t="s">
        <v>959</v>
      </c>
      <c r="C120" s="526">
        <v>469</v>
      </c>
      <c r="D120" s="571" t="s">
        <v>962</v>
      </c>
      <c r="E120" s="525" t="s">
        <v>1381</v>
      </c>
      <c r="F120" s="525" t="s">
        <v>663</v>
      </c>
      <c r="G120" s="525" t="s">
        <v>661</v>
      </c>
      <c r="H120" s="527" t="s">
        <v>681</v>
      </c>
      <c r="I120" s="528" t="s">
        <v>711</v>
      </c>
      <c r="J120" s="529" t="s">
        <v>948</v>
      </c>
      <c r="K120" s="528" t="s">
        <v>197</v>
      </c>
      <c r="L120" s="565" t="s">
        <v>197</v>
      </c>
      <c r="M120" s="566" t="s">
        <v>197</v>
      </c>
      <c r="N120" s="531" t="s">
        <v>671</v>
      </c>
      <c r="O120" s="532" t="s">
        <v>1370</v>
      </c>
      <c r="P120" s="525" t="s">
        <v>827</v>
      </c>
      <c r="Q120" s="532" t="s">
        <v>663</v>
      </c>
      <c r="R120" s="525" t="s">
        <v>662</v>
      </c>
      <c r="S120" s="525" t="s">
        <v>662</v>
      </c>
      <c r="T120" s="525" t="s">
        <v>663</v>
      </c>
      <c r="U120" s="525" t="s">
        <v>663</v>
      </c>
      <c r="V120" s="532" t="s">
        <v>663</v>
      </c>
      <c r="W120" s="532" t="s">
        <v>663</v>
      </c>
      <c r="X120" s="532" t="s">
        <v>663</v>
      </c>
      <c r="Y120" s="532" t="s">
        <v>663</v>
      </c>
      <c r="Z120" s="532" t="s">
        <v>663</v>
      </c>
      <c r="AA120" s="532" t="s">
        <v>663</v>
      </c>
      <c r="AB120" s="525" t="str">
        <f t="shared" si="24"/>
        <v>PHY</v>
      </c>
      <c r="AC120" s="525"/>
      <c r="AD120" s="533" t="str" cm="1">
        <f t="array" ref="AD120">IF(SUMPRODUCT(ISNUMBER(SEARCH("y",R120:AA120))+0)=0,"",IF(AA120="y","400G",IF(Z120="y","100G",IF(X120="y","40G",IF(V120="y","10G",IF(S120="y","1G",IF(R120="y","100M",""))))))&amp;" "&amp;AB120&amp;" "&amp;AC120)</f>
        <v xml:space="preserve">1G PHY </v>
      </c>
      <c r="AE120" s="534" t="str">
        <f t="shared" si="23"/>
        <v/>
      </c>
      <c r="AF120" s="910" t="str">
        <f t="shared" si="13"/>
        <v>ns</v>
      </c>
      <c r="AG120" s="911" t="str">
        <f t="shared" si="14"/>
        <v>.</v>
      </c>
      <c r="AH120" s="911" t="str">
        <f t="shared" si="22"/>
        <v>.</v>
      </c>
      <c r="AI120" s="911" t="str">
        <f t="shared" si="15"/>
        <v>ns</v>
      </c>
      <c r="AJ120" s="911" t="str">
        <f t="shared" si="16"/>
        <v>ns</v>
      </c>
      <c r="AK120" s="921" t="str">
        <f t="shared" si="17"/>
        <v>ns</v>
      </c>
      <c r="AL120" s="908" t="str">
        <f t="shared" si="17"/>
        <v>ns</v>
      </c>
      <c r="AM120" s="909" t="str">
        <f t="shared" si="18"/>
        <v>ns</v>
      </c>
      <c r="AN120" s="908" t="str">
        <f t="shared" si="19"/>
        <v>ns</v>
      </c>
      <c r="AO120" s="908" t="str">
        <f t="shared" si="20"/>
        <v>ns</v>
      </c>
      <c r="AP120" s="908" t="str">
        <f t="shared" si="21"/>
        <v>ns</v>
      </c>
      <c r="AQ120" s="535"/>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row>
    <row r="121" spans="1:212" s="536" customFormat="1">
      <c r="A121" s="504">
        <v>121</v>
      </c>
      <c r="B121" s="525" t="s">
        <v>959</v>
      </c>
      <c r="C121" s="526">
        <v>470</v>
      </c>
      <c r="D121" s="571" t="s">
        <v>961</v>
      </c>
      <c r="E121" s="525" t="s">
        <v>1382</v>
      </c>
      <c r="F121" s="525" t="s">
        <v>663</v>
      </c>
      <c r="G121" s="525" t="s">
        <v>661</v>
      </c>
      <c r="H121" s="527" t="s">
        <v>681</v>
      </c>
      <c r="I121" s="528" t="s">
        <v>711</v>
      </c>
      <c r="J121" s="529" t="s">
        <v>948</v>
      </c>
      <c r="K121" s="528" t="s">
        <v>197</v>
      </c>
      <c r="L121" s="565" t="s">
        <v>197</v>
      </c>
      <c r="M121" s="566" t="s">
        <v>197</v>
      </c>
      <c r="N121" s="531" t="s">
        <v>671</v>
      </c>
      <c r="O121" s="532" t="s">
        <v>1365</v>
      </c>
      <c r="P121" s="525" t="s">
        <v>827</v>
      </c>
      <c r="Q121" s="532" t="s">
        <v>663</v>
      </c>
      <c r="R121" s="525" t="s">
        <v>662</v>
      </c>
      <c r="S121" s="525" t="s">
        <v>662</v>
      </c>
      <c r="T121" s="525" t="s">
        <v>663</v>
      </c>
      <c r="U121" s="525" t="s">
        <v>663</v>
      </c>
      <c r="V121" s="532" t="s">
        <v>663</v>
      </c>
      <c r="W121" s="532" t="s">
        <v>663</v>
      </c>
      <c r="X121" s="532" t="s">
        <v>663</v>
      </c>
      <c r="Y121" s="532" t="s">
        <v>663</v>
      </c>
      <c r="Z121" s="532" t="s">
        <v>663</v>
      </c>
      <c r="AA121" s="532" t="s">
        <v>663</v>
      </c>
      <c r="AB121" s="525" t="str">
        <f t="shared" si="24"/>
        <v>PHY</v>
      </c>
      <c r="AC121" s="525"/>
      <c r="AD121" s="533" t="str" cm="1">
        <f t="array" ref="AD121">IF(SUMPRODUCT(ISNUMBER(SEARCH("y",R121:AA121))+0)=0,"",IF(AA121="y","400G",IF(Z121="y","100G",IF(X121="y","40G",IF(V121="y","10G",IF(S121="y","1G",IF(R121="y","100M",""))))))&amp;" "&amp;AB121&amp;" "&amp;AC121)</f>
        <v xml:space="preserve">1G PHY </v>
      </c>
      <c r="AE121" s="534" t="str">
        <f t="shared" si="23"/>
        <v/>
      </c>
      <c r="AF121" s="910" t="str">
        <f t="shared" si="13"/>
        <v>ns</v>
      </c>
      <c r="AG121" s="911" t="str">
        <f t="shared" si="14"/>
        <v>.</v>
      </c>
      <c r="AH121" s="911" t="str">
        <f t="shared" si="22"/>
        <v>.</v>
      </c>
      <c r="AI121" s="911" t="str">
        <f t="shared" si="15"/>
        <v>ns</v>
      </c>
      <c r="AJ121" s="911" t="str">
        <f t="shared" si="16"/>
        <v>ns</v>
      </c>
      <c r="AK121" s="921" t="str">
        <f t="shared" si="17"/>
        <v>ns</v>
      </c>
      <c r="AL121" s="908" t="str">
        <f t="shared" si="17"/>
        <v>ns</v>
      </c>
      <c r="AM121" s="909" t="str">
        <f t="shared" si="18"/>
        <v>ns</v>
      </c>
      <c r="AN121" s="908" t="str">
        <f t="shared" si="19"/>
        <v>ns</v>
      </c>
      <c r="AO121" s="908" t="str">
        <f t="shared" si="20"/>
        <v>ns</v>
      </c>
      <c r="AP121" s="908" t="str">
        <f t="shared" si="21"/>
        <v>ns</v>
      </c>
      <c r="AQ121" s="535"/>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row>
    <row r="122" spans="1:212" s="536" customFormat="1">
      <c r="A122" s="504">
        <v>122</v>
      </c>
      <c r="B122" s="525" t="s">
        <v>959</v>
      </c>
      <c r="C122" s="526">
        <v>471</v>
      </c>
      <c r="D122" s="571" t="s">
        <v>963</v>
      </c>
      <c r="E122" s="525" t="s">
        <v>1383</v>
      </c>
      <c r="F122" s="525" t="s">
        <v>663</v>
      </c>
      <c r="G122" s="525" t="s">
        <v>661</v>
      </c>
      <c r="H122" s="527" t="s">
        <v>681</v>
      </c>
      <c r="I122" s="528" t="s">
        <v>711</v>
      </c>
      <c r="J122" s="529" t="s">
        <v>948</v>
      </c>
      <c r="K122" s="528" t="s">
        <v>197</v>
      </c>
      <c r="L122" s="565" t="s">
        <v>197</v>
      </c>
      <c r="M122" s="566" t="s">
        <v>197</v>
      </c>
      <c r="N122" s="531" t="s">
        <v>671</v>
      </c>
      <c r="O122" s="532" t="s">
        <v>1370</v>
      </c>
      <c r="P122" s="525" t="s">
        <v>827</v>
      </c>
      <c r="Q122" s="532" t="s">
        <v>663</v>
      </c>
      <c r="R122" s="525" t="s">
        <v>662</v>
      </c>
      <c r="S122" s="525" t="s">
        <v>662</v>
      </c>
      <c r="T122" s="525" t="s">
        <v>663</v>
      </c>
      <c r="U122" s="525" t="s">
        <v>663</v>
      </c>
      <c r="V122" s="532" t="s">
        <v>663</v>
      </c>
      <c r="W122" s="532" t="s">
        <v>663</v>
      </c>
      <c r="X122" s="532" t="s">
        <v>663</v>
      </c>
      <c r="Y122" s="532" t="s">
        <v>663</v>
      </c>
      <c r="Z122" s="532" t="s">
        <v>663</v>
      </c>
      <c r="AA122" s="532" t="s">
        <v>663</v>
      </c>
      <c r="AB122" s="525" t="str">
        <f t="shared" si="24"/>
        <v>PHY</v>
      </c>
      <c r="AC122" s="525"/>
      <c r="AD122" s="533" t="str" cm="1">
        <f t="array" ref="AD122">IF(SUMPRODUCT(ISNUMBER(SEARCH("y",R122:AA122))+0)=0,"",IF(AA122="y","400G",IF(Z122="y","100G",IF(X122="y","40G",IF(V122="y","10G",IF(S122="y","1G",IF(R122="y","100M",""))))))&amp;" "&amp;AB122&amp;" "&amp;AC122)</f>
        <v xml:space="preserve">1G PHY </v>
      </c>
      <c r="AE122" s="534" t="str">
        <f t="shared" si="23"/>
        <v/>
      </c>
      <c r="AF122" s="910" t="str">
        <f t="shared" si="13"/>
        <v>ns</v>
      </c>
      <c r="AG122" s="911" t="str">
        <f t="shared" si="14"/>
        <v>.</v>
      </c>
      <c r="AH122" s="911" t="str">
        <f t="shared" si="22"/>
        <v>.</v>
      </c>
      <c r="AI122" s="911" t="str">
        <f t="shared" si="15"/>
        <v>ns</v>
      </c>
      <c r="AJ122" s="911" t="str">
        <f t="shared" si="16"/>
        <v>ns</v>
      </c>
      <c r="AK122" s="921" t="str">
        <f t="shared" si="17"/>
        <v>ns</v>
      </c>
      <c r="AL122" s="908" t="str">
        <f t="shared" si="17"/>
        <v>ns</v>
      </c>
      <c r="AM122" s="909" t="str">
        <f t="shared" si="18"/>
        <v>ns</v>
      </c>
      <c r="AN122" s="908" t="str">
        <f t="shared" si="19"/>
        <v>ns</v>
      </c>
      <c r="AO122" s="908" t="str">
        <f t="shared" si="20"/>
        <v>ns</v>
      </c>
      <c r="AP122" s="908" t="str">
        <f t="shared" si="21"/>
        <v>ns</v>
      </c>
      <c r="AQ122" s="535"/>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row>
    <row r="123" spans="1:212" s="536" customFormat="1">
      <c r="A123" s="504">
        <v>123</v>
      </c>
      <c r="B123" s="525" t="s">
        <v>681</v>
      </c>
      <c r="C123" s="526">
        <v>392</v>
      </c>
      <c r="D123" s="525" t="s">
        <v>947</v>
      </c>
      <c r="E123" s="525" t="s">
        <v>1384</v>
      </c>
      <c r="F123" s="525" t="s">
        <v>663</v>
      </c>
      <c r="G123" s="525" t="s">
        <v>661</v>
      </c>
      <c r="H123" s="527" t="s">
        <v>681</v>
      </c>
      <c r="I123" s="528" t="s">
        <v>711</v>
      </c>
      <c r="J123" s="529" t="s">
        <v>948</v>
      </c>
      <c r="K123" s="528" t="s">
        <v>197</v>
      </c>
      <c r="L123" s="565" t="s">
        <v>197</v>
      </c>
      <c r="M123" s="566" t="s">
        <v>197</v>
      </c>
      <c r="N123" s="531" t="s">
        <v>671</v>
      </c>
      <c r="O123" s="532" t="s">
        <v>1365</v>
      </c>
      <c r="P123" s="525" t="s">
        <v>827</v>
      </c>
      <c r="Q123" s="532" t="s">
        <v>663</v>
      </c>
      <c r="R123" s="525" t="s">
        <v>662</v>
      </c>
      <c r="S123" s="525" t="s">
        <v>662</v>
      </c>
      <c r="T123" s="525" t="s">
        <v>663</v>
      </c>
      <c r="U123" s="525" t="s">
        <v>663</v>
      </c>
      <c r="V123" s="532" t="s">
        <v>663</v>
      </c>
      <c r="W123" s="532" t="s">
        <v>663</v>
      </c>
      <c r="X123" s="532" t="s">
        <v>663</v>
      </c>
      <c r="Y123" s="532" t="s">
        <v>663</v>
      </c>
      <c r="Z123" s="532" t="s">
        <v>663</v>
      </c>
      <c r="AA123" s="532" t="s">
        <v>663</v>
      </c>
      <c r="AB123" s="525" t="str">
        <f t="shared" si="24"/>
        <v>PHY</v>
      </c>
      <c r="AC123" s="525"/>
      <c r="AD123" s="533" t="str" cm="1">
        <f t="array" ref="AD123">IF(SUMPRODUCT(ISNUMBER(SEARCH("y",R123:AA123))+0)=0,"",IF(AA123="y","400G",IF(Z123="y","100G",IF(X123="y","40G",IF(V123="y","10G",IF(S123="y","1G",IF(R123="y","100M",""))))))&amp;" "&amp;AB123&amp;" "&amp;AC123)</f>
        <v xml:space="preserve">1G PHY </v>
      </c>
      <c r="AE123" s="534" t="str">
        <f t="shared" si="23"/>
        <v/>
      </c>
      <c r="AF123" s="910" t="str">
        <f t="shared" si="13"/>
        <v>ns</v>
      </c>
      <c r="AG123" s="911" t="str">
        <f t="shared" si="14"/>
        <v>.</v>
      </c>
      <c r="AH123" s="911" t="str">
        <f t="shared" si="22"/>
        <v>.</v>
      </c>
      <c r="AI123" s="911" t="str">
        <f t="shared" si="15"/>
        <v>ns</v>
      </c>
      <c r="AJ123" s="911" t="str">
        <f t="shared" si="16"/>
        <v>ns</v>
      </c>
      <c r="AK123" s="921" t="str">
        <f t="shared" si="17"/>
        <v>ns</v>
      </c>
      <c r="AL123" s="908" t="str">
        <f t="shared" si="17"/>
        <v>ns</v>
      </c>
      <c r="AM123" s="909" t="str">
        <f t="shared" si="18"/>
        <v>ns</v>
      </c>
      <c r="AN123" s="908" t="str">
        <f t="shared" si="19"/>
        <v>ns</v>
      </c>
      <c r="AO123" s="908" t="str">
        <f t="shared" si="20"/>
        <v>ns</v>
      </c>
      <c r="AP123" s="908" t="str">
        <f t="shared" si="21"/>
        <v>ns</v>
      </c>
      <c r="AQ123" s="535"/>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row>
    <row r="124" spans="1:212" s="536" customFormat="1">
      <c r="A124" s="504">
        <v>124</v>
      </c>
      <c r="B124" s="525" t="s">
        <v>681</v>
      </c>
      <c r="C124" s="526">
        <v>393</v>
      </c>
      <c r="D124" s="525" t="s">
        <v>951</v>
      </c>
      <c r="E124" s="525" t="s">
        <v>1385</v>
      </c>
      <c r="F124" s="525" t="s">
        <v>663</v>
      </c>
      <c r="G124" s="525" t="s">
        <v>661</v>
      </c>
      <c r="H124" s="527" t="s">
        <v>681</v>
      </c>
      <c r="I124" s="528" t="s">
        <v>711</v>
      </c>
      <c r="J124" s="529" t="s">
        <v>948</v>
      </c>
      <c r="K124" s="528" t="s">
        <v>951</v>
      </c>
      <c r="L124" s="530" t="s">
        <v>674</v>
      </c>
      <c r="M124" s="529" t="s">
        <v>953</v>
      </c>
      <c r="N124" s="531" t="s">
        <v>671</v>
      </c>
      <c r="O124" s="532" t="s">
        <v>1370</v>
      </c>
      <c r="P124" s="525" t="s">
        <v>827</v>
      </c>
      <c r="Q124" s="532" t="s">
        <v>663</v>
      </c>
      <c r="R124" s="525" t="s">
        <v>662</v>
      </c>
      <c r="S124" s="525" t="s">
        <v>662</v>
      </c>
      <c r="T124" s="525" t="s">
        <v>663</v>
      </c>
      <c r="U124" s="525" t="s">
        <v>663</v>
      </c>
      <c r="V124" s="532" t="s">
        <v>663</v>
      </c>
      <c r="W124" s="532" t="s">
        <v>663</v>
      </c>
      <c r="X124" s="532" t="s">
        <v>663</v>
      </c>
      <c r="Y124" s="532" t="s">
        <v>663</v>
      </c>
      <c r="Z124" s="532" t="s">
        <v>663</v>
      </c>
      <c r="AA124" s="532" t="s">
        <v>663</v>
      </c>
      <c r="AB124" s="525" t="str">
        <f t="shared" si="24"/>
        <v>PHY</v>
      </c>
      <c r="AC124" s="525"/>
      <c r="AD124" s="533" t="str" cm="1">
        <f t="array" ref="AD124">IF(SUMPRODUCT(ISNUMBER(SEARCH("y",R124:AA124))+0)=0,"",IF(AA124="y","400G",IF(Z124="y","100G",IF(X124="y","40G",IF(V124="y","10G",IF(S124="y","1G",IF(R124="y","100M",""))))))&amp;" "&amp;AB124&amp;" "&amp;AC124)</f>
        <v xml:space="preserve">1G PHY </v>
      </c>
      <c r="AE124" s="534" t="str">
        <f t="shared" si="23"/>
        <v xml:space="preserve">AT-x310-50FT 1G PHY </v>
      </c>
      <c r="AF124" s="910" t="str">
        <f t="shared" si="13"/>
        <v>ns</v>
      </c>
      <c r="AG124" s="911" t="str">
        <f t="shared" si="14"/>
        <v>.</v>
      </c>
      <c r="AH124" s="911" t="str">
        <f t="shared" si="22"/>
        <v>.</v>
      </c>
      <c r="AI124" s="911" t="str">
        <f t="shared" si="15"/>
        <v>ns</v>
      </c>
      <c r="AJ124" s="911" t="str">
        <f t="shared" si="16"/>
        <v>ns</v>
      </c>
      <c r="AK124" s="921" t="str">
        <f t="shared" si="17"/>
        <v>ns</v>
      </c>
      <c r="AL124" s="908" t="str">
        <f t="shared" si="17"/>
        <v>ns</v>
      </c>
      <c r="AM124" s="909" t="str">
        <f t="shared" si="18"/>
        <v>ns</v>
      </c>
      <c r="AN124" s="908" t="str">
        <f t="shared" si="19"/>
        <v>ns</v>
      </c>
      <c r="AO124" s="908" t="str">
        <f t="shared" si="20"/>
        <v>ns</v>
      </c>
      <c r="AP124" s="908" t="str">
        <f t="shared" si="21"/>
        <v>ns</v>
      </c>
      <c r="AQ124" s="535"/>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row>
    <row r="125" spans="1:212" s="536" customFormat="1">
      <c r="A125" s="504">
        <v>125</v>
      </c>
      <c r="B125" s="525" t="s">
        <v>681</v>
      </c>
      <c r="C125" s="526">
        <v>394</v>
      </c>
      <c r="D125" s="525" t="s">
        <v>950</v>
      </c>
      <c r="E125" s="525" t="s">
        <v>1386</v>
      </c>
      <c r="F125" s="525" t="s">
        <v>663</v>
      </c>
      <c r="G125" s="525" t="s">
        <v>661</v>
      </c>
      <c r="H125" s="527" t="s">
        <v>681</v>
      </c>
      <c r="I125" s="528" t="s">
        <v>711</v>
      </c>
      <c r="J125" s="529" t="s">
        <v>948</v>
      </c>
      <c r="K125" s="528" t="s">
        <v>197</v>
      </c>
      <c r="L125" s="530" t="s">
        <v>197</v>
      </c>
      <c r="M125" s="529" t="s">
        <v>197</v>
      </c>
      <c r="N125" s="531" t="s">
        <v>671</v>
      </c>
      <c r="O125" s="532" t="s">
        <v>1365</v>
      </c>
      <c r="P125" s="525" t="s">
        <v>827</v>
      </c>
      <c r="Q125" s="532" t="s">
        <v>663</v>
      </c>
      <c r="R125" s="525" t="s">
        <v>662</v>
      </c>
      <c r="S125" s="525" t="s">
        <v>662</v>
      </c>
      <c r="T125" s="525" t="s">
        <v>663</v>
      </c>
      <c r="U125" s="525" t="s">
        <v>663</v>
      </c>
      <c r="V125" s="532" t="s">
        <v>663</v>
      </c>
      <c r="W125" s="532" t="s">
        <v>663</v>
      </c>
      <c r="X125" s="532" t="s">
        <v>663</v>
      </c>
      <c r="Y125" s="532" t="s">
        <v>663</v>
      </c>
      <c r="Z125" s="532" t="s">
        <v>663</v>
      </c>
      <c r="AA125" s="532" t="s">
        <v>663</v>
      </c>
      <c r="AB125" s="525" t="str">
        <f t="shared" si="24"/>
        <v>PHY</v>
      </c>
      <c r="AC125" s="525"/>
      <c r="AD125" s="533" t="str" cm="1">
        <f t="array" ref="AD125">IF(SUMPRODUCT(ISNUMBER(SEARCH("y",R125:AA125))+0)=0,"",IF(AA125="y","400G",IF(Z125="y","100G",IF(X125="y","40G",IF(V125="y","10G",IF(S125="y","1G",IF(R125="y","100M",""))))))&amp;" "&amp;AB125&amp;" "&amp;AC125)</f>
        <v xml:space="preserve">1G PHY </v>
      </c>
      <c r="AE125" s="534" t="str">
        <f t="shared" si="23"/>
        <v/>
      </c>
      <c r="AF125" s="910" t="str">
        <f t="shared" si="13"/>
        <v>ns</v>
      </c>
      <c r="AG125" s="911" t="str">
        <f t="shared" si="14"/>
        <v>.</v>
      </c>
      <c r="AH125" s="911" t="str">
        <f t="shared" si="22"/>
        <v>.</v>
      </c>
      <c r="AI125" s="911" t="str">
        <f t="shared" si="15"/>
        <v>ns</v>
      </c>
      <c r="AJ125" s="911" t="str">
        <f t="shared" si="16"/>
        <v>ns</v>
      </c>
      <c r="AK125" s="921" t="str">
        <f t="shared" si="17"/>
        <v>ns</v>
      </c>
      <c r="AL125" s="908" t="str">
        <f t="shared" si="17"/>
        <v>ns</v>
      </c>
      <c r="AM125" s="909" t="str">
        <f t="shared" si="18"/>
        <v>ns</v>
      </c>
      <c r="AN125" s="908" t="str">
        <f t="shared" si="19"/>
        <v>ns</v>
      </c>
      <c r="AO125" s="908" t="str">
        <f t="shared" si="20"/>
        <v>ns</v>
      </c>
      <c r="AP125" s="908" t="str">
        <f t="shared" si="21"/>
        <v>ns</v>
      </c>
      <c r="AQ125" s="53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row>
    <row r="126" spans="1:212" s="536" customFormat="1">
      <c r="A126" s="504">
        <v>126</v>
      </c>
      <c r="B126" s="525" t="s">
        <v>681</v>
      </c>
      <c r="C126" s="526">
        <v>395</v>
      </c>
      <c r="D126" s="525" t="s">
        <v>954</v>
      </c>
      <c r="E126" s="525" t="s">
        <v>1387</v>
      </c>
      <c r="F126" s="525" t="s">
        <v>663</v>
      </c>
      <c r="G126" s="525" t="s">
        <v>661</v>
      </c>
      <c r="H126" s="527" t="s">
        <v>681</v>
      </c>
      <c r="I126" s="528" t="s">
        <v>711</v>
      </c>
      <c r="J126" s="529" t="s">
        <v>948</v>
      </c>
      <c r="K126" s="528" t="s">
        <v>197</v>
      </c>
      <c r="L126" s="530" t="s">
        <v>197</v>
      </c>
      <c r="M126" s="529" t="s">
        <v>197</v>
      </c>
      <c r="N126" s="531" t="s">
        <v>671</v>
      </c>
      <c r="O126" s="532" t="s">
        <v>1370</v>
      </c>
      <c r="P126" s="525" t="s">
        <v>827</v>
      </c>
      <c r="Q126" s="532" t="s">
        <v>663</v>
      </c>
      <c r="R126" s="525" t="s">
        <v>662</v>
      </c>
      <c r="S126" s="525" t="s">
        <v>662</v>
      </c>
      <c r="T126" s="525" t="s">
        <v>663</v>
      </c>
      <c r="U126" s="525" t="s">
        <v>663</v>
      </c>
      <c r="V126" s="532" t="s">
        <v>663</v>
      </c>
      <c r="W126" s="532" t="s">
        <v>663</v>
      </c>
      <c r="X126" s="532" t="s">
        <v>663</v>
      </c>
      <c r="Y126" s="532" t="s">
        <v>663</v>
      </c>
      <c r="Z126" s="532" t="s">
        <v>663</v>
      </c>
      <c r="AA126" s="532" t="s">
        <v>663</v>
      </c>
      <c r="AB126" s="525" t="str">
        <f t="shared" si="24"/>
        <v>PHY</v>
      </c>
      <c r="AC126" s="525"/>
      <c r="AD126" s="533" t="str" cm="1">
        <f t="array" ref="AD126">IF(SUMPRODUCT(ISNUMBER(SEARCH("y",R126:AA126))+0)=0,"",IF(AA126="y","400G",IF(Z126="y","100G",IF(X126="y","40G",IF(V126="y","10G",IF(S126="y","1G",IF(R126="y","100M",""))))))&amp;" "&amp;AB126&amp;" "&amp;AC126)</f>
        <v xml:space="preserve">1G PHY </v>
      </c>
      <c r="AE126" s="534" t="str">
        <f t="shared" si="23"/>
        <v/>
      </c>
      <c r="AF126" s="910" t="str">
        <f t="shared" si="13"/>
        <v>ns</v>
      </c>
      <c r="AG126" s="911" t="str">
        <f t="shared" si="14"/>
        <v>.</v>
      </c>
      <c r="AH126" s="911" t="str">
        <f t="shared" si="22"/>
        <v>.</v>
      </c>
      <c r="AI126" s="911" t="str">
        <f t="shared" si="15"/>
        <v>ns</v>
      </c>
      <c r="AJ126" s="911" t="str">
        <f t="shared" si="16"/>
        <v>ns</v>
      </c>
      <c r="AK126" s="921" t="str">
        <f t="shared" si="17"/>
        <v>ns</v>
      </c>
      <c r="AL126" s="908" t="str">
        <f t="shared" si="17"/>
        <v>ns</v>
      </c>
      <c r="AM126" s="909" t="str">
        <f t="shared" si="18"/>
        <v>ns</v>
      </c>
      <c r="AN126" s="908" t="str">
        <f t="shared" si="19"/>
        <v>ns</v>
      </c>
      <c r="AO126" s="908" t="str">
        <f t="shared" si="20"/>
        <v>ns</v>
      </c>
      <c r="AP126" s="908" t="str">
        <f t="shared" si="21"/>
        <v>ns</v>
      </c>
      <c r="AQ126" s="535"/>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row>
    <row r="127" spans="1:212" s="536" customFormat="1">
      <c r="A127" s="504">
        <v>127</v>
      </c>
      <c r="B127" s="525" t="s">
        <v>681</v>
      </c>
      <c r="C127" s="526">
        <v>396</v>
      </c>
      <c r="D127" s="525" t="s">
        <v>955</v>
      </c>
      <c r="E127" s="525" t="s">
        <v>1388</v>
      </c>
      <c r="F127" s="525" t="s">
        <v>663</v>
      </c>
      <c r="G127" s="525" t="s">
        <v>661</v>
      </c>
      <c r="H127" s="527" t="s">
        <v>681</v>
      </c>
      <c r="I127" s="528" t="s">
        <v>682</v>
      </c>
      <c r="J127" s="529" t="s">
        <v>159</v>
      </c>
      <c r="K127" s="528" t="s">
        <v>197</v>
      </c>
      <c r="L127" s="530" t="s">
        <v>197</v>
      </c>
      <c r="M127" s="529" t="s">
        <v>197</v>
      </c>
      <c r="N127" s="531" t="s">
        <v>159</v>
      </c>
      <c r="O127" s="525" t="s">
        <v>159</v>
      </c>
      <c r="P127" s="525" t="s">
        <v>197</v>
      </c>
      <c r="Q127" s="532" t="s">
        <v>663</v>
      </c>
      <c r="R127" s="532" t="s">
        <v>663</v>
      </c>
      <c r="S127" s="532" t="s">
        <v>663</v>
      </c>
      <c r="T127" s="525" t="s">
        <v>663</v>
      </c>
      <c r="U127" s="525" t="s">
        <v>663</v>
      </c>
      <c r="V127" s="532" t="s">
        <v>663</v>
      </c>
      <c r="W127" s="532" t="s">
        <v>663</v>
      </c>
      <c r="X127" s="532" t="s">
        <v>663</v>
      </c>
      <c r="Y127" s="532" t="s">
        <v>663</v>
      </c>
      <c r="Z127" s="532" t="s">
        <v>663</v>
      </c>
      <c r="AA127" s="532" t="s">
        <v>663</v>
      </c>
      <c r="AB127" s="525" t="str">
        <f t="shared" si="24"/>
        <v/>
      </c>
      <c r="AC127" s="525"/>
      <c r="AD127" s="533" t="str" cm="1">
        <f t="array" ref="AD127">IF(SUMPRODUCT(ISNUMBER(SEARCH("y",R127:AA127))+0)=0,"",IF(AA127="y","400G",IF(Z127="y","100G",IF(X127="y","40G",IF(V127="y","10G",IF(S127="y","1G",IF(R127="y","100M",""))))))&amp;" "&amp;AB127&amp;" "&amp;AC127)</f>
        <v/>
      </c>
      <c r="AE127" s="534" t="str">
        <f t="shared" si="23"/>
        <v/>
      </c>
      <c r="AF127" s="910" t="str">
        <f t="shared" si="13"/>
        <v>ns</v>
      </c>
      <c r="AG127" s="911" t="str">
        <f t="shared" si="14"/>
        <v>ns</v>
      </c>
      <c r="AH127" s="911" t="str">
        <f t="shared" si="22"/>
        <v>ns</v>
      </c>
      <c r="AI127" s="911" t="str">
        <f t="shared" si="15"/>
        <v>ns</v>
      </c>
      <c r="AJ127" s="911" t="str">
        <f t="shared" si="16"/>
        <v>ns</v>
      </c>
      <c r="AK127" s="921" t="str">
        <f t="shared" si="17"/>
        <v>ns</v>
      </c>
      <c r="AL127" s="908" t="str">
        <f t="shared" si="17"/>
        <v>ns</v>
      </c>
      <c r="AM127" s="909" t="str">
        <f t="shared" si="18"/>
        <v>ns</v>
      </c>
      <c r="AN127" s="908" t="str">
        <f t="shared" si="19"/>
        <v>ns</v>
      </c>
      <c r="AO127" s="908" t="str">
        <f t="shared" si="20"/>
        <v>ns</v>
      </c>
      <c r="AP127" s="908" t="str">
        <f t="shared" si="21"/>
        <v>ns</v>
      </c>
      <c r="AQ127" s="535"/>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row>
    <row r="128" spans="1:212" s="536" customFormat="1">
      <c r="A128" s="504">
        <v>128</v>
      </c>
      <c r="B128" s="525" t="s">
        <v>681</v>
      </c>
      <c r="C128" s="526">
        <v>397</v>
      </c>
      <c r="D128" s="525" t="s">
        <v>957</v>
      </c>
      <c r="E128" s="525" t="s">
        <v>1389</v>
      </c>
      <c r="F128" s="525" t="s">
        <v>663</v>
      </c>
      <c r="G128" s="525" t="s">
        <v>661</v>
      </c>
      <c r="H128" s="527" t="s">
        <v>681</v>
      </c>
      <c r="I128" s="528" t="s">
        <v>682</v>
      </c>
      <c r="J128" s="529" t="s">
        <v>159</v>
      </c>
      <c r="K128" s="528" t="s">
        <v>197</v>
      </c>
      <c r="L128" s="530" t="s">
        <v>197</v>
      </c>
      <c r="M128" s="529" t="s">
        <v>197</v>
      </c>
      <c r="N128" s="531" t="s">
        <v>159</v>
      </c>
      <c r="O128" s="525" t="s">
        <v>159</v>
      </c>
      <c r="P128" s="525" t="s">
        <v>197</v>
      </c>
      <c r="Q128" s="532" t="s">
        <v>663</v>
      </c>
      <c r="R128" s="532" t="s">
        <v>663</v>
      </c>
      <c r="S128" s="532" t="s">
        <v>663</v>
      </c>
      <c r="T128" s="525" t="s">
        <v>663</v>
      </c>
      <c r="U128" s="525" t="s">
        <v>663</v>
      </c>
      <c r="V128" s="532" t="s">
        <v>663</v>
      </c>
      <c r="W128" s="532" t="s">
        <v>663</v>
      </c>
      <c r="X128" s="532" t="s">
        <v>663</v>
      </c>
      <c r="Y128" s="532" t="s">
        <v>663</v>
      </c>
      <c r="Z128" s="532" t="s">
        <v>663</v>
      </c>
      <c r="AA128" s="532" t="s">
        <v>663</v>
      </c>
      <c r="AB128" s="525" t="str">
        <f t="shared" si="24"/>
        <v/>
      </c>
      <c r="AC128" s="525"/>
      <c r="AD128" s="533" t="str" cm="1">
        <f t="array" ref="AD128">IF(SUMPRODUCT(ISNUMBER(SEARCH("y",R128:AA128))+0)=0,"",IF(AA128="y","400G",IF(Z128="y","100G",IF(X128="y","40G",IF(V128="y","10G",IF(S128="y","1G",IF(R128="y","100M",""))))))&amp;" "&amp;AB128&amp;" "&amp;AC128)</f>
        <v/>
      </c>
      <c r="AE128" s="534" t="str">
        <f t="shared" si="23"/>
        <v/>
      </c>
      <c r="AF128" s="910" t="str">
        <f t="shared" si="13"/>
        <v>ns</v>
      </c>
      <c r="AG128" s="911" t="str">
        <f t="shared" si="14"/>
        <v>ns</v>
      </c>
      <c r="AH128" s="911" t="str">
        <f t="shared" si="22"/>
        <v>ns</v>
      </c>
      <c r="AI128" s="911" t="str">
        <f t="shared" si="15"/>
        <v>ns</v>
      </c>
      <c r="AJ128" s="911" t="str">
        <f t="shared" si="16"/>
        <v>ns</v>
      </c>
      <c r="AK128" s="921" t="str">
        <f t="shared" si="17"/>
        <v>ns</v>
      </c>
      <c r="AL128" s="908" t="str">
        <f t="shared" si="17"/>
        <v>ns</v>
      </c>
      <c r="AM128" s="909" t="str">
        <f t="shared" si="18"/>
        <v>ns</v>
      </c>
      <c r="AN128" s="908" t="str">
        <f t="shared" si="19"/>
        <v>ns</v>
      </c>
      <c r="AO128" s="908" t="str">
        <f t="shared" si="20"/>
        <v>ns</v>
      </c>
      <c r="AP128" s="908" t="str">
        <f t="shared" si="21"/>
        <v>ns</v>
      </c>
      <c r="AQ128" s="535"/>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row>
    <row r="129" spans="1:212" s="536" customFormat="1">
      <c r="A129" s="504">
        <v>129</v>
      </c>
      <c r="B129" s="525" t="s">
        <v>681</v>
      </c>
      <c r="C129" s="526">
        <v>398</v>
      </c>
      <c r="D129" s="525" t="s">
        <v>956</v>
      </c>
      <c r="E129" s="525" t="s">
        <v>1390</v>
      </c>
      <c r="F129" s="525" t="s">
        <v>663</v>
      </c>
      <c r="G129" s="525" t="s">
        <v>661</v>
      </c>
      <c r="H129" s="527" t="s">
        <v>681</v>
      </c>
      <c r="I129" s="528" t="s">
        <v>682</v>
      </c>
      <c r="J129" s="529" t="s">
        <v>159</v>
      </c>
      <c r="K129" s="528" t="s">
        <v>197</v>
      </c>
      <c r="L129" s="530" t="s">
        <v>197</v>
      </c>
      <c r="M129" s="529" t="s">
        <v>197</v>
      </c>
      <c r="N129" s="531" t="s">
        <v>159</v>
      </c>
      <c r="O129" s="525" t="s">
        <v>159</v>
      </c>
      <c r="P129" s="525" t="s">
        <v>197</v>
      </c>
      <c r="Q129" s="532" t="s">
        <v>663</v>
      </c>
      <c r="R129" s="532" t="s">
        <v>663</v>
      </c>
      <c r="S129" s="532" t="s">
        <v>663</v>
      </c>
      <c r="T129" s="525" t="s">
        <v>663</v>
      </c>
      <c r="U129" s="525" t="s">
        <v>663</v>
      </c>
      <c r="V129" s="532" t="s">
        <v>663</v>
      </c>
      <c r="W129" s="532" t="s">
        <v>663</v>
      </c>
      <c r="X129" s="532" t="s">
        <v>663</v>
      </c>
      <c r="Y129" s="532" t="s">
        <v>663</v>
      </c>
      <c r="Z129" s="532" t="s">
        <v>663</v>
      </c>
      <c r="AA129" s="532" t="s">
        <v>663</v>
      </c>
      <c r="AB129" s="525" t="str">
        <f t="shared" si="24"/>
        <v/>
      </c>
      <c r="AC129" s="525"/>
      <c r="AD129" s="533" t="str" cm="1">
        <f t="array" ref="AD129">IF(SUMPRODUCT(ISNUMBER(SEARCH("y",R129:AA129))+0)=0,"",IF(AA129="y","400G",IF(Z129="y","100G",IF(X129="y","40G",IF(V129="y","10G",IF(S129="y","1G",IF(R129="y","100M",""))))))&amp;" "&amp;AB129&amp;" "&amp;AC129)</f>
        <v/>
      </c>
      <c r="AE129" s="534" t="str">
        <f t="shared" si="23"/>
        <v/>
      </c>
      <c r="AF129" s="910" t="str">
        <f t="shared" si="13"/>
        <v>ns</v>
      </c>
      <c r="AG129" s="911" t="str">
        <f t="shared" si="14"/>
        <v>ns</v>
      </c>
      <c r="AH129" s="911" t="str">
        <f t="shared" si="22"/>
        <v>ns</v>
      </c>
      <c r="AI129" s="911" t="str">
        <f t="shared" si="15"/>
        <v>ns</v>
      </c>
      <c r="AJ129" s="911" t="str">
        <f t="shared" si="16"/>
        <v>ns</v>
      </c>
      <c r="AK129" s="921" t="str">
        <f t="shared" si="17"/>
        <v>ns</v>
      </c>
      <c r="AL129" s="908" t="str">
        <f t="shared" si="17"/>
        <v>ns</v>
      </c>
      <c r="AM129" s="909" t="str">
        <f t="shared" si="18"/>
        <v>ns</v>
      </c>
      <c r="AN129" s="908" t="str">
        <f t="shared" si="19"/>
        <v>ns</v>
      </c>
      <c r="AO129" s="908" t="str">
        <f t="shared" si="20"/>
        <v>ns</v>
      </c>
      <c r="AP129" s="908" t="str">
        <f t="shared" si="21"/>
        <v>ns</v>
      </c>
      <c r="AQ129" s="535"/>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row>
    <row r="130" spans="1:212" s="536" customFormat="1">
      <c r="A130" s="504">
        <v>130</v>
      </c>
      <c r="B130" s="525" t="s">
        <v>681</v>
      </c>
      <c r="C130" s="526">
        <v>399</v>
      </c>
      <c r="D130" s="525" t="s">
        <v>958</v>
      </c>
      <c r="E130" s="525" t="s">
        <v>1391</v>
      </c>
      <c r="F130" s="525" t="s">
        <v>663</v>
      </c>
      <c r="G130" s="525" t="s">
        <v>661</v>
      </c>
      <c r="H130" s="527" t="s">
        <v>681</v>
      </c>
      <c r="I130" s="528" t="s">
        <v>682</v>
      </c>
      <c r="J130" s="529" t="s">
        <v>159</v>
      </c>
      <c r="K130" s="528" t="s">
        <v>197</v>
      </c>
      <c r="L130" s="530" t="s">
        <v>197</v>
      </c>
      <c r="M130" s="529" t="s">
        <v>197</v>
      </c>
      <c r="N130" s="531" t="s">
        <v>159</v>
      </c>
      <c r="O130" s="525" t="s">
        <v>159</v>
      </c>
      <c r="P130" s="525" t="s">
        <v>197</v>
      </c>
      <c r="Q130" s="532" t="s">
        <v>663</v>
      </c>
      <c r="R130" s="532" t="s">
        <v>663</v>
      </c>
      <c r="S130" s="532" t="s">
        <v>663</v>
      </c>
      <c r="T130" s="525" t="s">
        <v>663</v>
      </c>
      <c r="U130" s="525" t="s">
        <v>663</v>
      </c>
      <c r="V130" s="532" t="s">
        <v>663</v>
      </c>
      <c r="W130" s="532" t="s">
        <v>663</v>
      </c>
      <c r="X130" s="532" t="s">
        <v>663</v>
      </c>
      <c r="Y130" s="532" t="s">
        <v>663</v>
      </c>
      <c r="Z130" s="532" t="s">
        <v>663</v>
      </c>
      <c r="AA130" s="532" t="s">
        <v>663</v>
      </c>
      <c r="AB130" s="525" t="str">
        <f t="shared" si="24"/>
        <v/>
      </c>
      <c r="AC130" s="525"/>
      <c r="AD130" s="533" t="str" cm="1">
        <f t="array" ref="AD130">IF(SUMPRODUCT(ISNUMBER(SEARCH("y",R130:AA130))+0)=0,"",IF(AA130="y","400G",IF(Z130="y","100G",IF(X130="y","40G",IF(V130="y","10G",IF(S130="y","1G",IF(R130="y","100M",""))))))&amp;" "&amp;AB130&amp;" "&amp;AC130)</f>
        <v/>
      </c>
      <c r="AE130" s="534" t="str">
        <f t="shared" si="23"/>
        <v/>
      </c>
      <c r="AF130" s="910" t="str">
        <f t="shared" si="13"/>
        <v>ns</v>
      </c>
      <c r="AG130" s="911" t="str">
        <f t="shared" si="14"/>
        <v>ns</v>
      </c>
      <c r="AH130" s="911" t="str">
        <f t="shared" si="22"/>
        <v>ns</v>
      </c>
      <c r="AI130" s="911" t="str">
        <f t="shared" si="15"/>
        <v>ns</v>
      </c>
      <c r="AJ130" s="911" t="str">
        <f t="shared" si="16"/>
        <v>ns</v>
      </c>
      <c r="AK130" s="921" t="str">
        <f t="shared" si="17"/>
        <v>ns</v>
      </c>
      <c r="AL130" s="908" t="str">
        <f t="shared" si="17"/>
        <v>ns</v>
      </c>
      <c r="AM130" s="909" t="str">
        <f t="shared" si="18"/>
        <v>ns</v>
      </c>
      <c r="AN130" s="908" t="str">
        <f t="shared" si="19"/>
        <v>ns</v>
      </c>
      <c r="AO130" s="908" t="str">
        <f t="shared" si="20"/>
        <v>ns</v>
      </c>
      <c r="AP130" s="908" t="str">
        <f t="shared" si="21"/>
        <v>ns</v>
      </c>
      <c r="AQ130" s="535"/>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row>
    <row r="131" spans="1:212">
      <c r="A131" s="537">
        <v>131</v>
      </c>
      <c r="B131" s="537" t="s">
        <v>57</v>
      </c>
      <c r="C131" s="538">
        <v>421</v>
      </c>
      <c r="D131" s="537" t="s">
        <v>995</v>
      </c>
      <c r="E131" s="537" t="s">
        <v>1392</v>
      </c>
      <c r="F131" s="537" t="s">
        <v>663</v>
      </c>
      <c r="G131" s="537" t="s">
        <v>661</v>
      </c>
      <c r="H131" s="539" t="s">
        <v>59</v>
      </c>
      <c r="I131" s="540" t="s">
        <v>976</v>
      </c>
      <c r="J131" s="541" t="s">
        <v>996</v>
      </c>
      <c r="K131" s="540" t="s">
        <v>197</v>
      </c>
      <c r="L131" s="550" t="s">
        <v>197</v>
      </c>
      <c r="M131" s="541" t="s">
        <v>197</v>
      </c>
      <c r="N131" s="543" t="s">
        <v>740</v>
      </c>
      <c r="O131" s="544" t="s">
        <v>899</v>
      </c>
      <c r="P131" s="537" t="s">
        <v>1259</v>
      </c>
      <c r="Q131" s="544" t="s">
        <v>663</v>
      </c>
      <c r="R131" s="537" t="s">
        <v>662</v>
      </c>
      <c r="S131" s="537" t="s">
        <v>662</v>
      </c>
      <c r="T131" s="537" t="s">
        <v>663</v>
      </c>
      <c r="U131" s="537" t="s">
        <v>663</v>
      </c>
      <c r="V131" s="544" t="s">
        <v>663</v>
      </c>
      <c r="W131" s="544" t="s">
        <v>663</v>
      </c>
      <c r="X131" s="544" t="s">
        <v>663</v>
      </c>
      <c r="Y131" s="544" t="s">
        <v>663</v>
      </c>
      <c r="Z131" s="544" t="s">
        <v>663</v>
      </c>
      <c r="AA131" s="544" t="s">
        <v>663</v>
      </c>
      <c r="AB131" s="537" t="str">
        <f t="shared" si="24"/>
        <v>PHY</v>
      </c>
      <c r="AC131" s="537" t="s">
        <v>1201</v>
      </c>
      <c r="AD131" s="545" t="str" cm="1">
        <f t="array" ref="AD131">IF(SUMPRODUCT(ISNUMBER(SEARCH("y",R131:AA131))+0)=0,"",IF(AA131="y","400G",IF(Z131="y","100G",IF(X131="y","40G",IF(V131="y","10G",IF(S131="y","1G",IF(R131="y","100M",""))))))&amp;" "&amp;AB131&amp;" "&amp;AC131)</f>
        <v>1G PHY BASE</v>
      </c>
      <c r="AE131" s="546" t="str">
        <f t="shared" si="23"/>
        <v/>
      </c>
      <c r="AF131" s="912" t="str">
        <f t="shared" ref="AF131:AF194" si="25">IF(Q131="n","ns",".")</f>
        <v>ns</v>
      </c>
      <c r="AG131" s="405" t="str">
        <f t="shared" ref="AG131:AG194" si="26">IF(R131="n","ns",".")</f>
        <v>.</v>
      </c>
      <c r="AH131" s="405" t="str">
        <f t="shared" si="22"/>
        <v>.</v>
      </c>
      <c r="AI131" s="405" t="str">
        <f t="shared" ref="AI131:AI194" si="27">IF(T131="n","ns",".")</f>
        <v>ns</v>
      </c>
      <c r="AJ131" s="405" t="str">
        <f t="shared" ref="AJ131:AJ194" si="28">IF(U131="n","ns",".")</f>
        <v>ns</v>
      </c>
      <c r="AK131" s="922" t="str">
        <f t="shared" ref="AK131:AL194" si="29">IF(V131="n","ns",".")</f>
        <v>ns</v>
      </c>
      <c r="AL131" s="405" t="str">
        <f t="shared" si="29"/>
        <v>ns</v>
      </c>
      <c r="AM131" s="912" t="str">
        <f t="shared" ref="AM131:AM194" si="30">IF(X131="n","ns",".")</f>
        <v>ns</v>
      </c>
      <c r="AN131" s="405" t="str">
        <f t="shared" ref="AN131:AN194" si="31">IF(Y131="n","ns",".")</f>
        <v>ns</v>
      </c>
      <c r="AO131" s="405" t="str">
        <f t="shared" ref="AO131:AO194" si="32">IF(Z131="n","ns",".")</f>
        <v>ns</v>
      </c>
      <c r="AP131" s="405" t="str">
        <f t="shared" ref="AP131:AP194" si="33">IF(AA131="n","ns",".")</f>
        <v>ns</v>
      </c>
      <c r="AQ131" s="547" t="s">
        <v>662</v>
      </c>
    </row>
    <row r="132" spans="1:212">
      <c r="A132" s="537">
        <v>132</v>
      </c>
      <c r="B132" s="537" t="s">
        <v>57</v>
      </c>
      <c r="C132" s="538">
        <v>421</v>
      </c>
      <c r="D132" s="537" t="s">
        <v>995</v>
      </c>
      <c r="E132" s="537" t="s">
        <v>1392</v>
      </c>
      <c r="F132" s="537" t="s">
        <v>663</v>
      </c>
      <c r="G132" s="537" t="s">
        <v>661</v>
      </c>
      <c r="H132" s="539" t="s">
        <v>59</v>
      </c>
      <c r="I132" s="540" t="s">
        <v>976</v>
      </c>
      <c r="J132" s="541" t="s">
        <v>688</v>
      </c>
      <c r="K132" s="540" t="s">
        <v>197</v>
      </c>
      <c r="L132" s="550" t="s">
        <v>197</v>
      </c>
      <c r="M132" s="541" t="s">
        <v>197</v>
      </c>
      <c r="N132" s="543" t="s">
        <v>827</v>
      </c>
      <c r="O132" s="544" t="s">
        <v>889</v>
      </c>
      <c r="P132" s="537" t="s">
        <v>1393</v>
      </c>
      <c r="Q132" s="544" t="s">
        <v>663</v>
      </c>
      <c r="R132" s="544" t="s">
        <v>663</v>
      </c>
      <c r="S132" s="537" t="s">
        <v>662</v>
      </c>
      <c r="T132" s="537" t="s">
        <v>663</v>
      </c>
      <c r="U132" s="537" t="s">
        <v>663</v>
      </c>
      <c r="V132" s="544" t="s">
        <v>662</v>
      </c>
      <c r="W132" s="544" t="s">
        <v>663</v>
      </c>
      <c r="X132" s="544" t="s">
        <v>663</v>
      </c>
      <c r="Y132" s="544" t="s">
        <v>663</v>
      </c>
      <c r="Z132" s="544" t="s">
        <v>663</v>
      </c>
      <c r="AA132" s="544" t="s">
        <v>663</v>
      </c>
      <c r="AB132" s="537" t="str">
        <f t="shared" si="24"/>
        <v>DC</v>
      </c>
      <c r="AC132" s="537" t="s">
        <v>1192</v>
      </c>
      <c r="AD132" s="545" t="str" cm="1">
        <f t="array" ref="AD132">IF(SUMPRODUCT(ISNUMBER(SEARCH("y",R132:AA132))+0)=0,"",IF(AA132="y","400G",IF(Z132="y","100G",IF(X132="y","40G",IF(V132="y","10G",IF(S132="y","1G",IF(R132="y","100M",""))))))&amp;" "&amp;AB132&amp;" "&amp;AC132)</f>
        <v>10G DC UPLINK</v>
      </c>
      <c r="AE132" s="546" t="str">
        <f t="shared" si="23"/>
        <v/>
      </c>
      <c r="AF132" s="912" t="str">
        <f t="shared" si="25"/>
        <v>ns</v>
      </c>
      <c r="AG132" s="405" t="str">
        <f t="shared" si="26"/>
        <v>ns</v>
      </c>
      <c r="AH132" s="405" t="str">
        <f t="shared" ref="AH132:AH195" si="34">IF(S132="n","ns",".")</f>
        <v>.</v>
      </c>
      <c r="AI132" s="405" t="str">
        <f t="shared" si="27"/>
        <v>ns</v>
      </c>
      <c r="AJ132" s="405" t="str">
        <f t="shared" si="28"/>
        <v>ns</v>
      </c>
      <c r="AK132" s="922" t="str">
        <f t="shared" si="29"/>
        <v>.</v>
      </c>
      <c r="AL132" s="405" t="str">
        <f t="shared" si="29"/>
        <v>ns</v>
      </c>
      <c r="AM132" s="912" t="str">
        <f t="shared" si="30"/>
        <v>ns</v>
      </c>
      <c r="AN132" s="405" t="str">
        <f t="shared" si="31"/>
        <v>ns</v>
      </c>
      <c r="AO132" s="405" t="str">
        <f t="shared" si="32"/>
        <v>ns</v>
      </c>
      <c r="AP132" s="405" t="str">
        <f t="shared" si="33"/>
        <v>ns</v>
      </c>
      <c r="AQ132" s="547" t="s">
        <v>979</v>
      </c>
    </row>
    <row r="133" spans="1:212">
      <c r="A133" s="537">
        <v>133</v>
      </c>
      <c r="B133" s="537" t="s">
        <v>999</v>
      </c>
      <c r="C133" s="538">
        <v>458</v>
      </c>
      <c r="D133" s="537" t="s">
        <v>1394</v>
      </c>
      <c r="E133" s="537" t="s">
        <v>1395</v>
      </c>
      <c r="F133" s="537" t="s">
        <v>662</v>
      </c>
      <c r="G133" s="537" t="s">
        <v>661</v>
      </c>
      <c r="H133" s="539" t="s">
        <v>59</v>
      </c>
      <c r="I133" s="540" t="s">
        <v>976</v>
      </c>
      <c r="J133" s="541" t="s">
        <v>977</v>
      </c>
      <c r="K133" s="540" t="s">
        <v>197</v>
      </c>
      <c r="L133" s="550" t="s">
        <v>197</v>
      </c>
      <c r="M133" s="541" t="s">
        <v>197</v>
      </c>
      <c r="N133" s="543" t="s">
        <v>740</v>
      </c>
      <c r="O133" s="544" t="s">
        <v>889</v>
      </c>
      <c r="P133" s="537" t="s">
        <v>1393</v>
      </c>
      <c r="Q133" s="544" t="s">
        <v>663</v>
      </c>
      <c r="R133" s="544" t="s">
        <v>663</v>
      </c>
      <c r="S133" s="537" t="s">
        <v>662</v>
      </c>
      <c r="T133" s="537" t="s">
        <v>663</v>
      </c>
      <c r="U133" s="537" t="s">
        <v>663</v>
      </c>
      <c r="V133" s="544" t="s">
        <v>662</v>
      </c>
      <c r="W133" s="544" t="s">
        <v>663</v>
      </c>
      <c r="X133" s="544" t="s">
        <v>663</v>
      </c>
      <c r="Y133" s="544" t="s">
        <v>663</v>
      </c>
      <c r="Z133" s="544" t="s">
        <v>663</v>
      </c>
      <c r="AA133" s="544" t="s">
        <v>663</v>
      </c>
      <c r="AB133" s="537" t="str">
        <f t="shared" si="24"/>
        <v>PHY</v>
      </c>
      <c r="AC133" s="537" t="s">
        <v>1192</v>
      </c>
      <c r="AD133" s="545" t="str" cm="1">
        <f t="array" ref="AD133">IF(SUMPRODUCT(ISNUMBER(SEARCH("y",R133:AA133))+0)=0,"",IF(AA133="y","400G",IF(Z133="y","100G",IF(X133="y","40G",IF(V133="y","10G",IF(S133="y","1G",IF(R133="y","100M",""))))))&amp;" "&amp;AB133&amp;" "&amp;AC133)</f>
        <v>10G PHY UPLINK</v>
      </c>
      <c r="AE133" s="546" t="str">
        <f t="shared" si="23"/>
        <v/>
      </c>
      <c r="AF133" s="912" t="str">
        <f t="shared" si="25"/>
        <v>ns</v>
      </c>
      <c r="AG133" s="405" t="str">
        <f t="shared" si="26"/>
        <v>ns</v>
      </c>
      <c r="AH133" s="405" t="str">
        <f t="shared" si="34"/>
        <v>.</v>
      </c>
      <c r="AI133" s="405" t="str">
        <f t="shared" si="27"/>
        <v>ns</v>
      </c>
      <c r="AJ133" s="405" t="str">
        <f t="shared" si="28"/>
        <v>ns</v>
      </c>
      <c r="AK133" s="922" t="str">
        <f t="shared" si="29"/>
        <v>.</v>
      </c>
      <c r="AL133" s="405" t="str">
        <f t="shared" si="29"/>
        <v>ns</v>
      </c>
      <c r="AM133" s="912" t="str">
        <f t="shared" si="30"/>
        <v>ns</v>
      </c>
      <c r="AN133" s="405" t="str">
        <f t="shared" si="31"/>
        <v>ns</v>
      </c>
      <c r="AO133" s="405" t="str">
        <f t="shared" si="32"/>
        <v>ns</v>
      </c>
      <c r="AP133" s="405" t="str">
        <f t="shared" si="33"/>
        <v>ns</v>
      </c>
      <c r="AQ133" s="547" t="s">
        <v>979</v>
      </c>
    </row>
    <row r="134" spans="1:212">
      <c r="A134" s="537">
        <v>134</v>
      </c>
      <c r="B134" s="537" t="s">
        <v>999</v>
      </c>
      <c r="C134" s="538">
        <v>459</v>
      </c>
      <c r="D134" s="537" t="s">
        <v>1396</v>
      </c>
      <c r="E134" s="537" t="s">
        <v>1397</v>
      </c>
      <c r="F134" s="537" t="s">
        <v>662</v>
      </c>
      <c r="G134" s="537" t="s">
        <v>661</v>
      </c>
      <c r="H134" s="539" t="s">
        <v>59</v>
      </c>
      <c r="I134" s="540" t="s">
        <v>976</v>
      </c>
      <c r="J134" s="541" t="s">
        <v>977</v>
      </c>
      <c r="K134" s="540" t="s">
        <v>197</v>
      </c>
      <c r="L134" s="550" t="s">
        <v>197</v>
      </c>
      <c r="M134" s="541" t="s">
        <v>197</v>
      </c>
      <c r="N134" s="543" t="s">
        <v>740</v>
      </c>
      <c r="O134" s="544" t="s">
        <v>1202</v>
      </c>
      <c r="P134" s="537" t="s">
        <v>1393</v>
      </c>
      <c r="Q134" s="544" t="s">
        <v>663</v>
      </c>
      <c r="R134" s="544" t="s">
        <v>663</v>
      </c>
      <c r="S134" s="537" t="s">
        <v>662</v>
      </c>
      <c r="T134" s="537" t="s">
        <v>663</v>
      </c>
      <c r="U134" s="537" t="s">
        <v>663</v>
      </c>
      <c r="V134" s="544" t="s">
        <v>662</v>
      </c>
      <c r="W134" s="544" t="s">
        <v>663</v>
      </c>
      <c r="X134" s="544" t="s">
        <v>663</v>
      </c>
      <c r="Y134" s="544" t="s">
        <v>663</v>
      </c>
      <c r="Z134" s="544" t="s">
        <v>663</v>
      </c>
      <c r="AA134" s="544" t="s">
        <v>663</v>
      </c>
      <c r="AB134" s="537" t="str">
        <f t="shared" si="24"/>
        <v>PHY</v>
      </c>
      <c r="AC134" s="537" t="s">
        <v>1192</v>
      </c>
      <c r="AD134" s="545" t="str" cm="1">
        <f t="array" ref="AD134">IF(SUMPRODUCT(ISNUMBER(SEARCH("y",R134:AA134))+0)=0,"",IF(AA134="y","400G",IF(Z134="y","100G",IF(X134="y","40G",IF(V134="y","10G",IF(S134="y","1G",IF(R134="y","100M",""))))))&amp;" "&amp;AB134&amp;" "&amp;AC134)</f>
        <v>10G PHY UPLINK</v>
      </c>
      <c r="AE134" s="546" t="str">
        <f t="shared" si="23"/>
        <v/>
      </c>
      <c r="AF134" s="912" t="str">
        <f t="shared" si="25"/>
        <v>ns</v>
      </c>
      <c r="AG134" s="405" t="str">
        <f t="shared" si="26"/>
        <v>ns</v>
      </c>
      <c r="AH134" s="405" t="str">
        <f t="shared" si="34"/>
        <v>.</v>
      </c>
      <c r="AI134" s="405" t="str">
        <f t="shared" si="27"/>
        <v>ns</v>
      </c>
      <c r="AJ134" s="405" t="str">
        <f t="shared" si="28"/>
        <v>ns</v>
      </c>
      <c r="AK134" s="922" t="str">
        <f t="shared" si="29"/>
        <v>.</v>
      </c>
      <c r="AL134" s="405" t="str">
        <f t="shared" si="29"/>
        <v>ns</v>
      </c>
      <c r="AM134" s="912" t="str">
        <f t="shared" si="30"/>
        <v>ns</v>
      </c>
      <c r="AN134" s="405" t="str">
        <f t="shared" si="31"/>
        <v>ns</v>
      </c>
      <c r="AO134" s="405" t="str">
        <f t="shared" si="32"/>
        <v>ns</v>
      </c>
      <c r="AP134" s="405" t="str">
        <f t="shared" si="33"/>
        <v>ns</v>
      </c>
      <c r="AQ134" s="547" t="s">
        <v>979</v>
      </c>
    </row>
    <row r="135" spans="1:212">
      <c r="A135" s="537">
        <v>135</v>
      </c>
      <c r="B135" s="537" t="s">
        <v>999</v>
      </c>
      <c r="C135" s="538">
        <v>460</v>
      </c>
      <c r="D135" s="537" t="s">
        <v>1398</v>
      </c>
      <c r="E135" s="537" t="s">
        <v>1399</v>
      </c>
      <c r="F135" s="537" t="s">
        <v>662</v>
      </c>
      <c r="G135" s="537" t="s">
        <v>661</v>
      </c>
      <c r="H135" s="539" t="s">
        <v>59</v>
      </c>
      <c r="I135" s="540" t="s">
        <v>976</v>
      </c>
      <c r="J135" s="541" t="s">
        <v>977</v>
      </c>
      <c r="K135" s="540" t="s">
        <v>197</v>
      </c>
      <c r="L135" s="550" t="s">
        <v>197</v>
      </c>
      <c r="M135" s="541" t="s">
        <v>197</v>
      </c>
      <c r="N135" s="543" t="s">
        <v>740</v>
      </c>
      <c r="O135" s="544" t="s">
        <v>889</v>
      </c>
      <c r="P135" s="537" t="s">
        <v>1393</v>
      </c>
      <c r="Q135" s="544" t="s">
        <v>663</v>
      </c>
      <c r="R135" s="544" t="s">
        <v>663</v>
      </c>
      <c r="S135" s="537" t="s">
        <v>662</v>
      </c>
      <c r="T135" s="537" t="s">
        <v>663</v>
      </c>
      <c r="U135" s="537" t="s">
        <v>663</v>
      </c>
      <c r="V135" s="544" t="s">
        <v>662</v>
      </c>
      <c r="W135" s="544" t="s">
        <v>663</v>
      </c>
      <c r="X135" s="544" t="s">
        <v>663</v>
      </c>
      <c r="Y135" s="544" t="s">
        <v>663</v>
      </c>
      <c r="Z135" s="544" t="s">
        <v>663</v>
      </c>
      <c r="AA135" s="544" t="s">
        <v>663</v>
      </c>
      <c r="AB135" s="537" t="str">
        <f t="shared" si="24"/>
        <v>PHY</v>
      </c>
      <c r="AC135" s="537" t="s">
        <v>1192</v>
      </c>
      <c r="AD135" s="545" t="str" cm="1">
        <f t="array" ref="AD135">IF(SUMPRODUCT(ISNUMBER(SEARCH("y",R135:AA135))+0)=0,"",IF(AA135="y","400G",IF(Z135="y","100G",IF(X135="y","40G",IF(V135="y","10G",IF(S135="y","1G",IF(R135="y","100M",""))))))&amp;" "&amp;AB135&amp;" "&amp;AC135)</f>
        <v>10G PHY UPLINK</v>
      </c>
      <c r="AE135" s="546" t="str">
        <f t="shared" si="23"/>
        <v/>
      </c>
      <c r="AF135" s="912" t="str">
        <f t="shared" si="25"/>
        <v>ns</v>
      </c>
      <c r="AG135" s="405" t="str">
        <f t="shared" si="26"/>
        <v>ns</v>
      </c>
      <c r="AH135" s="405" t="str">
        <f t="shared" si="34"/>
        <v>.</v>
      </c>
      <c r="AI135" s="405" t="str">
        <f t="shared" si="27"/>
        <v>ns</v>
      </c>
      <c r="AJ135" s="405" t="str">
        <f t="shared" si="28"/>
        <v>ns</v>
      </c>
      <c r="AK135" s="922" t="str">
        <f t="shared" si="29"/>
        <v>.</v>
      </c>
      <c r="AL135" s="405" t="str">
        <f t="shared" si="29"/>
        <v>ns</v>
      </c>
      <c r="AM135" s="912" t="str">
        <f t="shared" si="30"/>
        <v>ns</v>
      </c>
      <c r="AN135" s="405" t="str">
        <f t="shared" si="31"/>
        <v>ns</v>
      </c>
      <c r="AO135" s="405" t="str">
        <f t="shared" si="32"/>
        <v>ns</v>
      </c>
      <c r="AP135" s="405" t="str">
        <f t="shared" si="33"/>
        <v>ns</v>
      </c>
      <c r="AQ135" s="547" t="s">
        <v>979</v>
      </c>
    </row>
    <row r="136" spans="1:212">
      <c r="A136" s="537">
        <v>136</v>
      </c>
      <c r="B136" s="537" t="s">
        <v>999</v>
      </c>
      <c r="C136" s="538">
        <v>461</v>
      </c>
      <c r="D136" s="537" t="s">
        <v>1400</v>
      </c>
      <c r="E136" s="537" t="s">
        <v>1401</v>
      </c>
      <c r="F136" s="537" t="s">
        <v>662</v>
      </c>
      <c r="G136" s="537" t="s">
        <v>661</v>
      </c>
      <c r="H136" s="539" t="s">
        <v>59</v>
      </c>
      <c r="I136" s="540" t="s">
        <v>976</v>
      </c>
      <c r="J136" s="541" t="s">
        <v>977</v>
      </c>
      <c r="K136" s="540" t="s">
        <v>197</v>
      </c>
      <c r="L136" s="550" t="s">
        <v>197</v>
      </c>
      <c r="M136" s="541" t="s">
        <v>197</v>
      </c>
      <c r="N136" s="543" t="s">
        <v>740</v>
      </c>
      <c r="O136" s="544" t="s">
        <v>1202</v>
      </c>
      <c r="P136" s="537" t="s">
        <v>1393</v>
      </c>
      <c r="Q136" s="544" t="s">
        <v>663</v>
      </c>
      <c r="R136" s="544" t="s">
        <v>663</v>
      </c>
      <c r="S136" s="537" t="s">
        <v>662</v>
      </c>
      <c r="T136" s="537" t="s">
        <v>663</v>
      </c>
      <c r="U136" s="537" t="s">
        <v>663</v>
      </c>
      <c r="V136" s="544" t="s">
        <v>662</v>
      </c>
      <c r="W136" s="544" t="s">
        <v>663</v>
      </c>
      <c r="X136" s="544" t="s">
        <v>663</v>
      </c>
      <c r="Y136" s="544" t="s">
        <v>663</v>
      </c>
      <c r="Z136" s="544" t="s">
        <v>663</v>
      </c>
      <c r="AA136" s="544" t="s">
        <v>663</v>
      </c>
      <c r="AB136" s="537" t="str">
        <f t="shared" si="24"/>
        <v>PHY</v>
      </c>
      <c r="AC136" s="537" t="s">
        <v>1192</v>
      </c>
      <c r="AD136" s="545" t="str" cm="1">
        <f t="array" ref="AD136">IF(SUMPRODUCT(ISNUMBER(SEARCH("y",R136:AA136))+0)=0,"",IF(AA136="y","400G",IF(Z136="y","100G",IF(X136="y","40G",IF(V136="y","10G",IF(S136="y","1G",IF(R136="y","100M",""))))))&amp;" "&amp;AB136&amp;" "&amp;AC136)</f>
        <v>10G PHY UPLINK</v>
      </c>
      <c r="AE136" s="546" t="str">
        <f t="shared" si="23"/>
        <v/>
      </c>
      <c r="AF136" s="912" t="str">
        <f t="shared" si="25"/>
        <v>ns</v>
      </c>
      <c r="AG136" s="405" t="str">
        <f t="shared" si="26"/>
        <v>ns</v>
      </c>
      <c r="AH136" s="405" t="str">
        <f t="shared" si="34"/>
        <v>.</v>
      </c>
      <c r="AI136" s="405" t="str">
        <f t="shared" si="27"/>
        <v>ns</v>
      </c>
      <c r="AJ136" s="405" t="str">
        <f t="shared" si="28"/>
        <v>ns</v>
      </c>
      <c r="AK136" s="922" t="str">
        <f t="shared" si="29"/>
        <v>.</v>
      </c>
      <c r="AL136" s="405" t="str">
        <f t="shared" si="29"/>
        <v>ns</v>
      </c>
      <c r="AM136" s="912" t="str">
        <f t="shared" si="30"/>
        <v>ns</v>
      </c>
      <c r="AN136" s="405" t="str">
        <f t="shared" si="31"/>
        <v>ns</v>
      </c>
      <c r="AO136" s="405" t="str">
        <f t="shared" si="32"/>
        <v>ns</v>
      </c>
      <c r="AP136" s="405" t="str">
        <f t="shared" si="33"/>
        <v>ns</v>
      </c>
      <c r="AQ136" s="547"/>
    </row>
    <row r="137" spans="1:212">
      <c r="A137" s="537">
        <v>137</v>
      </c>
      <c r="B137" s="537" t="s">
        <v>59</v>
      </c>
      <c r="C137" s="538">
        <v>369</v>
      </c>
      <c r="D137" s="537" t="s">
        <v>975</v>
      </c>
      <c r="E137" s="537" t="s">
        <v>1402</v>
      </c>
      <c r="F137" s="537" t="s">
        <v>663</v>
      </c>
      <c r="G137" s="537" t="s">
        <v>661</v>
      </c>
      <c r="H137" s="539" t="s">
        <v>59</v>
      </c>
      <c r="I137" s="540" t="s">
        <v>976</v>
      </c>
      <c r="J137" s="541" t="s">
        <v>977</v>
      </c>
      <c r="K137" s="540" t="s">
        <v>197</v>
      </c>
      <c r="L137" s="550" t="s">
        <v>197</v>
      </c>
      <c r="M137" s="541" t="s">
        <v>197</v>
      </c>
      <c r="N137" s="543" t="s">
        <v>740</v>
      </c>
      <c r="O137" s="544" t="s">
        <v>889</v>
      </c>
      <c r="P137" s="537" t="s">
        <v>1393</v>
      </c>
      <c r="Q137" s="544" t="s">
        <v>663</v>
      </c>
      <c r="R137" s="544" t="s">
        <v>663</v>
      </c>
      <c r="S137" s="537" t="s">
        <v>662</v>
      </c>
      <c r="T137" s="537" t="s">
        <v>663</v>
      </c>
      <c r="U137" s="537" t="s">
        <v>663</v>
      </c>
      <c r="V137" s="544" t="s">
        <v>662</v>
      </c>
      <c r="W137" s="544" t="s">
        <v>663</v>
      </c>
      <c r="X137" s="544" t="s">
        <v>663</v>
      </c>
      <c r="Y137" s="544" t="s">
        <v>663</v>
      </c>
      <c r="Z137" s="544" t="s">
        <v>663</v>
      </c>
      <c r="AA137" s="544" t="s">
        <v>663</v>
      </c>
      <c r="AB137" s="537" t="str">
        <f t="shared" si="24"/>
        <v>PHY</v>
      </c>
      <c r="AC137" s="537" t="s">
        <v>1192</v>
      </c>
      <c r="AD137" s="545" t="str" cm="1">
        <f t="array" ref="AD137">IF(SUMPRODUCT(ISNUMBER(SEARCH("y",R137:AA137))+0)=0,"",IF(AA137="y","400G",IF(Z137="y","100G",IF(X137="y","40G",IF(V137="y","10G",IF(S137="y","1G",IF(R137="y","100M",""))))))&amp;" "&amp;AB137&amp;" "&amp;AC137)</f>
        <v>10G PHY UPLINK</v>
      </c>
      <c r="AE137" s="546" t="str">
        <f t="shared" ref="AE137:AE200" si="35">IF(K137="-","",_xlfn.CONCAT(K137," ",AD137))</f>
        <v/>
      </c>
      <c r="AF137" s="912" t="str">
        <f t="shared" si="25"/>
        <v>ns</v>
      </c>
      <c r="AG137" s="405" t="str">
        <f t="shared" si="26"/>
        <v>ns</v>
      </c>
      <c r="AH137" s="405" t="str">
        <f t="shared" si="34"/>
        <v>.</v>
      </c>
      <c r="AI137" s="405" t="str">
        <f t="shared" si="27"/>
        <v>ns</v>
      </c>
      <c r="AJ137" s="405" t="str">
        <f t="shared" si="28"/>
        <v>ns</v>
      </c>
      <c r="AK137" s="922" t="str">
        <f t="shared" si="29"/>
        <v>.</v>
      </c>
      <c r="AL137" s="405" t="str">
        <f t="shared" si="29"/>
        <v>ns</v>
      </c>
      <c r="AM137" s="912" t="str">
        <f t="shared" si="30"/>
        <v>ns</v>
      </c>
      <c r="AN137" s="405" t="str">
        <f t="shared" si="31"/>
        <v>ns</v>
      </c>
      <c r="AO137" s="405" t="str">
        <f t="shared" si="32"/>
        <v>ns</v>
      </c>
      <c r="AP137" s="405" t="str">
        <f t="shared" si="33"/>
        <v>ns</v>
      </c>
      <c r="AQ137" s="547" t="s">
        <v>979</v>
      </c>
    </row>
    <row r="138" spans="1:212">
      <c r="A138" s="537">
        <v>138</v>
      </c>
      <c r="B138" s="537" t="s">
        <v>59</v>
      </c>
      <c r="C138" s="538">
        <v>370</v>
      </c>
      <c r="D138" s="537" t="s">
        <v>985</v>
      </c>
      <c r="E138" s="537" t="s">
        <v>1403</v>
      </c>
      <c r="F138" s="537" t="s">
        <v>663</v>
      </c>
      <c r="G138" s="537" t="s">
        <v>661</v>
      </c>
      <c r="H138" s="539" t="s">
        <v>59</v>
      </c>
      <c r="I138" s="540" t="s">
        <v>976</v>
      </c>
      <c r="J138" s="541" t="s">
        <v>977</v>
      </c>
      <c r="K138" s="540" t="s">
        <v>197</v>
      </c>
      <c r="L138" s="550" t="s">
        <v>197</v>
      </c>
      <c r="M138" s="541" t="s">
        <v>197</v>
      </c>
      <c r="N138" s="543" t="s">
        <v>740</v>
      </c>
      <c r="O138" s="544" t="s">
        <v>889</v>
      </c>
      <c r="P138" s="537" t="s">
        <v>1393</v>
      </c>
      <c r="Q138" s="544" t="s">
        <v>663</v>
      </c>
      <c r="R138" s="544" t="s">
        <v>663</v>
      </c>
      <c r="S138" s="537" t="s">
        <v>662</v>
      </c>
      <c r="T138" s="537" t="s">
        <v>663</v>
      </c>
      <c r="U138" s="537" t="s">
        <v>663</v>
      </c>
      <c r="V138" s="544" t="s">
        <v>662</v>
      </c>
      <c r="W138" s="544" t="s">
        <v>663</v>
      </c>
      <c r="X138" s="544" t="s">
        <v>663</v>
      </c>
      <c r="Y138" s="544" t="s">
        <v>663</v>
      </c>
      <c r="Z138" s="544" t="s">
        <v>663</v>
      </c>
      <c r="AA138" s="544" t="s">
        <v>663</v>
      </c>
      <c r="AB138" s="537" t="str">
        <f t="shared" si="24"/>
        <v>PHY</v>
      </c>
      <c r="AC138" s="537" t="s">
        <v>1192</v>
      </c>
      <c r="AD138" s="545" t="str" cm="1">
        <f t="array" ref="AD138">IF(SUMPRODUCT(ISNUMBER(SEARCH("y",R138:AA138))+0)=0,"",IF(AA138="y","400G",IF(Z138="y","100G",IF(X138="y","40G",IF(V138="y","10G",IF(S138="y","1G",IF(R138="y","100M",""))))))&amp;" "&amp;AB138&amp;" "&amp;AC138)</f>
        <v>10G PHY UPLINK</v>
      </c>
      <c r="AE138" s="546" t="str">
        <f t="shared" si="35"/>
        <v/>
      </c>
      <c r="AF138" s="912" t="str">
        <f t="shared" si="25"/>
        <v>ns</v>
      </c>
      <c r="AG138" s="405" t="str">
        <f t="shared" si="26"/>
        <v>ns</v>
      </c>
      <c r="AH138" s="405" t="str">
        <f t="shared" si="34"/>
        <v>.</v>
      </c>
      <c r="AI138" s="405" t="str">
        <f t="shared" si="27"/>
        <v>ns</v>
      </c>
      <c r="AJ138" s="405" t="str">
        <f t="shared" si="28"/>
        <v>ns</v>
      </c>
      <c r="AK138" s="922" t="str">
        <f t="shared" si="29"/>
        <v>.</v>
      </c>
      <c r="AL138" s="405" t="str">
        <f t="shared" si="29"/>
        <v>ns</v>
      </c>
      <c r="AM138" s="912" t="str">
        <f t="shared" si="30"/>
        <v>ns</v>
      </c>
      <c r="AN138" s="405" t="str">
        <f t="shared" si="31"/>
        <v>ns</v>
      </c>
      <c r="AO138" s="405" t="str">
        <f t="shared" si="32"/>
        <v>ns</v>
      </c>
      <c r="AP138" s="405" t="str">
        <f t="shared" si="33"/>
        <v>ns</v>
      </c>
      <c r="AQ138" s="547" t="s">
        <v>979</v>
      </c>
    </row>
    <row r="139" spans="1:212">
      <c r="A139" s="537">
        <v>139</v>
      </c>
      <c r="B139" s="537" t="s">
        <v>59</v>
      </c>
      <c r="C139" s="538">
        <v>371</v>
      </c>
      <c r="D139" s="537" t="s">
        <v>987</v>
      </c>
      <c r="E139" s="537" t="s">
        <v>1404</v>
      </c>
      <c r="F139" s="537" t="s">
        <v>663</v>
      </c>
      <c r="G139" s="537" t="s">
        <v>661</v>
      </c>
      <c r="H139" s="539" t="s">
        <v>59</v>
      </c>
      <c r="I139" s="540" t="s">
        <v>976</v>
      </c>
      <c r="J139" s="541" t="s">
        <v>977</v>
      </c>
      <c r="K139" s="540" t="s">
        <v>987</v>
      </c>
      <c r="L139" s="550" t="s">
        <v>674</v>
      </c>
      <c r="M139" s="541" t="s">
        <v>989</v>
      </c>
      <c r="N139" s="543" t="s">
        <v>740</v>
      </c>
      <c r="O139" s="544" t="s">
        <v>889</v>
      </c>
      <c r="P139" s="537" t="s">
        <v>1393</v>
      </c>
      <c r="Q139" s="544" t="s">
        <v>663</v>
      </c>
      <c r="R139" s="544" t="s">
        <v>663</v>
      </c>
      <c r="S139" s="537" t="s">
        <v>662</v>
      </c>
      <c r="T139" s="537" t="s">
        <v>663</v>
      </c>
      <c r="U139" s="537" t="s">
        <v>663</v>
      </c>
      <c r="V139" s="544" t="s">
        <v>662</v>
      </c>
      <c r="W139" s="544" t="s">
        <v>663</v>
      </c>
      <c r="X139" s="544" t="s">
        <v>663</v>
      </c>
      <c r="Y139" s="544" t="s">
        <v>663</v>
      </c>
      <c r="Z139" s="544" t="s">
        <v>663</v>
      </c>
      <c r="AA139" s="544" t="s">
        <v>663</v>
      </c>
      <c r="AB139" s="537" t="str">
        <f t="shared" si="24"/>
        <v>PHY</v>
      </c>
      <c r="AC139" s="537" t="s">
        <v>1192</v>
      </c>
      <c r="AD139" s="545" t="str" cm="1">
        <f t="array" ref="AD139">IF(SUMPRODUCT(ISNUMBER(SEARCH("y",R139:AA139))+0)=0,"",IF(AA139="y","400G",IF(Z139="y","100G",IF(X139="y","40G",IF(V139="y","10G",IF(S139="y","1G",IF(R139="y","100M",""))))))&amp;" "&amp;AB139&amp;" "&amp;AC139)</f>
        <v>10G PHY UPLINK</v>
      </c>
      <c r="AE139" s="546" t="str">
        <f t="shared" si="35"/>
        <v>AT-x510-28GSX 10G PHY UPLINK</v>
      </c>
      <c r="AF139" s="912" t="str">
        <f t="shared" si="25"/>
        <v>ns</v>
      </c>
      <c r="AG139" s="405" t="str">
        <f t="shared" si="26"/>
        <v>ns</v>
      </c>
      <c r="AH139" s="405" t="str">
        <f t="shared" si="34"/>
        <v>.</v>
      </c>
      <c r="AI139" s="405" t="str">
        <f t="shared" si="27"/>
        <v>ns</v>
      </c>
      <c r="AJ139" s="405" t="str">
        <f t="shared" si="28"/>
        <v>ns</v>
      </c>
      <c r="AK139" s="922" t="str">
        <f t="shared" si="29"/>
        <v>.</v>
      </c>
      <c r="AL139" s="405" t="str">
        <f t="shared" si="29"/>
        <v>ns</v>
      </c>
      <c r="AM139" s="912" t="str">
        <f t="shared" si="30"/>
        <v>ns</v>
      </c>
      <c r="AN139" s="405" t="str">
        <f t="shared" si="31"/>
        <v>ns</v>
      </c>
      <c r="AO139" s="405" t="str">
        <f t="shared" si="32"/>
        <v>ns</v>
      </c>
      <c r="AP139" s="405" t="str">
        <f t="shared" si="33"/>
        <v>ns</v>
      </c>
      <c r="AQ139" s="547" t="s">
        <v>979</v>
      </c>
    </row>
    <row r="140" spans="1:212">
      <c r="A140" s="537">
        <v>140</v>
      </c>
      <c r="B140" s="537" t="s">
        <v>59</v>
      </c>
      <c r="C140" s="538">
        <v>371</v>
      </c>
      <c r="D140" s="537" t="s">
        <v>987</v>
      </c>
      <c r="E140" s="537" t="s">
        <v>1404</v>
      </c>
      <c r="F140" s="537" t="s">
        <v>663</v>
      </c>
      <c r="G140" s="537" t="s">
        <v>661</v>
      </c>
      <c r="H140" s="539" t="s">
        <v>59</v>
      </c>
      <c r="I140" s="540" t="s">
        <v>976</v>
      </c>
      <c r="J140" s="541" t="s">
        <v>688</v>
      </c>
      <c r="K140" s="540" t="s">
        <v>987</v>
      </c>
      <c r="L140" s="550" t="s">
        <v>674</v>
      </c>
      <c r="M140" s="541" t="s">
        <v>989</v>
      </c>
      <c r="N140" s="543" t="s">
        <v>827</v>
      </c>
      <c r="O140" s="544" t="s">
        <v>899</v>
      </c>
      <c r="P140" s="537" t="s">
        <v>1259</v>
      </c>
      <c r="Q140" s="544" t="s">
        <v>662</v>
      </c>
      <c r="R140" s="537" t="s">
        <v>662</v>
      </c>
      <c r="S140" s="537" t="s">
        <v>662</v>
      </c>
      <c r="T140" s="537" t="s">
        <v>663</v>
      </c>
      <c r="U140" s="537" t="s">
        <v>663</v>
      </c>
      <c r="V140" s="544" t="s">
        <v>663</v>
      </c>
      <c r="W140" s="544" t="s">
        <v>663</v>
      </c>
      <c r="X140" s="544" t="s">
        <v>663</v>
      </c>
      <c r="Y140" s="544" t="s">
        <v>663</v>
      </c>
      <c r="Z140" s="544" t="s">
        <v>663</v>
      </c>
      <c r="AA140" s="544" t="s">
        <v>663</v>
      </c>
      <c r="AB140" s="537" t="str">
        <f t="shared" si="24"/>
        <v>DC</v>
      </c>
      <c r="AC140" s="537" t="s">
        <v>1201</v>
      </c>
      <c r="AD140" s="545" t="str" cm="1">
        <f t="array" ref="AD140">IF(SUMPRODUCT(ISNUMBER(SEARCH("y",R140:AA140))+0)=0,"",IF(AA140="y","400G",IF(Z140="y","100G",IF(X140="y","40G",IF(V140="y","10G",IF(S140="y","1G",IF(R140="y","100M",""))))))&amp;" "&amp;AB140&amp;" "&amp;AC140)</f>
        <v>1G DC BASE</v>
      </c>
      <c r="AE140" s="546" t="str">
        <f t="shared" si="35"/>
        <v>AT-x510-28GSX 1G DC BASE</v>
      </c>
      <c r="AF140" s="912" t="str">
        <f t="shared" si="25"/>
        <v>.</v>
      </c>
      <c r="AG140" s="405" t="str">
        <f t="shared" si="26"/>
        <v>.</v>
      </c>
      <c r="AH140" s="405" t="str">
        <f t="shared" si="34"/>
        <v>.</v>
      </c>
      <c r="AI140" s="405" t="str">
        <f t="shared" si="27"/>
        <v>ns</v>
      </c>
      <c r="AJ140" s="405" t="str">
        <f t="shared" si="28"/>
        <v>ns</v>
      </c>
      <c r="AK140" s="922" t="str">
        <f t="shared" si="29"/>
        <v>ns</v>
      </c>
      <c r="AL140" s="405" t="str">
        <f t="shared" si="29"/>
        <v>ns</v>
      </c>
      <c r="AM140" s="912" t="str">
        <f t="shared" si="30"/>
        <v>ns</v>
      </c>
      <c r="AN140" s="405" t="str">
        <f t="shared" si="31"/>
        <v>ns</v>
      </c>
      <c r="AO140" s="405" t="str">
        <f t="shared" si="32"/>
        <v>ns</v>
      </c>
      <c r="AP140" s="405" t="str">
        <f t="shared" si="33"/>
        <v>ns</v>
      </c>
      <c r="AQ140" s="547" t="s">
        <v>979</v>
      </c>
    </row>
    <row r="141" spans="1:212">
      <c r="A141" s="537">
        <v>141</v>
      </c>
      <c r="B141" s="537" t="s">
        <v>59</v>
      </c>
      <c r="C141" s="538">
        <v>372</v>
      </c>
      <c r="D141" s="537" t="s">
        <v>982</v>
      </c>
      <c r="E141" s="537" t="s">
        <v>1405</v>
      </c>
      <c r="F141" s="537" t="s">
        <v>663</v>
      </c>
      <c r="G141" s="537" t="s">
        <v>661</v>
      </c>
      <c r="H141" s="539" t="s">
        <v>59</v>
      </c>
      <c r="I141" s="540" t="s">
        <v>976</v>
      </c>
      <c r="J141" s="541" t="s">
        <v>977</v>
      </c>
      <c r="K141" s="540" t="s">
        <v>197</v>
      </c>
      <c r="L141" s="550" t="s">
        <v>197</v>
      </c>
      <c r="M141" s="541" t="s">
        <v>197</v>
      </c>
      <c r="N141" s="543" t="s">
        <v>740</v>
      </c>
      <c r="O141" s="544" t="s">
        <v>1202</v>
      </c>
      <c r="P141" s="537" t="s">
        <v>1393</v>
      </c>
      <c r="Q141" s="544" t="s">
        <v>663</v>
      </c>
      <c r="R141" s="544" t="s">
        <v>663</v>
      </c>
      <c r="S141" s="537" t="s">
        <v>662</v>
      </c>
      <c r="T141" s="537" t="s">
        <v>663</v>
      </c>
      <c r="U141" s="537" t="s">
        <v>663</v>
      </c>
      <c r="V141" s="544" t="s">
        <v>662</v>
      </c>
      <c r="W141" s="544" t="s">
        <v>663</v>
      </c>
      <c r="X141" s="544" t="s">
        <v>663</v>
      </c>
      <c r="Y141" s="544" t="s">
        <v>663</v>
      </c>
      <c r="Z141" s="544" t="s">
        <v>663</v>
      </c>
      <c r="AA141" s="544" t="s">
        <v>663</v>
      </c>
      <c r="AB141" s="537" t="str">
        <f t="shared" si="24"/>
        <v>PHY</v>
      </c>
      <c r="AC141" s="537" t="s">
        <v>1192</v>
      </c>
      <c r="AD141" s="545" t="str" cm="1">
        <f t="array" ref="AD141">IF(SUMPRODUCT(ISNUMBER(SEARCH("y",R141:AA141))+0)=0,"",IF(AA141="y","400G",IF(Z141="y","100G",IF(X141="y","40G",IF(V141="y","10G",IF(S141="y","1G",IF(R141="y","100M",""))))))&amp;" "&amp;AB141&amp;" "&amp;AC141)</f>
        <v>10G PHY UPLINK</v>
      </c>
      <c r="AE141" s="546" t="str">
        <f t="shared" si="35"/>
        <v/>
      </c>
      <c r="AF141" s="912" t="str">
        <f t="shared" si="25"/>
        <v>ns</v>
      </c>
      <c r="AG141" s="405" t="str">
        <f t="shared" si="26"/>
        <v>ns</v>
      </c>
      <c r="AH141" s="405" t="str">
        <f t="shared" si="34"/>
        <v>.</v>
      </c>
      <c r="AI141" s="405" t="str">
        <f t="shared" si="27"/>
        <v>ns</v>
      </c>
      <c r="AJ141" s="405" t="str">
        <f t="shared" si="28"/>
        <v>ns</v>
      </c>
      <c r="AK141" s="922" t="str">
        <f t="shared" si="29"/>
        <v>.</v>
      </c>
      <c r="AL141" s="405" t="str">
        <f t="shared" si="29"/>
        <v>ns</v>
      </c>
      <c r="AM141" s="912" t="str">
        <f t="shared" si="30"/>
        <v>ns</v>
      </c>
      <c r="AN141" s="405" t="str">
        <f t="shared" si="31"/>
        <v>ns</v>
      </c>
      <c r="AO141" s="405" t="str">
        <f t="shared" si="32"/>
        <v>ns</v>
      </c>
      <c r="AP141" s="405" t="str">
        <f t="shared" si="33"/>
        <v>ns</v>
      </c>
      <c r="AQ141" s="547" t="s">
        <v>979</v>
      </c>
    </row>
    <row r="142" spans="1:212">
      <c r="A142" s="537">
        <v>142</v>
      </c>
      <c r="B142" s="537" t="s">
        <v>59</v>
      </c>
      <c r="C142" s="538">
        <v>373</v>
      </c>
      <c r="D142" s="537" t="s">
        <v>986</v>
      </c>
      <c r="E142" s="537" t="s">
        <v>1406</v>
      </c>
      <c r="F142" s="537" t="s">
        <v>663</v>
      </c>
      <c r="G142" s="537" t="s">
        <v>661</v>
      </c>
      <c r="H142" s="539" t="s">
        <v>59</v>
      </c>
      <c r="I142" s="540" t="s">
        <v>976</v>
      </c>
      <c r="J142" s="541" t="s">
        <v>977</v>
      </c>
      <c r="K142" s="540" t="s">
        <v>197</v>
      </c>
      <c r="L142" s="550" t="s">
        <v>197</v>
      </c>
      <c r="M142" s="541" t="s">
        <v>197</v>
      </c>
      <c r="N142" s="543" t="s">
        <v>740</v>
      </c>
      <c r="O142" s="544" t="s">
        <v>1202</v>
      </c>
      <c r="P142" s="537" t="s">
        <v>1393</v>
      </c>
      <c r="Q142" s="544" t="s">
        <v>663</v>
      </c>
      <c r="R142" s="544" t="s">
        <v>663</v>
      </c>
      <c r="S142" s="537" t="s">
        <v>662</v>
      </c>
      <c r="T142" s="537" t="s">
        <v>663</v>
      </c>
      <c r="U142" s="537" t="s">
        <v>663</v>
      </c>
      <c r="V142" s="544" t="s">
        <v>662</v>
      </c>
      <c r="W142" s="544" t="s">
        <v>663</v>
      </c>
      <c r="X142" s="544" t="s">
        <v>663</v>
      </c>
      <c r="Y142" s="544" t="s">
        <v>663</v>
      </c>
      <c r="Z142" s="544" t="s">
        <v>663</v>
      </c>
      <c r="AA142" s="544" t="s">
        <v>663</v>
      </c>
      <c r="AB142" s="537" t="str">
        <f t="shared" si="24"/>
        <v>PHY</v>
      </c>
      <c r="AC142" s="537" t="s">
        <v>1192</v>
      </c>
      <c r="AD142" s="545" t="str" cm="1">
        <f t="array" ref="AD142">IF(SUMPRODUCT(ISNUMBER(SEARCH("y",R142:AA142))+0)=0,"",IF(AA142="y","400G",IF(Z142="y","100G",IF(X142="y","40G",IF(V142="y","10G",IF(S142="y","1G",IF(R142="y","100M",""))))))&amp;" "&amp;AB142&amp;" "&amp;AC142)</f>
        <v>10G PHY UPLINK</v>
      </c>
      <c r="AE142" s="546" t="str">
        <f t="shared" si="35"/>
        <v/>
      </c>
      <c r="AF142" s="912" t="str">
        <f t="shared" si="25"/>
        <v>ns</v>
      </c>
      <c r="AG142" s="405" t="str">
        <f t="shared" si="26"/>
        <v>ns</v>
      </c>
      <c r="AH142" s="405" t="str">
        <f t="shared" si="34"/>
        <v>.</v>
      </c>
      <c r="AI142" s="405" t="str">
        <f t="shared" si="27"/>
        <v>ns</v>
      </c>
      <c r="AJ142" s="405" t="str">
        <f t="shared" si="28"/>
        <v>ns</v>
      </c>
      <c r="AK142" s="922" t="str">
        <f t="shared" si="29"/>
        <v>.</v>
      </c>
      <c r="AL142" s="405" t="str">
        <f t="shared" si="29"/>
        <v>ns</v>
      </c>
      <c r="AM142" s="912" t="str">
        <f t="shared" si="30"/>
        <v>ns</v>
      </c>
      <c r="AN142" s="405" t="str">
        <f t="shared" si="31"/>
        <v>ns</v>
      </c>
      <c r="AO142" s="405" t="str">
        <f t="shared" si="32"/>
        <v>ns</v>
      </c>
      <c r="AP142" s="405" t="str">
        <f t="shared" si="33"/>
        <v>ns</v>
      </c>
      <c r="AQ142" s="547" t="s">
        <v>979</v>
      </c>
    </row>
    <row r="143" spans="1:212">
      <c r="A143" s="537">
        <v>143</v>
      </c>
      <c r="B143" s="537" t="s">
        <v>59</v>
      </c>
      <c r="C143" s="538">
        <v>385</v>
      </c>
      <c r="D143" s="537" t="s">
        <v>991</v>
      </c>
      <c r="E143" s="537" t="s">
        <v>1407</v>
      </c>
      <c r="F143" s="537" t="s">
        <v>663</v>
      </c>
      <c r="G143" s="537" t="s">
        <v>661</v>
      </c>
      <c r="H143" s="539" t="s">
        <v>59</v>
      </c>
      <c r="I143" s="540" t="s">
        <v>976</v>
      </c>
      <c r="J143" s="541" t="s">
        <v>977</v>
      </c>
      <c r="K143" s="540" t="s">
        <v>197</v>
      </c>
      <c r="L143" s="550" t="s">
        <v>197</v>
      </c>
      <c r="M143" s="541" t="s">
        <v>197</v>
      </c>
      <c r="N143" s="543" t="s">
        <v>740</v>
      </c>
      <c r="O143" s="544" t="s">
        <v>1202</v>
      </c>
      <c r="P143" s="537" t="s">
        <v>1393</v>
      </c>
      <c r="Q143" s="544" t="s">
        <v>663</v>
      </c>
      <c r="R143" s="544" t="s">
        <v>663</v>
      </c>
      <c r="S143" s="537" t="s">
        <v>662</v>
      </c>
      <c r="T143" s="537" t="s">
        <v>663</v>
      </c>
      <c r="U143" s="537" t="s">
        <v>663</v>
      </c>
      <c r="V143" s="544" t="s">
        <v>662</v>
      </c>
      <c r="W143" s="544" t="s">
        <v>663</v>
      </c>
      <c r="X143" s="544" t="s">
        <v>663</v>
      </c>
      <c r="Y143" s="544" t="s">
        <v>663</v>
      </c>
      <c r="Z143" s="544" t="s">
        <v>663</v>
      </c>
      <c r="AA143" s="544" t="s">
        <v>663</v>
      </c>
      <c r="AB143" s="537" t="str">
        <f t="shared" si="24"/>
        <v>PHY</v>
      </c>
      <c r="AC143" s="537" t="s">
        <v>1192</v>
      </c>
      <c r="AD143" s="545" t="str" cm="1">
        <f t="array" ref="AD143">IF(SUMPRODUCT(ISNUMBER(SEARCH("y",R143:AA143))+0)=0,"",IF(AA143="y","400G",IF(Z143="y","100G",IF(X143="y","40G",IF(V143="y","10G",IF(S143="y","1G",IF(R143="y","100M",""))))))&amp;" "&amp;AB143&amp;" "&amp;AC143)</f>
        <v>10G PHY UPLINK</v>
      </c>
      <c r="AE143" s="546" t="str">
        <f t="shared" si="35"/>
        <v/>
      </c>
      <c r="AF143" s="912" t="str">
        <f t="shared" si="25"/>
        <v>ns</v>
      </c>
      <c r="AG143" s="405" t="str">
        <f t="shared" si="26"/>
        <v>ns</v>
      </c>
      <c r="AH143" s="405" t="str">
        <f t="shared" si="34"/>
        <v>.</v>
      </c>
      <c r="AI143" s="405" t="str">
        <f t="shared" si="27"/>
        <v>ns</v>
      </c>
      <c r="AJ143" s="405" t="str">
        <f t="shared" si="28"/>
        <v>ns</v>
      </c>
      <c r="AK143" s="922" t="str">
        <f t="shared" si="29"/>
        <v>.</v>
      </c>
      <c r="AL143" s="405" t="str">
        <f t="shared" si="29"/>
        <v>ns</v>
      </c>
      <c r="AM143" s="912" t="str">
        <f t="shared" si="30"/>
        <v>ns</v>
      </c>
      <c r="AN143" s="405" t="str">
        <f t="shared" si="31"/>
        <v>ns</v>
      </c>
      <c r="AO143" s="405" t="str">
        <f t="shared" si="32"/>
        <v>ns</v>
      </c>
      <c r="AP143" s="405" t="str">
        <f t="shared" si="33"/>
        <v>ns</v>
      </c>
      <c r="AQ143" s="547" t="s">
        <v>979</v>
      </c>
    </row>
    <row r="144" spans="1:212">
      <c r="A144" s="537">
        <v>144</v>
      </c>
      <c r="B144" s="537" t="s">
        <v>59</v>
      </c>
      <c r="C144" s="538">
        <v>386</v>
      </c>
      <c r="D144" s="537" t="s">
        <v>994</v>
      </c>
      <c r="E144" s="537" t="s">
        <v>1408</v>
      </c>
      <c r="F144" s="537" t="s">
        <v>663</v>
      </c>
      <c r="G144" s="537" t="s">
        <v>661</v>
      </c>
      <c r="H144" s="539" t="s">
        <v>59</v>
      </c>
      <c r="I144" s="540" t="s">
        <v>976</v>
      </c>
      <c r="J144" s="541" t="s">
        <v>977</v>
      </c>
      <c r="K144" s="540" t="s">
        <v>197</v>
      </c>
      <c r="L144" s="550" t="s">
        <v>197</v>
      </c>
      <c r="M144" s="541" t="s">
        <v>197</v>
      </c>
      <c r="N144" s="543" t="s">
        <v>740</v>
      </c>
      <c r="O144" s="544" t="s">
        <v>889</v>
      </c>
      <c r="P144" s="537" t="s">
        <v>1393</v>
      </c>
      <c r="Q144" s="544" t="s">
        <v>663</v>
      </c>
      <c r="R144" s="544" t="s">
        <v>663</v>
      </c>
      <c r="S144" s="537" t="s">
        <v>662</v>
      </c>
      <c r="T144" s="537" t="s">
        <v>663</v>
      </c>
      <c r="U144" s="537" t="s">
        <v>663</v>
      </c>
      <c r="V144" s="544" t="s">
        <v>662</v>
      </c>
      <c r="W144" s="544" t="s">
        <v>663</v>
      </c>
      <c r="X144" s="544" t="s">
        <v>663</v>
      </c>
      <c r="Y144" s="544" t="s">
        <v>663</v>
      </c>
      <c r="Z144" s="544" t="s">
        <v>663</v>
      </c>
      <c r="AA144" s="544" t="s">
        <v>663</v>
      </c>
      <c r="AB144" s="537" t="str">
        <f t="shared" si="24"/>
        <v>PHY</v>
      </c>
      <c r="AC144" s="537" t="s">
        <v>1192</v>
      </c>
      <c r="AD144" s="545" t="str" cm="1">
        <f t="array" ref="AD144">IF(SUMPRODUCT(ISNUMBER(SEARCH("y",R144:AA144))+0)=0,"",IF(AA144="y","400G",IF(Z144="y","100G",IF(X144="y","40G",IF(V144="y","10G",IF(S144="y","1G",IF(R144="y","100M",""))))))&amp;" "&amp;AB144&amp;" "&amp;AC144)</f>
        <v>10G PHY UPLINK</v>
      </c>
      <c r="AE144" s="546" t="str">
        <f t="shared" si="35"/>
        <v/>
      </c>
      <c r="AF144" s="912" t="str">
        <f t="shared" si="25"/>
        <v>ns</v>
      </c>
      <c r="AG144" s="405" t="str">
        <f t="shared" si="26"/>
        <v>ns</v>
      </c>
      <c r="AH144" s="405" t="str">
        <f t="shared" si="34"/>
        <v>.</v>
      </c>
      <c r="AI144" s="405" t="str">
        <f t="shared" si="27"/>
        <v>ns</v>
      </c>
      <c r="AJ144" s="405" t="str">
        <f t="shared" si="28"/>
        <v>ns</v>
      </c>
      <c r="AK144" s="922" t="str">
        <f t="shared" si="29"/>
        <v>.</v>
      </c>
      <c r="AL144" s="405" t="str">
        <f t="shared" si="29"/>
        <v>ns</v>
      </c>
      <c r="AM144" s="912" t="str">
        <f t="shared" si="30"/>
        <v>ns</v>
      </c>
      <c r="AN144" s="405" t="str">
        <f t="shared" si="31"/>
        <v>ns</v>
      </c>
      <c r="AO144" s="405" t="str">
        <f t="shared" si="32"/>
        <v>ns</v>
      </c>
      <c r="AP144" s="405" t="str">
        <f t="shared" si="33"/>
        <v>ns</v>
      </c>
      <c r="AQ144" s="547" t="s">
        <v>993</v>
      </c>
    </row>
    <row r="145" spans="1:212">
      <c r="A145" s="537">
        <v>145</v>
      </c>
      <c r="B145" s="537" t="s">
        <v>59</v>
      </c>
      <c r="C145" s="538">
        <v>430</v>
      </c>
      <c r="D145" s="537" t="s">
        <v>992</v>
      </c>
      <c r="E145" s="537" t="s">
        <v>1409</v>
      </c>
      <c r="F145" s="537" t="s">
        <v>663</v>
      </c>
      <c r="G145" s="537" t="s">
        <v>661</v>
      </c>
      <c r="H145" s="539" t="s">
        <v>59</v>
      </c>
      <c r="I145" s="540" t="s">
        <v>976</v>
      </c>
      <c r="J145" s="541" t="s">
        <v>977</v>
      </c>
      <c r="K145" s="540" t="s">
        <v>197</v>
      </c>
      <c r="L145" s="550" t="s">
        <v>197</v>
      </c>
      <c r="M145" s="541" t="s">
        <v>197</v>
      </c>
      <c r="N145" s="543" t="s">
        <v>740</v>
      </c>
      <c r="O145" s="544" t="s">
        <v>1202</v>
      </c>
      <c r="P145" s="537" t="s">
        <v>1393</v>
      </c>
      <c r="Q145" s="544" t="s">
        <v>663</v>
      </c>
      <c r="R145" s="544" t="s">
        <v>663</v>
      </c>
      <c r="S145" s="537" t="s">
        <v>662</v>
      </c>
      <c r="T145" s="537" t="s">
        <v>663</v>
      </c>
      <c r="U145" s="537" t="s">
        <v>663</v>
      </c>
      <c r="V145" s="544" t="s">
        <v>662</v>
      </c>
      <c r="W145" s="544" t="s">
        <v>663</v>
      </c>
      <c r="X145" s="544" t="s">
        <v>663</v>
      </c>
      <c r="Y145" s="544" t="s">
        <v>663</v>
      </c>
      <c r="Z145" s="544" t="s">
        <v>663</v>
      </c>
      <c r="AA145" s="544" t="s">
        <v>663</v>
      </c>
      <c r="AB145" s="537" t="str">
        <f t="shared" si="24"/>
        <v>PHY</v>
      </c>
      <c r="AC145" s="537" t="s">
        <v>1192</v>
      </c>
      <c r="AD145" s="545" t="str" cm="1">
        <f t="array" ref="AD145">IF(SUMPRODUCT(ISNUMBER(SEARCH("y",R145:AA145))+0)=0,"",IF(AA145="y","400G",IF(Z145="y","100G",IF(X145="y","40G",IF(V145="y","10G",IF(S145="y","1G",IF(R145="y","100M",""))))))&amp;" "&amp;AB145&amp;" "&amp;AC145)</f>
        <v>10G PHY UPLINK</v>
      </c>
      <c r="AE145" s="546" t="str">
        <f t="shared" si="35"/>
        <v/>
      </c>
      <c r="AF145" s="912" t="str">
        <f t="shared" si="25"/>
        <v>ns</v>
      </c>
      <c r="AG145" s="405" t="str">
        <f t="shared" si="26"/>
        <v>ns</v>
      </c>
      <c r="AH145" s="405" t="str">
        <f t="shared" si="34"/>
        <v>.</v>
      </c>
      <c r="AI145" s="405" t="str">
        <f t="shared" si="27"/>
        <v>ns</v>
      </c>
      <c r="AJ145" s="405" t="str">
        <f t="shared" si="28"/>
        <v>ns</v>
      </c>
      <c r="AK145" s="922" t="str">
        <f t="shared" si="29"/>
        <v>.</v>
      </c>
      <c r="AL145" s="405" t="str">
        <f t="shared" si="29"/>
        <v>ns</v>
      </c>
      <c r="AM145" s="912" t="str">
        <f t="shared" si="30"/>
        <v>ns</v>
      </c>
      <c r="AN145" s="405" t="str">
        <f t="shared" si="31"/>
        <v>ns</v>
      </c>
      <c r="AO145" s="405" t="str">
        <f t="shared" si="32"/>
        <v>ns</v>
      </c>
      <c r="AP145" s="405" t="str">
        <f t="shared" si="33"/>
        <v>ns</v>
      </c>
      <c r="AQ145" s="547" t="s">
        <v>993</v>
      </c>
    </row>
    <row r="146" spans="1:212">
      <c r="A146" s="537">
        <v>146</v>
      </c>
      <c r="B146" s="537" t="s">
        <v>59</v>
      </c>
      <c r="C146" s="538">
        <v>431</v>
      </c>
      <c r="D146" s="537" t="s">
        <v>981</v>
      </c>
      <c r="E146" s="537" t="s">
        <v>1410</v>
      </c>
      <c r="F146" s="537" t="s">
        <v>663</v>
      </c>
      <c r="G146" s="537" t="s">
        <v>661</v>
      </c>
      <c r="H146" s="539" t="s">
        <v>59</v>
      </c>
      <c r="I146" s="540" t="s">
        <v>976</v>
      </c>
      <c r="J146" s="541" t="s">
        <v>977</v>
      </c>
      <c r="K146" s="540" t="s">
        <v>197</v>
      </c>
      <c r="L146" s="550" t="s">
        <v>197</v>
      </c>
      <c r="M146" s="541" t="s">
        <v>197</v>
      </c>
      <c r="N146" s="543" t="s">
        <v>740</v>
      </c>
      <c r="O146" s="544" t="s">
        <v>889</v>
      </c>
      <c r="P146" s="537" t="s">
        <v>1393</v>
      </c>
      <c r="Q146" s="544" t="s">
        <v>663</v>
      </c>
      <c r="R146" s="544" t="s">
        <v>663</v>
      </c>
      <c r="S146" s="537" t="s">
        <v>662</v>
      </c>
      <c r="T146" s="537" t="s">
        <v>663</v>
      </c>
      <c r="U146" s="537" t="s">
        <v>663</v>
      </c>
      <c r="V146" s="544" t="s">
        <v>662</v>
      </c>
      <c r="W146" s="544" t="s">
        <v>663</v>
      </c>
      <c r="X146" s="544" t="s">
        <v>663</v>
      </c>
      <c r="Y146" s="544" t="s">
        <v>663</v>
      </c>
      <c r="Z146" s="544" t="s">
        <v>663</v>
      </c>
      <c r="AA146" s="544" t="s">
        <v>663</v>
      </c>
      <c r="AB146" s="537" t="str">
        <f t="shared" si="24"/>
        <v>PHY</v>
      </c>
      <c r="AC146" s="537" t="s">
        <v>1192</v>
      </c>
      <c r="AD146" s="545" t="str" cm="1">
        <f t="array" ref="AD146">IF(SUMPRODUCT(ISNUMBER(SEARCH("y",R146:AA146))+0)=0,"",IF(AA146="y","400G",IF(Z146="y","100G",IF(X146="y","40G",IF(V146="y","10G",IF(S146="y","1G",IF(R146="y","100M",""))))))&amp;" "&amp;AB146&amp;" "&amp;AC146)</f>
        <v>10G PHY UPLINK</v>
      </c>
      <c r="AE146" s="546" t="str">
        <f t="shared" si="35"/>
        <v/>
      </c>
      <c r="AF146" s="912" t="str">
        <f t="shared" si="25"/>
        <v>ns</v>
      </c>
      <c r="AG146" s="405" t="str">
        <f t="shared" si="26"/>
        <v>ns</v>
      </c>
      <c r="AH146" s="405" t="str">
        <f t="shared" si="34"/>
        <v>.</v>
      </c>
      <c r="AI146" s="405" t="str">
        <f t="shared" si="27"/>
        <v>ns</v>
      </c>
      <c r="AJ146" s="405" t="str">
        <f t="shared" si="28"/>
        <v>ns</v>
      </c>
      <c r="AK146" s="922" t="str">
        <f t="shared" si="29"/>
        <v>.</v>
      </c>
      <c r="AL146" s="405" t="str">
        <f t="shared" si="29"/>
        <v>ns</v>
      </c>
      <c r="AM146" s="912" t="str">
        <f t="shared" si="30"/>
        <v>ns</v>
      </c>
      <c r="AN146" s="405" t="str">
        <f t="shared" si="31"/>
        <v>ns</v>
      </c>
      <c r="AO146" s="405" t="str">
        <f t="shared" si="32"/>
        <v>ns</v>
      </c>
      <c r="AP146" s="405" t="str">
        <f t="shared" si="33"/>
        <v>ns</v>
      </c>
      <c r="AQ146" s="547" t="s">
        <v>979</v>
      </c>
    </row>
    <row r="147" spans="1:212">
      <c r="A147" s="537">
        <v>147</v>
      </c>
      <c r="B147" s="537" t="s">
        <v>59</v>
      </c>
      <c r="C147" s="538">
        <v>432</v>
      </c>
      <c r="D147" s="537" t="s">
        <v>1411</v>
      </c>
      <c r="E147" s="537" t="s">
        <v>1412</v>
      </c>
      <c r="F147" s="537" t="s">
        <v>663</v>
      </c>
      <c r="G147" s="537" t="s">
        <v>661</v>
      </c>
      <c r="H147" s="539" t="s">
        <v>59</v>
      </c>
      <c r="I147" s="540" t="s">
        <v>976</v>
      </c>
      <c r="J147" s="541" t="s">
        <v>977</v>
      </c>
      <c r="K147" s="540" t="s">
        <v>197</v>
      </c>
      <c r="L147" s="550" t="s">
        <v>197</v>
      </c>
      <c r="M147" s="541" t="s">
        <v>197</v>
      </c>
      <c r="N147" s="543" t="s">
        <v>740</v>
      </c>
      <c r="O147" s="544" t="s">
        <v>1202</v>
      </c>
      <c r="P147" s="537" t="s">
        <v>1393</v>
      </c>
      <c r="Q147" s="544" t="s">
        <v>663</v>
      </c>
      <c r="R147" s="544" t="s">
        <v>663</v>
      </c>
      <c r="S147" s="537" t="s">
        <v>662</v>
      </c>
      <c r="T147" s="537" t="s">
        <v>663</v>
      </c>
      <c r="U147" s="537" t="s">
        <v>663</v>
      </c>
      <c r="V147" s="544" t="s">
        <v>662</v>
      </c>
      <c r="W147" s="544" t="s">
        <v>663</v>
      </c>
      <c r="X147" s="544" t="s">
        <v>663</v>
      </c>
      <c r="Y147" s="544" t="s">
        <v>663</v>
      </c>
      <c r="Z147" s="544" t="s">
        <v>663</v>
      </c>
      <c r="AA147" s="544" t="s">
        <v>663</v>
      </c>
      <c r="AB147" s="537" t="str">
        <f t="shared" si="24"/>
        <v>PHY</v>
      </c>
      <c r="AC147" s="537" t="s">
        <v>1192</v>
      </c>
      <c r="AD147" s="545" t="str" cm="1">
        <f t="array" ref="AD147">IF(SUMPRODUCT(ISNUMBER(SEARCH("y",R147:AA147))+0)=0,"",IF(AA147="y","400G",IF(Z147="y","100G",IF(X147="y","40G",IF(V147="y","10G",IF(S147="y","1G",IF(R147="y","100M",""))))))&amp;" "&amp;AB147&amp;" "&amp;AC147)</f>
        <v>10G PHY UPLINK</v>
      </c>
      <c r="AE147" s="546" t="str">
        <f t="shared" si="35"/>
        <v/>
      </c>
      <c r="AF147" s="912" t="str">
        <f t="shared" si="25"/>
        <v>ns</v>
      </c>
      <c r="AG147" s="405" t="str">
        <f t="shared" si="26"/>
        <v>ns</v>
      </c>
      <c r="AH147" s="405" t="str">
        <f t="shared" si="34"/>
        <v>.</v>
      </c>
      <c r="AI147" s="405" t="str">
        <f t="shared" si="27"/>
        <v>ns</v>
      </c>
      <c r="AJ147" s="405" t="str">
        <f t="shared" si="28"/>
        <v>ns</v>
      </c>
      <c r="AK147" s="922" t="str">
        <f t="shared" si="29"/>
        <v>.</v>
      </c>
      <c r="AL147" s="405" t="str">
        <f t="shared" si="29"/>
        <v>ns</v>
      </c>
      <c r="AM147" s="912" t="str">
        <f t="shared" si="30"/>
        <v>ns</v>
      </c>
      <c r="AN147" s="405" t="str">
        <f t="shared" si="31"/>
        <v>ns</v>
      </c>
      <c r="AO147" s="405" t="str">
        <f t="shared" si="32"/>
        <v>ns</v>
      </c>
      <c r="AP147" s="405" t="str">
        <f t="shared" si="33"/>
        <v>ns</v>
      </c>
      <c r="AQ147" s="547" t="s">
        <v>979</v>
      </c>
    </row>
    <row r="148" spans="1:212">
      <c r="A148" s="537">
        <v>148</v>
      </c>
      <c r="B148" s="537" t="s">
        <v>59</v>
      </c>
      <c r="C148" s="538">
        <v>433</v>
      </c>
      <c r="D148" s="537" t="s">
        <v>980</v>
      </c>
      <c r="E148" s="537" t="s">
        <v>1413</v>
      </c>
      <c r="F148" s="537" t="s">
        <v>663</v>
      </c>
      <c r="G148" s="537" t="s">
        <v>661</v>
      </c>
      <c r="H148" s="539" t="s">
        <v>59</v>
      </c>
      <c r="I148" s="540" t="s">
        <v>976</v>
      </c>
      <c r="J148" s="541" t="s">
        <v>977</v>
      </c>
      <c r="K148" s="540" t="s">
        <v>197</v>
      </c>
      <c r="L148" s="550" t="s">
        <v>197</v>
      </c>
      <c r="M148" s="541" t="s">
        <v>197</v>
      </c>
      <c r="N148" s="543" t="s">
        <v>740</v>
      </c>
      <c r="O148" s="544" t="s">
        <v>889</v>
      </c>
      <c r="P148" s="537" t="s">
        <v>1393</v>
      </c>
      <c r="Q148" s="544" t="s">
        <v>663</v>
      </c>
      <c r="R148" s="544" t="s">
        <v>663</v>
      </c>
      <c r="S148" s="537" t="s">
        <v>662</v>
      </c>
      <c r="T148" s="537" t="s">
        <v>663</v>
      </c>
      <c r="U148" s="537" t="s">
        <v>663</v>
      </c>
      <c r="V148" s="544" t="s">
        <v>662</v>
      </c>
      <c r="W148" s="544" t="s">
        <v>663</v>
      </c>
      <c r="X148" s="544" t="s">
        <v>663</v>
      </c>
      <c r="Y148" s="544" t="s">
        <v>663</v>
      </c>
      <c r="Z148" s="544" t="s">
        <v>663</v>
      </c>
      <c r="AA148" s="544" t="s">
        <v>663</v>
      </c>
      <c r="AB148" s="537" t="str">
        <f t="shared" si="24"/>
        <v>PHY</v>
      </c>
      <c r="AC148" s="537" t="s">
        <v>1192</v>
      </c>
      <c r="AD148" s="545" t="str" cm="1">
        <f t="array" ref="AD148">IF(SUMPRODUCT(ISNUMBER(SEARCH("y",R148:AA148))+0)=0,"",IF(AA148="y","400G",IF(Z148="y","100G",IF(X148="y","40G",IF(V148="y","10G",IF(S148="y","1G",IF(R148="y","100M",""))))))&amp;" "&amp;AB148&amp;" "&amp;AC148)</f>
        <v>10G PHY UPLINK</v>
      </c>
      <c r="AE148" s="546" t="str">
        <f t="shared" si="35"/>
        <v/>
      </c>
      <c r="AF148" s="912" t="str">
        <f t="shared" si="25"/>
        <v>ns</v>
      </c>
      <c r="AG148" s="405" t="str">
        <f t="shared" si="26"/>
        <v>ns</v>
      </c>
      <c r="AH148" s="405" t="str">
        <f t="shared" si="34"/>
        <v>.</v>
      </c>
      <c r="AI148" s="405" t="str">
        <f t="shared" si="27"/>
        <v>ns</v>
      </c>
      <c r="AJ148" s="405" t="str">
        <f t="shared" si="28"/>
        <v>ns</v>
      </c>
      <c r="AK148" s="922" t="str">
        <f t="shared" si="29"/>
        <v>.</v>
      </c>
      <c r="AL148" s="405" t="str">
        <f t="shared" si="29"/>
        <v>ns</v>
      </c>
      <c r="AM148" s="912" t="str">
        <f t="shared" si="30"/>
        <v>ns</v>
      </c>
      <c r="AN148" s="405" t="str">
        <f t="shared" si="31"/>
        <v>ns</v>
      </c>
      <c r="AO148" s="405" t="str">
        <f t="shared" si="32"/>
        <v>ns</v>
      </c>
      <c r="AP148" s="405" t="str">
        <f t="shared" si="33"/>
        <v>ns</v>
      </c>
      <c r="AQ148" s="547" t="s">
        <v>979</v>
      </c>
    </row>
    <row r="149" spans="1:212">
      <c r="A149" s="537">
        <v>149</v>
      </c>
      <c r="B149" s="537" t="s">
        <v>59</v>
      </c>
      <c r="C149" s="538">
        <v>434</v>
      </c>
      <c r="D149" s="537" t="s">
        <v>983</v>
      </c>
      <c r="E149" s="537" t="s">
        <v>1414</v>
      </c>
      <c r="F149" s="537" t="s">
        <v>663</v>
      </c>
      <c r="G149" s="537" t="s">
        <v>661</v>
      </c>
      <c r="H149" s="539" t="s">
        <v>59</v>
      </c>
      <c r="I149" s="540" t="s">
        <v>976</v>
      </c>
      <c r="J149" s="541" t="s">
        <v>977</v>
      </c>
      <c r="K149" s="540" t="s">
        <v>197</v>
      </c>
      <c r="L149" s="550" t="s">
        <v>197</v>
      </c>
      <c r="M149" s="541" t="s">
        <v>197</v>
      </c>
      <c r="N149" s="543" t="s">
        <v>740</v>
      </c>
      <c r="O149" s="544" t="s">
        <v>1202</v>
      </c>
      <c r="P149" s="537" t="s">
        <v>1393</v>
      </c>
      <c r="Q149" s="544" t="s">
        <v>663</v>
      </c>
      <c r="R149" s="544" t="s">
        <v>663</v>
      </c>
      <c r="S149" s="537" t="s">
        <v>662</v>
      </c>
      <c r="T149" s="537" t="s">
        <v>663</v>
      </c>
      <c r="U149" s="537" t="s">
        <v>663</v>
      </c>
      <c r="V149" s="544" t="s">
        <v>662</v>
      </c>
      <c r="W149" s="544" t="s">
        <v>663</v>
      </c>
      <c r="X149" s="544" t="s">
        <v>663</v>
      </c>
      <c r="Y149" s="544" t="s">
        <v>663</v>
      </c>
      <c r="Z149" s="544" t="s">
        <v>663</v>
      </c>
      <c r="AA149" s="544" t="s">
        <v>663</v>
      </c>
      <c r="AB149" s="537" t="str">
        <f t="shared" si="24"/>
        <v>PHY</v>
      </c>
      <c r="AC149" s="537" t="s">
        <v>1192</v>
      </c>
      <c r="AD149" s="545" t="str" cm="1">
        <f t="array" ref="AD149">IF(SUMPRODUCT(ISNUMBER(SEARCH("y",R149:AA149))+0)=0,"",IF(AA149="y","400G",IF(Z149="y","100G",IF(X149="y","40G",IF(V149="y","10G",IF(S149="y","1G",IF(R149="y","100M",""))))))&amp;" "&amp;AB149&amp;" "&amp;AC149)</f>
        <v>10G PHY UPLINK</v>
      </c>
      <c r="AE149" s="546" t="str">
        <f t="shared" si="35"/>
        <v/>
      </c>
      <c r="AF149" s="912" t="str">
        <f t="shared" si="25"/>
        <v>ns</v>
      </c>
      <c r="AG149" s="405" t="str">
        <f t="shared" si="26"/>
        <v>ns</v>
      </c>
      <c r="AH149" s="405" t="str">
        <f t="shared" si="34"/>
        <v>.</v>
      </c>
      <c r="AI149" s="405" t="str">
        <f t="shared" si="27"/>
        <v>ns</v>
      </c>
      <c r="AJ149" s="405" t="str">
        <f t="shared" si="28"/>
        <v>ns</v>
      </c>
      <c r="AK149" s="922" t="str">
        <f t="shared" si="29"/>
        <v>.</v>
      </c>
      <c r="AL149" s="405" t="str">
        <f t="shared" si="29"/>
        <v>ns</v>
      </c>
      <c r="AM149" s="912" t="str">
        <f t="shared" si="30"/>
        <v>ns</v>
      </c>
      <c r="AN149" s="405" t="str">
        <f t="shared" si="31"/>
        <v>ns</v>
      </c>
      <c r="AO149" s="405" t="str">
        <f t="shared" si="32"/>
        <v>ns</v>
      </c>
      <c r="AP149" s="405" t="str">
        <f t="shared" si="33"/>
        <v>ns</v>
      </c>
      <c r="AQ149" s="547" t="s">
        <v>979</v>
      </c>
    </row>
    <row r="150" spans="1:212" s="536" customFormat="1">
      <c r="A150" s="504">
        <v>150</v>
      </c>
      <c r="B150" s="525" t="s">
        <v>1032</v>
      </c>
      <c r="C150" s="526">
        <v>529</v>
      </c>
      <c r="D150" s="525" t="s">
        <v>1033</v>
      </c>
      <c r="E150" s="525" t="s">
        <v>1415</v>
      </c>
      <c r="F150" s="525" t="s">
        <v>663</v>
      </c>
      <c r="G150" s="525" t="s">
        <v>661</v>
      </c>
      <c r="H150" s="527" t="s">
        <v>50</v>
      </c>
      <c r="I150" s="528" t="s">
        <v>1005</v>
      </c>
      <c r="J150" s="529" t="s">
        <v>688</v>
      </c>
      <c r="K150" s="528" t="s">
        <v>197</v>
      </c>
      <c r="L150" s="530" t="s">
        <v>197</v>
      </c>
      <c r="M150" s="529" t="s">
        <v>197</v>
      </c>
      <c r="N150" s="531" t="s">
        <v>689</v>
      </c>
      <c r="O150" s="532" t="s">
        <v>889</v>
      </c>
      <c r="P150" s="525" t="s">
        <v>1393</v>
      </c>
      <c r="Q150" s="532" t="s">
        <v>663</v>
      </c>
      <c r="R150" s="532" t="s">
        <v>663</v>
      </c>
      <c r="S150" s="525" t="s">
        <v>662</v>
      </c>
      <c r="T150" s="525" t="s">
        <v>663</v>
      </c>
      <c r="U150" s="525" t="s">
        <v>663</v>
      </c>
      <c r="V150" s="532" t="s">
        <v>662</v>
      </c>
      <c r="W150" s="532" t="s">
        <v>663</v>
      </c>
      <c r="X150" s="532" t="s">
        <v>663</v>
      </c>
      <c r="Y150" s="532" t="s">
        <v>663</v>
      </c>
      <c r="Z150" s="532" t="s">
        <v>663</v>
      </c>
      <c r="AA150" s="532" t="s">
        <v>663</v>
      </c>
      <c r="AB150" s="525" t="str">
        <f t="shared" si="24"/>
        <v>DC</v>
      </c>
      <c r="AC150" s="525" t="s">
        <v>1192</v>
      </c>
      <c r="AD150" s="533" t="str" cm="1">
        <f t="array" ref="AD150">IF(SUMPRODUCT(ISNUMBER(SEARCH("y",R150:AA150))+0)=0,"",IF(AA150="y","400G",IF(Z150="y","100G",IF(X150="y","40G",IF(V150="y","10G",IF(S150="y","1G",IF(R150="y","100M",""))))))&amp;" "&amp;AB150&amp;" "&amp;AC150)</f>
        <v>10G DC UPLINK</v>
      </c>
      <c r="AE150" s="534" t="str">
        <f t="shared" si="35"/>
        <v/>
      </c>
      <c r="AF150" s="910" t="str">
        <f t="shared" si="25"/>
        <v>ns</v>
      </c>
      <c r="AG150" s="911" t="str">
        <f t="shared" si="26"/>
        <v>ns</v>
      </c>
      <c r="AH150" s="911" t="str">
        <f t="shared" si="34"/>
        <v>.</v>
      </c>
      <c r="AI150" s="911" t="str">
        <f t="shared" si="27"/>
        <v>ns</v>
      </c>
      <c r="AJ150" s="911" t="str">
        <f t="shared" si="28"/>
        <v>ns</v>
      </c>
      <c r="AK150" s="921" t="str">
        <f t="shared" si="29"/>
        <v>.</v>
      </c>
      <c r="AL150" s="908" t="str">
        <f t="shared" si="29"/>
        <v>ns</v>
      </c>
      <c r="AM150" s="909" t="str">
        <f t="shared" si="30"/>
        <v>ns</v>
      </c>
      <c r="AN150" s="908" t="str">
        <f t="shared" si="31"/>
        <v>ns</v>
      </c>
      <c r="AO150" s="908" t="str">
        <f t="shared" si="32"/>
        <v>ns</v>
      </c>
      <c r="AP150" s="908" t="str">
        <f t="shared" si="33"/>
        <v>ns</v>
      </c>
      <c r="AQ150" s="535"/>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row>
    <row r="151" spans="1:212" s="536" customFormat="1">
      <c r="A151" s="504">
        <v>151</v>
      </c>
      <c r="B151" s="525" t="s">
        <v>1032</v>
      </c>
      <c r="C151" s="526">
        <v>530</v>
      </c>
      <c r="D151" s="525" t="s">
        <v>1034</v>
      </c>
      <c r="E151" s="525" t="s">
        <v>1416</v>
      </c>
      <c r="F151" s="525" t="s">
        <v>663</v>
      </c>
      <c r="G151" s="525" t="s">
        <v>661</v>
      </c>
      <c r="H151" s="527" t="s">
        <v>50</v>
      </c>
      <c r="I151" s="528" t="s">
        <v>1005</v>
      </c>
      <c r="J151" s="529" t="s">
        <v>688</v>
      </c>
      <c r="K151" s="528" t="s">
        <v>197</v>
      </c>
      <c r="L151" s="530" t="s">
        <v>197</v>
      </c>
      <c r="M151" s="529" t="s">
        <v>197</v>
      </c>
      <c r="N151" s="531" t="s">
        <v>689</v>
      </c>
      <c r="O151" s="532" t="s">
        <v>889</v>
      </c>
      <c r="P151" s="525" t="s">
        <v>1393</v>
      </c>
      <c r="Q151" s="532" t="s">
        <v>663</v>
      </c>
      <c r="R151" s="532" t="s">
        <v>663</v>
      </c>
      <c r="S151" s="525" t="s">
        <v>662</v>
      </c>
      <c r="T151" s="525" t="s">
        <v>663</v>
      </c>
      <c r="U151" s="525" t="s">
        <v>663</v>
      </c>
      <c r="V151" s="532" t="s">
        <v>662</v>
      </c>
      <c r="W151" s="532" t="s">
        <v>663</v>
      </c>
      <c r="X151" s="532" t="s">
        <v>663</v>
      </c>
      <c r="Y151" s="532" t="s">
        <v>663</v>
      </c>
      <c r="Z151" s="532" t="s">
        <v>663</v>
      </c>
      <c r="AA151" s="532" t="s">
        <v>663</v>
      </c>
      <c r="AB151" s="525" t="str">
        <f t="shared" si="24"/>
        <v>DC</v>
      </c>
      <c r="AC151" s="525" t="s">
        <v>1192</v>
      </c>
      <c r="AD151" s="533" t="str" cm="1">
        <f t="array" ref="AD151">IF(SUMPRODUCT(ISNUMBER(SEARCH("y",R151:AA151))+0)=0,"",IF(AA151="y","400G",IF(Z151="y","100G",IF(X151="y","40G",IF(V151="y","10G",IF(S151="y","1G",IF(R151="y","100M",""))))))&amp;" "&amp;AB151&amp;" "&amp;AC151)</f>
        <v>10G DC UPLINK</v>
      </c>
      <c r="AE151" s="534" t="str">
        <f t="shared" si="35"/>
        <v/>
      </c>
      <c r="AF151" s="910" t="str">
        <f t="shared" si="25"/>
        <v>ns</v>
      </c>
      <c r="AG151" s="911" t="str">
        <f t="shared" si="26"/>
        <v>ns</v>
      </c>
      <c r="AH151" s="911" t="str">
        <f t="shared" si="34"/>
        <v>.</v>
      </c>
      <c r="AI151" s="911" t="str">
        <f t="shared" si="27"/>
        <v>ns</v>
      </c>
      <c r="AJ151" s="911" t="str">
        <f t="shared" si="28"/>
        <v>ns</v>
      </c>
      <c r="AK151" s="921" t="str">
        <f t="shared" si="29"/>
        <v>.</v>
      </c>
      <c r="AL151" s="908" t="str">
        <f t="shared" si="29"/>
        <v>ns</v>
      </c>
      <c r="AM151" s="909" t="str">
        <f t="shared" si="30"/>
        <v>ns</v>
      </c>
      <c r="AN151" s="908" t="str">
        <f t="shared" si="31"/>
        <v>ns</v>
      </c>
      <c r="AO151" s="908" t="str">
        <f t="shared" si="32"/>
        <v>ns</v>
      </c>
      <c r="AP151" s="908" t="str">
        <f t="shared" si="33"/>
        <v>ns</v>
      </c>
      <c r="AQ151" s="535"/>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row>
    <row r="152" spans="1:212" s="536" customFormat="1">
      <c r="A152" s="504">
        <v>152</v>
      </c>
      <c r="B152" s="525" t="s">
        <v>1032</v>
      </c>
      <c r="C152" s="526">
        <v>531</v>
      </c>
      <c r="D152" s="525" t="s">
        <v>1035</v>
      </c>
      <c r="E152" s="525" t="s">
        <v>1417</v>
      </c>
      <c r="F152" s="525" t="s">
        <v>663</v>
      </c>
      <c r="G152" s="525" t="s">
        <v>661</v>
      </c>
      <c r="H152" s="527" t="s">
        <v>50</v>
      </c>
      <c r="I152" s="528" t="s">
        <v>1036</v>
      </c>
      <c r="J152" s="529" t="s">
        <v>688</v>
      </c>
      <c r="K152" s="528" t="s">
        <v>197</v>
      </c>
      <c r="L152" s="530" t="s">
        <v>197</v>
      </c>
      <c r="M152" s="529" t="s">
        <v>197</v>
      </c>
      <c r="N152" s="531" t="s">
        <v>689</v>
      </c>
      <c r="O152" s="532" t="s">
        <v>1202</v>
      </c>
      <c r="P152" s="525" t="s">
        <v>1393</v>
      </c>
      <c r="Q152" s="532" t="s">
        <v>663</v>
      </c>
      <c r="R152" s="532" t="s">
        <v>663</v>
      </c>
      <c r="S152" s="525" t="s">
        <v>662</v>
      </c>
      <c r="T152" s="525" t="s">
        <v>663</v>
      </c>
      <c r="U152" s="525" t="s">
        <v>663</v>
      </c>
      <c r="V152" s="532" t="s">
        <v>662</v>
      </c>
      <c r="W152" s="532" t="s">
        <v>663</v>
      </c>
      <c r="X152" s="532" t="s">
        <v>663</v>
      </c>
      <c r="Y152" s="532" t="s">
        <v>663</v>
      </c>
      <c r="Z152" s="532" t="s">
        <v>663</v>
      </c>
      <c r="AA152" s="532" t="s">
        <v>663</v>
      </c>
      <c r="AB152" s="525" t="str">
        <f t="shared" si="24"/>
        <v>DC</v>
      </c>
      <c r="AC152" s="525" t="s">
        <v>1192</v>
      </c>
      <c r="AD152" s="533" t="str" cm="1">
        <f t="array" ref="AD152">IF(SUMPRODUCT(ISNUMBER(SEARCH("y",R152:AA152))+0)=0,"",IF(AA152="y","400G",IF(Z152="y","100G",IF(X152="y","40G",IF(V152="y","10G",IF(S152="y","1G",IF(R152="y","100M",""))))))&amp;" "&amp;AB152&amp;" "&amp;AC152)</f>
        <v>10G DC UPLINK</v>
      </c>
      <c r="AE152" s="534" t="str">
        <f t="shared" si="35"/>
        <v/>
      </c>
      <c r="AF152" s="910" t="str">
        <f t="shared" si="25"/>
        <v>ns</v>
      </c>
      <c r="AG152" s="911" t="str">
        <f t="shared" si="26"/>
        <v>ns</v>
      </c>
      <c r="AH152" s="911" t="str">
        <f t="shared" si="34"/>
        <v>.</v>
      </c>
      <c r="AI152" s="911" t="str">
        <f t="shared" si="27"/>
        <v>ns</v>
      </c>
      <c r="AJ152" s="911" t="str">
        <f t="shared" si="28"/>
        <v>ns</v>
      </c>
      <c r="AK152" s="921" t="str">
        <f t="shared" si="29"/>
        <v>.</v>
      </c>
      <c r="AL152" s="908" t="str">
        <f t="shared" si="29"/>
        <v>ns</v>
      </c>
      <c r="AM152" s="909" t="str">
        <f t="shared" si="30"/>
        <v>ns</v>
      </c>
      <c r="AN152" s="908" t="str">
        <f t="shared" si="31"/>
        <v>ns</v>
      </c>
      <c r="AO152" s="908" t="str">
        <f t="shared" si="32"/>
        <v>ns</v>
      </c>
      <c r="AP152" s="908" t="str">
        <f t="shared" si="33"/>
        <v>ns</v>
      </c>
      <c r="AQ152" s="535"/>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row>
    <row r="153" spans="1:212" s="536" customFormat="1">
      <c r="A153" s="504">
        <v>153</v>
      </c>
      <c r="B153" s="525" t="s">
        <v>1032</v>
      </c>
      <c r="C153" s="526">
        <v>532</v>
      </c>
      <c r="D153" s="525" t="s">
        <v>1037</v>
      </c>
      <c r="E153" s="525" t="s">
        <v>1418</v>
      </c>
      <c r="F153" s="525" t="s">
        <v>663</v>
      </c>
      <c r="G153" s="525" t="s">
        <v>661</v>
      </c>
      <c r="H153" s="527" t="s">
        <v>50</v>
      </c>
      <c r="I153" s="528" t="s">
        <v>1036</v>
      </c>
      <c r="J153" s="529" t="s">
        <v>688</v>
      </c>
      <c r="K153" s="528" t="s">
        <v>197</v>
      </c>
      <c r="L153" s="530" t="s">
        <v>197</v>
      </c>
      <c r="M153" s="529" t="s">
        <v>197</v>
      </c>
      <c r="N153" s="531" t="s">
        <v>689</v>
      </c>
      <c r="O153" s="532" t="s">
        <v>1202</v>
      </c>
      <c r="P153" s="525" t="s">
        <v>1393</v>
      </c>
      <c r="Q153" s="532" t="s">
        <v>663</v>
      </c>
      <c r="R153" s="532" t="s">
        <v>663</v>
      </c>
      <c r="S153" s="525" t="s">
        <v>662</v>
      </c>
      <c r="T153" s="525" t="s">
        <v>663</v>
      </c>
      <c r="U153" s="525" t="s">
        <v>663</v>
      </c>
      <c r="V153" s="532" t="s">
        <v>662</v>
      </c>
      <c r="W153" s="532" t="s">
        <v>663</v>
      </c>
      <c r="X153" s="532" t="s">
        <v>663</v>
      </c>
      <c r="Y153" s="532" t="s">
        <v>663</v>
      </c>
      <c r="Z153" s="532" t="s">
        <v>663</v>
      </c>
      <c r="AA153" s="532" t="s">
        <v>663</v>
      </c>
      <c r="AB153" s="525" t="str">
        <f t="shared" si="24"/>
        <v>DC</v>
      </c>
      <c r="AC153" s="525" t="s">
        <v>1192</v>
      </c>
      <c r="AD153" s="533" t="str" cm="1">
        <f t="array" ref="AD153">IF(SUMPRODUCT(ISNUMBER(SEARCH("y",R153:AA153))+0)=0,"",IF(AA153="y","400G",IF(Z153="y","100G",IF(X153="y","40G",IF(V153="y","10G",IF(S153="y","1G",IF(R153="y","100M",""))))))&amp;" "&amp;AB153&amp;" "&amp;AC153)</f>
        <v>10G DC UPLINK</v>
      </c>
      <c r="AE153" s="534" t="str">
        <f t="shared" si="35"/>
        <v/>
      </c>
      <c r="AF153" s="910" t="str">
        <f t="shared" si="25"/>
        <v>ns</v>
      </c>
      <c r="AG153" s="911" t="str">
        <f t="shared" si="26"/>
        <v>ns</v>
      </c>
      <c r="AH153" s="911" t="str">
        <f t="shared" si="34"/>
        <v>.</v>
      </c>
      <c r="AI153" s="911" t="str">
        <f t="shared" si="27"/>
        <v>ns</v>
      </c>
      <c r="AJ153" s="911" t="str">
        <f t="shared" si="28"/>
        <v>ns</v>
      </c>
      <c r="AK153" s="921" t="str">
        <f t="shared" si="29"/>
        <v>.</v>
      </c>
      <c r="AL153" s="908" t="str">
        <f t="shared" si="29"/>
        <v>ns</v>
      </c>
      <c r="AM153" s="909" t="str">
        <f t="shared" si="30"/>
        <v>ns</v>
      </c>
      <c r="AN153" s="908" t="str">
        <f t="shared" si="31"/>
        <v>ns</v>
      </c>
      <c r="AO153" s="908" t="str">
        <f t="shared" si="32"/>
        <v>ns</v>
      </c>
      <c r="AP153" s="908" t="str">
        <f t="shared" si="33"/>
        <v>ns</v>
      </c>
      <c r="AQ153" s="535"/>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row>
    <row r="154" spans="1:212" s="536" customFormat="1">
      <c r="A154" s="504">
        <v>154</v>
      </c>
      <c r="B154" s="525" t="s">
        <v>1032</v>
      </c>
      <c r="C154" s="526">
        <v>585</v>
      </c>
      <c r="D154" s="525" t="s">
        <v>1029</v>
      </c>
      <c r="E154" s="525" t="s">
        <v>1419</v>
      </c>
      <c r="F154" s="525" t="s">
        <v>663</v>
      </c>
      <c r="G154" s="525" t="s">
        <v>661</v>
      </c>
      <c r="H154" s="527" t="s">
        <v>50</v>
      </c>
      <c r="I154" s="528" t="s">
        <v>1026</v>
      </c>
      <c r="J154" s="529" t="s">
        <v>688</v>
      </c>
      <c r="K154" s="528" t="s">
        <v>197</v>
      </c>
      <c r="L154" s="530" t="s">
        <v>197</v>
      </c>
      <c r="M154" s="529" t="s">
        <v>197</v>
      </c>
      <c r="N154" s="531" t="s">
        <v>689</v>
      </c>
      <c r="O154" s="532" t="s">
        <v>969</v>
      </c>
      <c r="P154" s="525" t="s">
        <v>1393</v>
      </c>
      <c r="Q154" s="532" t="s">
        <v>663</v>
      </c>
      <c r="R154" s="532" t="s">
        <v>663</v>
      </c>
      <c r="S154" s="525" t="s">
        <v>662</v>
      </c>
      <c r="T154" s="525" t="s">
        <v>663</v>
      </c>
      <c r="U154" s="525" t="s">
        <v>663</v>
      </c>
      <c r="V154" s="532" t="s">
        <v>662</v>
      </c>
      <c r="W154" s="532" t="s">
        <v>663</v>
      </c>
      <c r="X154" s="532" t="s">
        <v>663</v>
      </c>
      <c r="Y154" s="532" t="s">
        <v>663</v>
      </c>
      <c r="Z154" s="532" t="s">
        <v>663</v>
      </c>
      <c r="AA154" s="532" t="s">
        <v>663</v>
      </c>
      <c r="AB154" s="525" t="str">
        <f t="shared" si="24"/>
        <v>DC</v>
      </c>
      <c r="AC154" s="525" t="s">
        <v>1192</v>
      </c>
      <c r="AD154" s="533" t="str" cm="1">
        <f t="array" ref="AD154">IF(SUMPRODUCT(ISNUMBER(SEARCH("y",R154:AA154))+0)=0,"",IF(AA154="y","400G",IF(Z154="y","100G",IF(X154="y","40G",IF(V154="y","10G",IF(S154="y","1G",IF(R154="y","100M",""))))))&amp;" "&amp;AB154&amp;" "&amp;AC154)</f>
        <v>10G DC UPLINK</v>
      </c>
      <c r="AE154" s="534" t="str">
        <f t="shared" si="35"/>
        <v/>
      </c>
      <c r="AF154" s="910" t="str">
        <f t="shared" si="25"/>
        <v>ns</v>
      </c>
      <c r="AG154" s="911" t="str">
        <f t="shared" si="26"/>
        <v>ns</v>
      </c>
      <c r="AH154" s="911" t="str">
        <f t="shared" si="34"/>
        <v>.</v>
      </c>
      <c r="AI154" s="911" t="str">
        <f t="shared" si="27"/>
        <v>ns</v>
      </c>
      <c r="AJ154" s="911" t="str">
        <f t="shared" si="28"/>
        <v>ns</v>
      </c>
      <c r="AK154" s="921" t="str">
        <f t="shared" si="29"/>
        <v>.</v>
      </c>
      <c r="AL154" s="908" t="str">
        <f t="shared" si="29"/>
        <v>ns</v>
      </c>
      <c r="AM154" s="909" t="str">
        <f t="shared" si="30"/>
        <v>ns</v>
      </c>
      <c r="AN154" s="908" t="str">
        <f t="shared" si="31"/>
        <v>ns</v>
      </c>
      <c r="AO154" s="908" t="str">
        <f t="shared" si="32"/>
        <v>ns</v>
      </c>
      <c r="AP154" s="908" t="str">
        <f t="shared" si="33"/>
        <v>ns</v>
      </c>
      <c r="AQ154" s="535"/>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row>
    <row r="155" spans="1:212" s="536" customFormat="1">
      <c r="A155" s="504">
        <v>155</v>
      </c>
      <c r="B155" s="525" t="s">
        <v>1032</v>
      </c>
      <c r="C155" s="526">
        <v>586</v>
      </c>
      <c r="D155" s="525" t="s">
        <v>1031</v>
      </c>
      <c r="E155" s="525" t="s">
        <v>1420</v>
      </c>
      <c r="F155" s="525" t="s">
        <v>663</v>
      </c>
      <c r="G155" s="525" t="s">
        <v>661</v>
      </c>
      <c r="H155" s="527" t="s">
        <v>50</v>
      </c>
      <c r="I155" s="528" t="s">
        <v>1026</v>
      </c>
      <c r="J155" s="529" t="s">
        <v>688</v>
      </c>
      <c r="K155" s="528" t="s">
        <v>197</v>
      </c>
      <c r="L155" s="530" t="s">
        <v>197</v>
      </c>
      <c r="M155" s="529" t="s">
        <v>197</v>
      </c>
      <c r="N155" s="531" t="s">
        <v>689</v>
      </c>
      <c r="O155" s="532" t="s">
        <v>1030</v>
      </c>
      <c r="P155" s="525" t="s">
        <v>1393</v>
      </c>
      <c r="Q155" s="532" t="s">
        <v>663</v>
      </c>
      <c r="R155" s="532" t="s">
        <v>663</v>
      </c>
      <c r="S155" s="525" t="s">
        <v>662</v>
      </c>
      <c r="T155" s="525" t="s">
        <v>663</v>
      </c>
      <c r="U155" s="525" t="s">
        <v>663</v>
      </c>
      <c r="V155" s="532" t="s">
        <v>662</v>
      </c>
      <c r="W155" s="532" t="s">
        <v>663</v>
      </c>
      <c r="X155" s="532" t="s">
        <v>663</v>
      </c>
      <c r="Y155" s="532" t="s">
        <v>663</v>
      </c>
      <c r="Z155" s="532" t="s">
        <v>663</v>
      </c>
      <c r="AA155" s="532" t="s">
        <v>663</v>
      </c>
      <c r="AB155" s="525" t="str">
        <f t="shared" si="24"/>
        <v>DC</v>
      </c>
      <c r="AC155" s="525" t="s">
        <v>1192</v>
      </c>
      <c r="AD155" s="533" t="str" cm="1">
        <f t="array" ref="AD155">IF(SUMPRODUCT(ISNUMBER(SEARCH("y",R155:AA155))+0)=0,"",IF(AA155="y","400G",IF(Z155="y","100G",IF(X155="y","40G",IF(V155="y","10G",IF(S155="y","1G",IF(R155="y","100M",""))))))&amp;" "&amp;AB155&amp;" "&amp;AC155)</f>
        <v>10G DC UPLINK</v>
      </c>
      <c r="AE155" s="534" t="str">
        <f t="shared" si="35"/>
        <v/>
      </c>
      <c r="AF155" s="910" t="str">
        <f t="shared" si="25"/>
        <v>ns</v>
      </c>
      <c r="AG155" s="911" t="str">
        <f t="shared" si="26"/>
        <v>ns</v>
      </c>
      <c r="AH155" s="911" t="str">
        <f t="shared" si="34"/>
        <v>.</v>
      </c>
      <c r="AI155" s="911" t="str">
        <f t="shared" si="27"/>
        <v>ns</v>
      </c>
      <c r="AJ155" s="911" t="str">
        <f t="shared" si="28"/>
        <v>ns</v>
      </c>
      <c r="AK155" s="921" t="str">
        <f t="shared" si="29"/>
        <v>.</v>
      </c>
      <c r="AL155" s="908" t="str">
        <f t="shared" si="29"/>
        <v>ns</v>
      </c>
      <c r="AM155" s="909" t="str">
        <f t="shared" si="30"/>
        <v>ns</v>
      </c>
      <c r="AN155" s="908" t="str">
        <f t="shared" si="31"/>
        <v>ns</v>
      </c>
      <c r="AO155" s="908" t="str">
        <f t="shared" si="32"/>
        <v>ns</v>
      </c>
      <c r="AP155" s="908" t="str">
        <f t="shared" si="33"/>
        <v>ns</v>
      </c>
      <c r="AQ155" s="53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row>
    <row r="156" spans="1:212" s="536" customFormat="1">
      <c r="A156" s="504">
        <v>156</v>
      </c>
      <c r="B156" s="525" t="s">
        <v>964</v>
      </c>
      <c r="C156" s="572">
        <v>557</v>
      </c>
      <c r="D156" s="532" t="s">
        <v>965</v>
      </c>
      <c r="E156" s="525" t="s">
        <v>1421</v>
      </c>
      <c r="F156" s="525" t="s">
        <v>663</v>
      </c>
      <c r="G156" s="525" t="s">
        <v>661</v>
      </c>
      <c r="H156" s="573" t="s">
        <v>50</v>
      </c>
      <c r="I156" s="528" t="s">
        <v>1422</v>
      </c>
      <c r="J156" s="529" t="s">
        <v>688</v>
      </c>
      <c r="K156" s="528" t="s">
        <v>197</v>
      </c>
      <c r="L156" s="530" t="s">
        <v>197</v>
      </c>
      <c r="M156" s="529" t="s">
        <v>197</v>
      </c>
      <c r="N156" s="531" t="s">
        <v>967</v>
      </c>
      <c r="O156" s="532" t="s">
        <v>969</v>
      </c>
      <c r="P156" s="525" t="s">
        <v>827</v>
      </c>
      <c r="Q156" s="532" t="s">
        <v>663</v>
      </c>
      <c r="R156" s="532" t="s">
        <v>663</v>
      </c>
      <c r="S156" s="525" t="s">
        <v>662</v>
      </c>
      <c r="T156" s="525" t="s">
        <v>663</v>
      </c>
      <c r="U156" s="525" t="s">
        <v>663</v>
      </c>
      <c r="V156" s="532" t="s">
        <v>663</v>
      </c>
      <c r="W156" s="532" t="s">
        <v>663</v>
      </c>
      <c r="X156" s="532" t="s">
        <v>663</v>
      </c>
      <c r="Y156" s="532" t="s">
        <v>663</v>
      </c>
      <c r="Z156" s="532" t="s">
        <v>663</v>
      </c>
      <c r="AA156" s="532" t="s">
        <v>663</v>
      </c>
      <c r="AB156" s="525" t="str">
        <f t="shared" ref="AB156:AB219" si="36">IF(O156="N/A","",IF(J156="DC","DC","PHY"))</f>
        <v>DC</v>
      </c>
      <c r="AC156" s="525" t="s">
        <v>1192</v>
      </c>
      <c r="AD156" s="533" t="str" cm="1">
        <f t="array" ref="AD156">IF(SUMPRODUCT(ISNUMBER(SEARCH("y",R156:AA156))+0)=0,"",IF(AA156="y","400G",IF(Z156="y","100G",IF(X156="y","40G",IF(V156="y","10G",IF(S156="y","1G",IF(R156="y","100M",""))))))&amp;" "&amp;AB156&amp;" "&amp;AC156)</f>
        <v>1G DC UPLINK</v>
      </c>
      <c r="AE156" s="534" t="str">
        <f t="shared" si="35"/>
        <v/>
      </c>
      <c r="AF156" s="910" t="str">
        <f t="shared" si="25"/>
        <v>ns</v>
      </c>
      <c r="AG156" s="911" t="str">
        <f t="shared" si="26"/>
        <v>ns</v>
      </c>
      <c r="AH156" s="911" t="str">
        <f t="shared" si="34"/>
        <v>.</v>
      </c>
      <c r="AI156" s="911" t="str">
        <f t="shared" si="27"/>
        <v>ns</v>
      </c>
      <c r="AJ156" s="911" t="str">
        <f t="shared" si="28"/>
        <v>ns</v>
      </c>
      <c r="AK156" s="921" t="str">
        <f t="shared" si="29"/>
        <v>ns</v>
      </c>
      <c r="AL156" s="908" t="str">
        <f t="shared" si="29"/>
        <v>ns</v>
      </c>
      <c r="AM156" s="909" t="str">
        <f t="shared" si="30"/>
        <v>ns</v>
      </c>
      <c r="AN156" s="908" t="str">
        <f t="shared" si="31"/>
        <v>ns</v>
      </c>
      <c r="AO156" s="908" t="str">
        <f t="shared" si="32"/>
        <v>ns</v>
      </c>
      <c r="AP156" s="908" t="str">
        <f t="shared" si="33"/>
        <v>ns</v>
      </c>
      <c r="AQ156" s="535" t="s">
        <v>970</v>
      </c>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row>
    <row r="157" spans="1:212" s="536" customFormat="1">
      <c r="A157" s="504">
        <v>157</v>
      </c>
      <c r="B157" s="525" t="s">
        <v>964</v>
      </c>
      <c r="C157" s="572">
        <v>558</v>
      </c>
      <c r="D157" s="532" t="s">
        <v>971</v>
      </c>
      <c r="E157" s="525" t="s">
        <v>1423</v>
      </c>
      <c r="F157" s="525" t="s">
        <v>663</v>
      </c>
      <c r="G157" s="525" t="s">
        <v>661</v>
      </c>
      <c r="H157" s="573" t="s">
        <v>50</v>
      </c>
      <c r="I157" s="528" t="s">
        <v>1422</v>
      </c>
      <c r="J157" s="529" t="s">
        <v>688</v>
      </c>
      <c r="K157" s="528" t="s">
        <v>197</v>
      </c>
      <c r="L157" s="530" t="s">
        <v>197</v>
      </c>
      <c r="M157" s="529" t="s">
        <v>197</v>
      </c>
      <c r="N157" s="531" t="s">
        <v>967</v>
      </c>
      <c r="O157" s="532" t="s">
        <v>969</v>
      </c>
      <c r="P157" s="525" t="s">
        <v>827</v>
      </c>
      <c r="Q157" s="532" t="s">
        <v>663</v>
      </c>
      <c r="R157" s="532" t="s">
        <v>663</v>
      </c>
      <c r="S157" s="525" t="s">
        <v>662</v>
      </c>
      <c r="T157" s="525" t="s">
        <v>663</v>
      </c>
      <c r="U157" s="525" t="s">
        <v>663</v>
      </c>
      <c r="V157" s="532" t="s">
        <v>663</v>
      </c>
      <c r="W157" s="532" t="s">
        <v>663</v>
      </c>
      <c r="X157" s="532" t="s">
        <v>663</v>
      </c>
      <c r="Y157" s="532" t="s">
        <v>663</v>
      </c>
      <c r="Z157" s="532" t="s">
        <v>663</v>
      </c>
      <c r="AA157" s="532" t="s">
        <v>663</v>
      </c>
      <c r="AB157" s="525" t="str">
        <f t="shared" si="36"/>
        <v>DC</v>
      </c>
      <c r="AC157" s="525" t="s">
        <v>1192</v>
      </c>
      <c r="AD157" s="533" t="str" cm="1">
        <f t="array" ref="AD157">IF(SUMPRODUCT(ISNUMBER(SEARCH("y",R157:AA157))+0)=0,"",IF(AA157="y","400G",IF(Z157="y","100G",IF(X157="y","40G",IF(V157="y","10G",IF(S157="y","1G",IF(R157="y","100M",""))))))&amp;" "&amp;AB157&amp;" "&amp;AC157)</f>
        <v>1G DC UPLINK</v>
      </c>
      <c r="AE157" s="534" t="str">
        <f t="shared" si="35"/>
        <v/>
      </c>
      <c r="AF157" s="910" t="str">
        <f t="shared" si="25"/>
        <v>ns</v>
      </c>
      <c r="AG157" s="911" t="str">
        <f t="shared" si="26"/>
        <v>ns</v>
      </c>
      <c r="AH157" s="911" t="str">
        <f t="shared" si="34"/>
        <v>.</v>
      </c>
      <c r="AI157" s="911" t="str">
        <f t="shared" si="27"/>
        <v>ns</v>
      </c>
      <c r="AJ157" s="911" t="str">
        <f t="shared" si="28"/>
        <v>ns</v>
      </c>
      <c r="AK157" s="921" t="str">
        <f t="shared" si="29"/>
        <v>ns</v>
      </c>
      <c r="AL157" s="908" t="str">
        <f t="shared" si="29"/>
        <v>ns</v>
      </c>
      <c r="AM157" s="909" t="str">
        <f t="shared" si="30"/>
        <v>ns</v>
      </c>
      <c r="AN157" s="908" t="str">
        <f t="shared" si="31"/>
        <v>ns</v>
      </c>
      <c r="AO157" s="908" t="str">
        <f t="shared" si="32"/>
        <v>ns</v>
      </c>
      <c r="AP157" s="908" t="str">
        <f t="shared" si="33"/>
        <v>ns</v>
      </c>
      <c r="AQ157" s="535"/>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row>
    <row r="158" spans="1:212" s="536" customFormat="1">
      <c r="A158" s="504">
        <v>158</v>
      </c>
      <c r="B158" s="525" t="s">
        <v>1424</v>
      </c>
      <c r="C158" s="572">
        <v>577</v>
      </c>
      <c r="D158" s="532" t="s">
        <v>972</v>
      </c>
      <c r="E158" s="525" t="s">
        <v>1425</v>
      </c>
      <c r="F158" s="525" t="s">
        <v>663</v>
      </c>
      <c r="G158" s="525" t="s">
        <v>661</v>
      </c>
      <c r="H158" s="573" t="s">
        <v>50</v>
      </c>
      <c r="I158" s="528" t="s">
        <v>1422</v>
      </c>
      <c r="J158" s="529" t="s">
        <v>688</v>
      </c>
      <c r="K158" s="528" t="s">
        <v>972</v>
      </c>
      <c r="L158" s="530" t="s">
        <v>859</v>
      </c>
      <c r="M158" s="529" t="s">
        <v>973</v>
      </c>
      <c r="N158" s="531" t="s">
        <v>967</v>
      </c>
      <c r="O158" s="532" t="s">
        <v>969</v>
      </c>
      <c r="P158" s="525" t="s">
        <v>827</v>
      </c>
      <c r="Q158" s="532" t="s">
        <v>662</v>
      </c>
      <c r="R158" s="532" t="s">
        <v>662</v>
      </c>
      <c r="S158" s="525" t="s">
        <v>662</v>
      </c>
      <c r="T158" s="525" t="s">
        <v>663</v>
      </c>
      <c r="U158" s="525" t="s">
        <v>663</v>
      </c>
      <c r="V158" s="532" t="s">
        <v>663</v>
      </c>
      <c r="W158" s="532" t="s">
        <v>663</v>
      </c>
      <c r="X158" s="532" t="s">
        <v>663</v>
      </c>
      <c r="Y158" s="532" t="s">
        <v>663</v>
      </c>
      <c r="Z158" s="532" t="s">
        <v>663</v>
      </c>
      <c r="AA158" s="532" t="s">
        <v>663</v>
      </c>
      <c r="AB158" s="525" t="str">
        <f t="shared" si="36"/>
        <v>DC</v>
      </c>
      <c r="AC158" s="525" t="s">
        <v>1192</v>
      </c>
      <c r="AD158" s="533" t="str" cm="1">
        <f t="array" ref="AD158">IF(SUMPRODUCT(ISNUMBER(SEARCH("y",R158:AA158))+0)=0,"",IF(AA158="y","400G",IF(Z158="y","100G",IF(X158="y","40G",IF(V158="y","10G",IF(S158="y","1G",IF(R158="y","100M",""))))))&amp;" "&amp;AB158&amp;" "&amp;AC158)</f>
        <v>1G DC UPLINK</v>
      </c>
      <c r="AE158" s="534" t="str">
        <f t="shared" si="35"/>
        <v>AT-GS980EM/10H 1G DC UPLINK</v>
      </c>
      <c r="AF158" s="910" t="str">
        <f t="shared" si="25"/>
        <v>.</v>
      </c>
      <c r="AG158" s="911" t="str">
        <f t="shared" si="26"/>
        <v>.</v>
      </c>
      <c r="AH158" s="911" t="str">
        <f t="shared" si="34"/>
        <v>.</v>
      </c>
      <c r="AI158" s="911" t="str">
        <f t="shared" si="27"/>
        <v>ns</v>
      </c>
      <c r="AJ158" s="911" t="str">
        <f t="shared" si="28"/>
        <v>ns</v>
      </c>
      <c r="AK158" s="921" t="str">
        <f t="shared" si="29"/>
        <v>ns</v>
      </c>
      <c r="AL158" s="908" t="str">
        <f t="shared" si="29"/>
        <v>ns</v>
      </c>
      <c r="AM158" s="909" t="str">
        <f t="shared" si="30"/>
        <v>ns</v>
      </c>
      <c r="AN158" s="908" t="str">
        <f t="shared" si="31"/>
        <v>ns</v>
      </c>
      <c r="AO158" s="908" t="str">
        <f t="shared" si="32"/>
        <v>ns</v>
      </c>
      <c r="AP158" s="908" t="str">
        <f t="shared" si="33"/>
        <v>ns</v>
      </c>
      <c r="AQ158" s="535"/>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row>
    <row r="159" spans="1:212" s="536" customFormat="1">
      <c r="A159" s="504">
        <v>159</v>
      </c>
      <c r="B159" s="525" t="s">
        <v>1424</v>
      </c>
      <c r="C159" s="572">
        <v>578</v>
      </c>
      <c r="D159" s="532" t="s">
        <v>974</v>
      </c>
      <c r="E159" s="525" t="s">
        <v>1426</v>
      </c>
      <c r="F159" s="525" t="s">
        <v>663</v>
      </c>
      <c r="G159" s="525" t="s">
        <v>661</v>
      </c>
      <c r="H159" s="573" t="s">
        <v>50</v>
      </c>
      <c r="I159" s="528" t="s">
        <v>1422</v>
      </c>
      <c r="J159" s="529" t="s">
        <v>688</v>
      </c>
      <c r="K159" s="528" t="s">
        <v>197</v>
      </c>
      <c r="L159" s="530" t="s">
        <v>197</v>
      </c>
      <c r="M159" s="529" t="s">
        <v>197</v>
      </c>
      <c r="N159" s="531" t="s">
        <v>967</v>
      </c>
      <c r="O159" s="532" t="s">
        <v>969</v>
      </c>
      <c r="P159" s="525" t="s">
        <v>827</v>
      </c>
      <c r="Q159" s="532" t="s">
        <v>663</v>
      </c>
      <c r="R159" s="532" t="s">
        <v>663</v>
      </c>
      <c r="S159" s="525" t="s">
        <v>662</v>
      </c>
      <c r="T159" s="525" t="s">
        <v>663</v>
      </c>
      <c r="U159" s="525" t="s">
        <v>663</v>
      </c>
      <c r="V159" s="532" t="s">
        <v>663</v>
      </c>
      <c r="W159" s="532" t="s">
        <v>663</v>
      </c>
      <c r="X159" s="532" t="s">
        <v>663</v>
      </c>
      <c r="Y159" s="532" t="s">
        <v>663</v>
      </c>
      <c r="Z159" s="532" t="s">
        <v>663</v>
      </c>
      <c r="AA159" s="532" t="s">
        <v>663</v>
      </c>
      <c r="AB159" s="525" t="str">
        <f t="shared" si="36"/>
        <v>DC</v>
      </c>
      <c r="AC159" s="525" t="s">
        <v>1192</v>
      </c>
      <c r="AD159" s="533" t="str" cm="1">
        <f t="array" ref="AD159">IF(SUMPRODUCT(ISNUMBER(SEARCH("y",R159:AA159))+0)=0,"",IF(AA159="y","400G",IF(Z159="y","100G",IF(X159="y","40G",IF(V159="y","10G",IF(S159="y","1G",IF(R159="y","100M",""))))))&amp;" "&amp;AB159&amp;" "&amp;AC159)</f>
        <v>1G DC UPLINK</v>
      </c>
      <c r="AE159" s="534" t="str">
        <f t="shared" si="35"/>
        <v/>
      </c>
      <c r="AF159" s="910" t="str">
        <f t="shared" si="25"/>
        <v>ns</v>
      </c>
      <c r="AG159" s="911" t="str">
        <f t="shared" si="26"/>
        <v>ns</v>
      </c>
      <c r="AH159" s="911" t="str">
        <f t="shared" si="34"/>
        <v>.</v>
      </c>
      <c r="AI159" s="911" t="str">
        <f t="shared" si="27"/>
        <v>ns</v>
      </c>
      <c r="AJ159" s="911" t="str">
        <f t="shared" si="28"/>
        <v>ns</v>
      </c>
      <c r="AK159" s="921" t="str">
        <f t="shared" si="29"/>
        <v>ns</v>
      </c>
      <c r="AL159" s="908" t="str">
        <f t="shared" si="29"/>
        <v>ns</v>
      </c>
      <c r="AM159" s="909" t="str">
        <f t="shared" si="30"/>
        <v>ns</v>
      </c>
      <c r="AN159" s="908" t="str">
        <f t="shared" si="31"/>
        <v>ns</v>
      </c>
      <c r="AO159" s="908" t="str">
        <f t="shared" si="32"/>
        <v>ns</v>
      </c>
      <c r="AP159" s="908" t="str">
        <f t="shared" si="33"/>
        <v>ns</v>
      </c>
      <c r="AQ159" s="535"/>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row>
    <row r="160" spans="1:212" s="536" customFormat="1">
      <c r="A160" s="504">
        <v>160</v>
      </c>
      <c r="B160" s="525" t="s">
        <v>50</v>
      </c>
      <c r="C160" s="526">
        <v>522</v>
      </c>
      <c r="D160" s="525" t="s">
        <v>1004</v>
      </c>
      <c r="E160" s="525" t="s">
        <v>1427</v>
      </c>
      <c r="F160" s="525" t="s">
        <v>663</v>
      </c>
      <c r="G160" s="525" t="s">
        <v>661</v>
      </c>
      <c r="H160" s="527" t="s">
        <v>50</v>
      </c>
      <c r="I160" s="528" t="s">
        <v>1005</v>
      </c>
      <c r="J160" s="529" t="s">
        <v>688</v>
      </c>
      <c r="K160" s="528" t="s">
        <v>197</v>
      </c>
      <c r="L160" s="530" t="s">
        <v>197</v>
      </c>
      <c r="M160" s="529" t="s">
        <v>197</v>
      </c>
      <c r="N160" s="531" t="s">
        <v>689</v>
      </c>
      <c r="O160" s="532" t="s">
        <v>889</v>
      </c>
      <c r="P160" s="525" t="s">
        <v>1393</v>
      </c>
      <c r="Q160" s="532" t="s">
        <v>663</v>
      </c>
      <c r="R160" s="532" t="s">
        <v>663</v>
      </c>
      <c r="S160" s="525" t="s">
        <v>662</v>
      </c>
      <c r="T160" s="525" t="s">
        <v>662</v>
      </c>
      <c r="U160" s="525" t="s">
        <v>662</v>
      </c>
      <c r="V160" s="532" t="s">
        <v>662</v>
      </c>
      <c r="W160" s="532" t="s">
        <v>663</v>
      </c>
      <c r="X160" s="532" t="s">
        <v>663</v>
      </c>
      <c r="Y160" s="532" t="s">
        <v>663</v>
      </c>
      <c r="Z160" s="532" t="s">
        <v>663</v>
      </c>
      <c r="AA160" s="532" t="s">
        <v>663</v>
      </c>
      <c r="AB160" s="525" t="str">
        <f t="shared" si="36"/>
        <v>DC</v>
      </c>
      <c r="AC160" s="525" t="s">
        <v>1192</v>
      </c>
      <c r="AD160" s="533" t="str" cm="1">
        <f t="array" ref="AD160">IF(SUMPRODUCT(ISNUMBER(SEARCH("y",R160:AA160))+0)=0,"",IF(AA160="y","400G",IF(Z160="y","100G",IF(X160="y","40G",IF(V160="y","10G",IF(S160="y","1G",IF(R160="y","100M",""))))))&amp;" "&amp;AB160&amp;" "&amp;AC160)</f>
        <v>10G DC UPLINK</v>
      </c>
      <c r="AE160" s="534" t="str">
        <f t="shared" si="35"/>
        <v/>
      </c>
      <c r="AF160" s="910" t="str">
        <f t="shared" si="25"/>
        <v>ns</v>
      </c>
      <c r="AG160" s="911" t="str">
        <f t="shared" si="26"/>
        <v>ns</v>
      </c>
      <c r="AH160" s="911" t="str">
        <f t="shared" si="34"/>
        <v>.</v>
      </c>
      <c r="AI160" s="911" t="str">
        <f t="shared" si="27"/>
        <v>.</v>
      </c>
      <c r="AJ160" s="911" t="str">
        <f t="shared" si="28"/>
        <v>.</v>
      </c>
      <c r="AK160" s="921" t="str">
        <f t="shared" si="29"/>
        <v>.</v>
      </c>
      <c r="AL160" s="908" t="str">
        <f t="shared" si="29"/>
        <v>ns</v>
      </c>
      <c r="AM160" s="909" t="str">
        <f t="shared" si="30"/>
        <v>ns</v>
      </c>
      <c r="AN160" s="908" t="str">
        <f t="shared" si="31"/>
        <v>ns</v>
      </c>
      <c r="AO160" s="908" t="str">
        <f t="shared" si="32"/>
        <v>ns</v>
      </c>
      <c r="AP160" s="908" t="str">
        <f t="shared" si="33"/>
        <v>ns</v>
      </c>
      <c r="AQ160" s="535"/>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row>
    <row r="161" spans="1:212" s="536" customFormat="1">
      <c r="A161" s="504">
        <v>161</v>
      </c>
      <c r="B161" s="525" t="s">
        <v>50</v>
      </c>
      <c r="C161" s="526">
        <v>523</v>
      </c>
      <c r="D161" s="525" t="s">
        <v>1007</v>
      </c>
      <c r="E161" s="525" t="s">
        <v>1428</v>
      </c>
      <c r="F161" s="525" t="s">
        <v>663</v>
      </c>
      <c r="G161" s="525" t="s">
        <v>661</v>
      </c>
      <c r="H161" s="527" t="s">
        <v>50</v>
      </c>
      <c r="I161" s="528" t="s">
        <v>1005</v>
      </c>
      <c r="J161" s="529" t="s">
        <v>688</v>
      </c>
      <c r="K161" s="528" t="s">
        <v>197</v>
      </c>
      <c r="L161" s="530" t="s">
        <v>197</v>
      </c>
      <c r="M161" s="529" t="s">
        <v>197</v>
      </c>
      <c r="N161" s="531" t="s">
        <v>689</v>
      </c>
      <c r="O161" s="532" t="s">
        <v>889</v>
      </c>
      <c r="P161" s="525" t="s">
        <v>1393</v>
      </c>
      <c r="Q161" s="532" t="s">
        <v>663</v>
      </c>
      <c r="R161" s="532" t="s">
        <v>663</v>
      </c>
      <c r="S161" s="525" t="s">
        <v>662</v>
      </c>
      <c r="T161" s="525" t="s">
        <v>662</v>
      </c>
      <c r="U161" s="525" t="s">
        <v>662</v>
      </c>
      <c r="V161" s="532" t="s">
        <v>662</v>
      </c>
      <c r="W161" s="532" t="s">
        <v>663</v>
      </c>
      <c r="X161" s="532" t="s">
        <v>663</v>
      </c>
      <c r="Y161" s="532" t="s">
        <v>663</v>
      </c>
      <c r="Z161" s="532" t="s">
        <v>663</v>
      </c>
      <c r="AA161" s="532" t="s">
        <v>663</v>
      </c>
      <c r="AB161" s="525" t="str">
        <f t="shared" si="36"/>
        <v>DC</v>
      </c>
      <c r="AC161" s="525" t="s">
        <v>1192</v>
      </c>
      <c r="AD161" s="533" t="str" cm="1">
        <f t="array" ref="AD161">IF(SUMPRODUCT(ISNUMBER(SEARCH("y",R161:AA161))+0)=0,"",IF(AA161="y","400G",IF(Z161="y","100G",IF(X161="y","40G",IF(V161="y","10G",IF(S161="y","1G",IF(R161="y","100M",""))))))&amp;" "&amp;AB161&amp;" "&amp;AC161)</f>
        <v>10G DC UPLINK</v>
      </c>
      <c r="AE161" s="534" t="str">
        <f t="shared" si="35"/>
        <v/>
      </c>
      <c r="AF161" s="910" t="str">
        <f t="shared" si="25"/>
        <v>ns</v>
      </c>
      <c r="AG161" s="911" t="str">
        <f t="shared" si="26"/>
        <v>ns</v>
      </c>
      <c r="AH161" s="911" t="str">
        <f t="shared" si="34"/>
        <v>.</v>
      </c>
      <c r="AI161" s="911" t="str">
        <f t="shared" si="27"/>
        <v>.</v>
      </c>
      <c r="AJ161" s="911" t="str">
        <f t="shared" si="28"/>
        <v>.</v>
      </c>
      <c r="AK161" s="921" t="str">
        <f t="shared" si="29"/>
        <v>.</v>
      </c>
      <c r="AL161" s="908" t="str">
        <f t="shared" si="29"/>
        <v>ns</v>
      </c>
      <c r="AM161" s="909" t="str">
        <f t="shared" si="30"/>
        <v>ns</v>
      </c>
      <c r="AN161" s="908" t="str">
        <f t="shared" si="31"/>
        <v>ns</v>
      </c>
      <c r="AO161" s="908" t="str">
        <f t="shared" si="32"/>
        <v>ns</v>
      </c>
      <c r="AP161" s="908" t="str">
        <f t="shared" si="33"/>
        <v>ns</v>
      </c>
      <c r="AQ161" s="535"/>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row>
    <row r="162" spans="1:212" s="536" customFormat="1">
      <c r="A162" s="504">
        <v>162</v>
      </c>
      <c r="B162" s="525" t="s">
        <v>50</v>
      </c>
      <c r="C162" s="526">
        <v>524</v>
      </c>
      <c r="D162" s="525" t="s">
        <v>1008</v>
      </c>
      <c r="E162" s="525" t="s">
        <v>1429</v>
      </c>
      <c r="F162" s="525" t="s">
        <v>663</v>
      </c>
      <c r="G162" s="525" t="s">
        <v>661</v>
      </c>
      <c r="H162" s="527" t="s">
        <v>50</v>
      </c>
      <c r="I162" s="528" t="s">
        <v>1430</v>
      </c>
      <c r="J162" s="574" t="s">
        <v>1431</v>
      </c>
      <c r="K162" s="528" t="s">
        <v>1008</v>
      </c>
      <c r="L162" s="530" t="s">
        <v>2039</v>
      </c>
      <c r="M162" s="529" t="s">
        <v>2040</v>
      </c>
      <c r="N162" s="531" t="s">
        <v>671</v>
      </c>
      <c r="O162" s="532" t="s">
        <v>899</v>
      </c>
      <c r="P162" s="525" t="s">
        <v>1259</v>
      </c>
      <c r="Q162" s="532" t="s">
        <v>663</v>
      </c>
      <c r="R162" s="525" t="s">
        <v>662</v>
      </c>
      <c r="S162" s="525" t="s">
        <v>662</v>
      </c>
      <c r="T162" s="525" t="s">
        <v>663</v>
      </c>
      <c r="U162" s="525" t="s">
        <v>663</v>
      </c>
      <c r="V162" s="532" t="s">
        <v>663</v>
      </c>
      <c r="W162" s="532" t="s">
        <v>663</v>
      </c>
      <c r="X162" s="532" t="s">
        <v>663</v>
      </c>
      <c r="Y162" s="532" t="s">
        <v>663</v>
      </c>
      <c r="Z162" s="532" t="s">
        <v>663</v>
      </c>
      <c r="AA162" s="532" t="s">
        <v>663</v>
      </c>
      <c r="AB162" s="525" t="str">
        <f t="shared" si="36"/>
        <v>PHY</v>
      </c>
      <c r="AC162" s="525" t="s">
        <v>1201</v>
      </c>
      <c r="AD162" s="533" t="str" cm="1">
        <f t="array" ref="AD162">IF(SUMPRODUCT(ISNUMBER(SEARCH("y",R162:AA162))+0)=0,"",IF(AA162="y","400G",IF(Z162="y","100G",IF(X162="y","40G",IF(V162="y","10G",IF(S162="y","1G",IF(R162="y","100M",""))))))&amp;" "&amp;AB162&amp;" "&amp;AC162)</f>
        <v>1G PHY BASE</v>
      </c>
      <c r="AE162" s="534" t="str">
        <f t="shared" si="35"/>
        <v>AT-x530-28GSX 1G PHY BASE</v>
      </c>
      <c r="AF162" s="910" t="str">
        <f t="shared" si="25"/>
        <v>ns</v>
      </c>
      <c r="AG162" s="911" t="str">
        <f t="shared" si="26"/>
        <v>.</v>
      </c>
      <c r="AH162" s="911" t="str">
        <f t="shared" si="34"/>
        <v>.</v>
      </c>
      <c r="AI162" s="911" t="str">
        <f t="shared" si="27"/>
        <v>ns</v>
      </c>
      <c r="AJ162" s="911" t="str">
        <f t="shared" si="28"/>
        <v>ns</v>
      </c>
      <c r="AK162" s="921" t="str">
        <f t="shared" si="29"/>
        <v>ns</v>
      </c>
      <c r="AL162" s="908" t="str">
        <f t="shared" si="29"/>
        <v>ns</v>
      </c>
      <c r="AM162" s="909" t="str">
        <f t="shared" si="30"/>
        <v>ns</v>
      </c>
      <c r="AN162" s="908" t="str">
        <f t="shared" si="31"/>
        <v>ns</v>
      </c>
      <c r="AO162" s="908" t="str">
        <f t="shared" si="32"/>
        <v>ns</v>
      </c>
      <c r="AP162" s="908" t="str">
        <f t="shared" si="33"/>
        <v>ns</v>
      </c>
      <c r="AQ162" s="535"/>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row>
    <row r="163" spans="1:212" s="536" customFormat="1">
      <c r="A163" s="504">
        <v>163</v>
      </c>
      <c r="B163" s="525" t="s">
        <v>50</v>
      </c>
      <c r="C163" s="526">
        <v>524</v>
      </c>
      <c r="D163" s="525" t="s">
        <v>1008</v>
      </c>
      <c r="E163" s="525" t="s">
        <v>1429</v>
      </c>
      <c r="F163" s="525" t="s">
        <v>663</v>
      </c>
      <c r="G163" s="525" t="s">
        <v>661</v>
      </c>
      <c r="H163" s="527" t="s">
        <v>50</v>
      </c>
      <c r="I163" s="528" t="s">
        <v>1005</v>
      </c>
      <c r="J163" s="574" t="s">
        <v>688</v>
      </c>
      <c r="K163" s="528" t="s">
        <v>1008</v>
      </c>
      <c r="L163" s="530" t="s">
        <v>2039</v>
      </c>
      <c r="M163" s="529" t="s">
        <v>2040</v>
      </c>
      <c r="N163" s="531" t="s">
        <v>740</v>
      </c>
      <c r="O163" s="532" t="s">
        <v>889</v>
      </c>
      <c r="P163" s="525" t="s">
        <v>1393</v>
      </c>
      <c r="Q163" s="532" t="s">
        <v>663</v>
      </c>
      <c r="R163" s="532" t="s">
        <v>663</v>
      </c>
      <c r="S163" s="525" t="s">
        <v>662</v>
      </c>
      <c r="T163" s="525" t="s">
        <v>662</v>
      </c>
      <c r="U163" s="525" t="s">
        <v>662</v>
      </c>
      <c r="V163" s="532" t="s">
        <v>662</v>
      </c>
      <c r="W163" s="532" t="s">
        <v>663</v>
      </c>
      <c r="X163" s="532" t="s">
        <v>663</v>
      </c>
      <c r="Y163" s="532" t="s">
        <v>663</v>
      </c>
      <c r="Z163" s="532" t="s">
        <v>663</v>
      </c>
      <c r="AA163" s="532" t="s">
        <v>663</v>
      </c>
      <c r="AB163" s="525" t="str">
        <f t="shared" si="36"/>
        <v>DC</v>
      </c>
      <c r="AC163" s="525" t="s">
        <v>1192</v>
      </c>
      <c r="AD163" s="533" t="str" cm="1">
        <f t="array" ref="AD163">IF(SUMPRODUCT(ISNUMBER(SEARCH("y",R163:AA163))+0)=0,"",IF(AA163="y","400G",IF(Z163="y","100G",IF(X163="y","40G",IF(V163="y","10G",IF(S163="y","1G",IF(R163="y","100M",""))))))&amp;" "&amp;AB163&amp;" "&amp;AC163)</f>
        <v>10G DC UPLINK</v>
      </c>
      <c r="AE163" s="534" t="str">
        <f t="shared" si="35"/>
        <v>AT-x530-28GSX 10G DC UPLINK</v>
      </c>
      <c r="AF163" s="910" t="str">
        <f t="shared" si="25"/>
        <v>ns</v>
      </c>
      <c r="AG163" s="911" t="str">
        <f t="shared" si="26"/>
        <v>ns</v>
      </c>
      <c r="AH163" s="911" t="str">
        <f t="shared" si="34"/>
        <v>.</v>
      </c>
      <c r="AI163" s="911" t="str">
        <f t="shared" si="27"/>
        <v>.</v>
      </c>
      <c r="AJ163" s="911" t="str">
        <f t="shared" si="28"/>
        <v>.</v>
      </c>
      <c r="AK163" s="921" t="str">
        <f t="shared" si="29"/>
        <v>.</v>
      </c>
      <c r="AL163" s="908" t="str">
        <f t="shared" si="29"/>
        <v>ns</v>
      </c>
      <c r="AM163" s="909" t="str">
        <f t="shared" si="30"/>
        <v>ns</v>
      </c>
      <c r="AN163" s="908" t="str">
        <f t="shared" si="31"/>
        <v>ns</v>
      </c>
      <c r="AO163" s="908" t="str">
        <f t="shared" si="32"/>
        <v>ns</v>
      </c>
      <c r="AP163" s="908" t="str">
        <f t="shared" si="33"/>
        <v>ns</v>
      </c>
      <c r="AQ163" s="535"/>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row>
    <row r="164" spans="1:212" s="536" customFormat="1">
      <c r="A164" s="504">
        <v>164</v>
      </c>
      <c r="B164" s="525" t="s">
        <v>50</v>
      </c>
      <c r="C164" s="526">
        <v>525</v>
      </c>
      <c r="D164" s="525" t="s">
        <v>1014</v>
      </c>
      <c r="E164" s="525" t="s">
        <v>1432</v>
      </c>
      <c r="F164" s="525" t="s">
        <v>663</v>
      </c>
      <c r="G164" s="525" t="s">
        <v>661</v>
      </c>
      <c r="H164" s="527" t="s">
        <v>50</v>
      </c>
      <c r="I164" s="528" t="s">
        <v>1005</v>
      </c>
      <c r="J164" s="529" t="s">
        <v>688</v>
      </c>
      <c r="K164" s="528" t="s">
        <v>197</v>
      </c>
      <c r="L164" s="530" t="s">
        <v>197</v>
      </c>
      <c r="M164" s="529" t="s">
        <v>197</v>
      </c>
      <c r="N164" s="531" t="s">
        <v>689</v>
      </c>
      <c r="O164" s="532" t="s">
        <v>889</v>
      </c>
      <c r="P164" s="525" t="s">
        <v>1393</v>
      </c>
      <c r="Q164" s="532" t="s">
        <v>663</v>
      </c>
      <c r="R164" s="532" t="s">
        <v>663</v>
      </c>
      <c r="S164" s="525" t="s">
        <v>662</v>
      </c>
      <c r="T164" s="525" t="s">
        <v>662</v>
      </c>
      <c r="U164" s="525" t="s">
        <v>662</v>
      </c>
      <c r="V164" s="532" t="s">
        <v>662</v>
      </c>
      <c r="W164" s="532" t="s">
        <v>663</v>
      </c>
      <c r="X164" s="532" t="s">
        <v>663</v>
      </c>
      <c r="Y164" s="532" t="s">
        <v>663</v>
      </c>
      <c r="Z164" s="532" t="s">
        <v>663</v>
      </c>
      <c r="AA164" s="532" t="s">
        <v>663</v>
      </c>
      <c r="AB164" s="525" t="str">
        <f t="shared" si="36"/>
        <v>DC</v>
      </c>
      <c r="AC164" s="525" t="s">
        <v>1192</v>
      </c>
      <c r="AD164" s="533" t="str" cm="1">
        <f t="array" ref="AD164">IF(SUMPRODUCT(ISNUMBER(SEARCH("y",R164:AA164))+0)=0,"",IF(AA164="y","400G",IF(Z164="y","100G",IF(X164="y","40G",IF(V164="y","10G",IF(S164="y","1G",IF(R164="y","100M",""))))))&amp;" "&amp;AB164&amp;" "&amp;AC164)</f>
        <v>10G DC UPLINK</v>
      </c>
      <c r="AE164" s="534" t="str">
        <f t="shared" si="35"/>
        <v/>
      </c>
      <c r="AF164" s="910" t="str">
        <f t="shared" si="25"/>
        <v>ns</v>
      </c>
      <c r="AG164" s="911" t="str">
        <f t="shared" si="26"/>
        <v>ns</v>
      </c>
      <c r="AH164" s="911" t="str">
        <f t="shared" si="34"/>
        <v>.</v>
      </c>
      <c r="AI164" s="911" t="str">
        <f t="shared" si="27"/>
        <v>.</v>
      </c>
      <c r="AJ164" s="911" t="str">
        <f t="shared" si="28"/>
        <v>.</v>
      </c>
      <c r="AK164" s="921" t="str">
        <f t="shared" si="29"/>
        <v>.</v>
      </c>
      <c r="AL164" s="908" t="str">
        <f t="shared" si="29"/>
        <v>ns</v>
      </c>
      <c r="AM164" s="909" t="str">
        <f t="shared" si="30"/>
        <v>ns</v>
      </c>
      <c r="AN164" s="908" t="str">
        <f t="shared" si="31"/>
        <v>ns</v>
      </c>
      <c r="AO164" s="908" t="str">
        <f t="shared" si="32"/>
        <v>ns</v>
      </c>
      <c r="AP164" s="908" t="str">
        <f t="shared" si="33"/>
        <v>ns</v>
      </c>
      <c r="AQ164" s="535"/>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row>
    <row r="165" spans="1:212" s="536" customFormat="1">
      <c r="A165" s="504">
        <v>165</v>
      </c>
      <c r="B165" s="525" t="s">
        <v>50</v>
      </c>
      <c r="C165" s="526">
        <v>526</v>
      </c>
      <c r="D165" s="525" t="s">
        <v>1015</v>
      </c>
      <c r="E165" s="525" t="s">
        <v>1433</v>
      </c>
      <c r="F165" s="525" t="s">
        <v>663</v>
      </c>
      <c r="G165" s="525" t="s">
        <v>661</v>
      </c>
      <c r="H165" s="527" t="s">
        <v>50</v>
      </c>
      <c r="I165" s="528" t="s">
        <v>1016</v>
      </c>
      <c r="J165" s="529" t="s">
        <v>688</v>
      </c>
      <c r="K165" s="528" t="s">
        <v>197</v>
      </c>
      <c r="L165" s="528" t="s">
        <v>197</v>
      </c>
      <c r="M165" s="529" t="s">
        <v>197</v>
      </c>
      <c r="N165" s="531" t="s">
        <v>689</v>
      </c>
      <c r="O165" s="532" t="s">
        <v>1202</v>
      </c>
      <c r="P165" s="525" t="s">
        <v>1393</v>
      </c>
      <c r="Q165" s="532" t="s">
        <v>663</v>
      </c>
      <c r="R165" s="532" t="s">
        <v>663</v>
      </c>
      <c r="S165" s="525" t="s">
        <v>662</v>
      </c>
      <c r="T165" s="525" t="s">
        <v>662</v>
      </c>
      <c r="U165" s="525" t="s">
        <v>662</v>
      </c>
      <c r="V165" s="532" t="s">
        <v>662</v>
      </c>
      <c r="W165" s="532" t="s">
        <v>663</v>
      </c>
      <c r="X165" s="532" t="s">
        <v>663</v>
      </c>
      <c r="Y165" s="532" t="s">
        <v>663</v>
      </c>
      <c r="Z165" s="532" t="s">
        <v>663</v>
      </c>
      <c r="AA165" s="532" t="s">
        <v>663</v>
      </c>
      <c r="AB165" s="525" t="str">
        <f t="shared" si="36"/>
        <v>DC</v>
      </c>
      <c r="AC165" s="525" t="s">
        <v>1192</v>
      </c>
      <c r="AD165" s="533" t="str" cm="1">
        <f t="array" ref="AD165">IF(SUMPRODUCT(ISNUMBER(SEARCH("y",R165:AA165))+0)=0,"",IF(AA165="y","400G",IF(Z165="y","100G",IF(X165="y","40G",IF(V165="y","10G",IF(S165="y","1G",IF(R165="y","100M",""))))))&amp;" "&amp;AB165&amp;" "&amp;AC165)</f>
        <v>10G DC UPLINK</v>
      </c>
      <c r="AE165" s="534" t="str">
        <f t="shared" si="35"/>
        <v/>
      </c>
      <c r="AF165" s="910" t="str">
        <f t="shared" si="25"/>
        <v>ns</v>
      </c>
      <c r="AG165" s="911" t="str">
        <f t="shared" si="26"/>
        <v>ns</v>
      </c>
      <c r="AH165" s="911" t="str">
        <f t="shared" si="34"/>
        <v>.</v>
      </c>
      <c r="AI165" s="911" t="str">
        <f t="shared" si="27"/>
        <v>.</v>
      </c>
      <c r="AJ165" s="911" t="str">
        <f t="shared" si="28"/>
        <v>.</v>
      </c>
      <c r="AK165" s="921" t="str">
        <f t="shared" si="29"/>
        <v>.</v>
      </c>
      <c r="AL165" s="908" t="str">
        <f t="shared" si="29"/>
        <v>ns</v>
      </c>
      <c r="AM165" s="909" t="str">
        <f t="shared" si="30"/>
        <v>ns</v>
      </c>
      <c r="AN165" s="908" t="str">
        <f t="shared" si="31"/>
        <v>ns</v>
      </c>
      <c r="AO165" s="908" t="str">
        <f t="shared" si="32"/>
        <v>ns</v>
      </c>
      <c r="AP165" s="908" t="str">
        <f t="shared" si="33"/>
        <v>ns</v>
      </c>
      <c r="AQ165" s="53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row>
    <row r="166" spans="1:212" s="536" customFormat="1">
      <c r="A166" s="504">
        <v>166</v>
      </c>
      <c r="B166" s="525" t="s">
        <v>50</v>
      </c>
      <c r="C166" s="526">
        <v>527</v>
      </c>
      <c r="D166" s="525" t="s">
        <v>1017</v>
      </c>
      <c r="E166" s="525" t="s">
        <v>1434</v>
      </c>
      <c r="F166" s="525" t="s">
        <v>663</v>
      </c>
      <c r="G166" s="525" t="s">
        <v>661</v>
      </c>
      <c r="H166" s="527" t="s">
        <v>50</v>
      </c>
      <c r="I166" s="528" t="s">
        <v>1016</v>
      </c>
      <c r="J166" s="529" t="s">
        <v>688</v>
      </c>
      <c r="K166" s="528" t="s">
        <v>1017</v>
      </c>
      <c r="L166" s="567" t="s">
        <v>734</v>
      </c>
      <c r="M166" s="568" t="s">
        <v>1435</v>
      </c>
      <c r="N166" s="531" t="s">
        <v>689</v>
      </c>
      <c r="O166" s="532" t="s">
        <v>1202</v>
      </c>
      <c r="P166" s="525" t="s">
        <v>1393</v>
      </c>
      <c r="Q166" s="532" t="s">
        <v>663</v>
      </c>
      <c r="R166" s="532" t="s">
        <v>663</v>
      </c>
      <c r="S166" s="525" t="s">
        <v>662</v>
      </c>
      <c r="T166" s="525" t="s">
        <v>662</v>
      </c>
      <c r="U166" s="525" t="s">
        <v>662</v>
      </c>
      <c r="V166" s="532" t="s">
        <v>662</v>
      </c>
      <c r="W166" s="532" t="s">
        <v>663</v>
      </c>
      <c r="X166" s="532" t="s">
        <v>663</v>
      </c>
      <c r="Y166" s="532" t="s">
        <v>663</v>
      </c>
      <c r="Z166" s="532" t="s">
        <v>663</v>
      </c>
      <c r="AA166" s="532" t="s">
        <v>663</v>
      </c>
      <c r="AB166" s="525" t="str">
        <f t="shared" si="36"/>
        <v>DC</v>
      </c>
      <c r="AC166" s="525" t="s">
        <v>1192</v>
      </c>
      <c r="AD166" s="533" t="str" cm="1">
        <f t="array" ref="AD166">IF(SUMPRODUCT(ISNUMBER(SEARCH("y",R166:AA166))+0)=0,"",IF(AA166="y","400G",IF(Z166="y","100G",IF(X166="y","40G",IF(V166="y","10G",IF(S166="y","1G",IF(R166="y","100M",""))))))&amp;" "&amp;AB166&amp;" "&amp;AC166)</f>
        <v>10G DC UPLINK</v>
      </c>
      <c r="AE166" s="534" t="str">
        <f t="shared" si="35"/>
        <v>AT-x530-52GPXm 10G DC UPLINK</v>
      </c>
      <c r="AF166" s="910" t="str">
        <f t="shared" si="25"/>
        <v>ns</v>
      </c>
      <c r="AG166" s="911" t="str">
        <f t="shared" si="26"/>
        <v>ns</v>
      </c>
      <c r="AH166" s="911" t="str">
        <f t="shared" si="34"/>
        <v>.</v>
      </c>
      <c r="AI166" s="911" t="str">
        <f t="shared" si="27"/>
        <v>.</v>
      </c>
      <c r="AJ166" s="911" t="str">
        <f t="shared" si="28"/>
        <v>.</v>
      </c>
      <c r="AK166" s="921" t="str">
        <f t="shared" si="29"/>
        <v>.</v>
      </c>
      <c r="AL166" s="908" t="str">
        <f t="shared" si="29"/>
        <v>ns</v>
      </c>
      <c r="AM166" s="909" t="str">
        <f t="shared" si="30"/>
        <v>ns</v>
      </c>
      <c r="AN166" s="908" t="str">
        <f t="shared" si="31"/>
        <v>ns</v>
      </c>
      <c r="AO166" s="908" t="str">
        <f t="shared" si="32"/>
        <v>ns</v>
      </c>
      <c r="AP166" s="908" t="str">
        <f t="shared" si="33"/>
        <v>ns</v>
      </c>
      <c r="AQ166" s="535" t="s">
        <v>2344</v>
      </c>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row>
    <row r="167" spans="1:212" s="536" customFormat="1">
      <c r="A167" s="504">
        <v>167</v>
      </c>
      <c r="B167" s="525" t="s">
        <v>50</v>
      </c>
      <c r="C167" s="526">
        <v>528</v>
      </c>
      <c r="D167" s="525" t="s">
        <v>1018</v>
      </c>
      <c r="E167" s="525" t="s">
        <v>1436</v>
      </c>
      <c r="F167" s="525" t="s">
        <v>663</v>
      </c>
      <c r="G167" s="525" t="s">
        <v>661</v>
      </c>
      <c r="H167" s="527" t="s">
        <v>50</v>
      </c>
      <c r="I167" s="528" t="s">
        <v>1016</v>
      </c>
      <c r="J167" s="529" t="s">
        <v>688</v>
      </c>
      <c r="K167" s="528" t="s">
        <v>197</v>
      </c>
      <c r="L167" s="530" t="s">
        <v>197</v>
      </c>
      <c r="M167" s="529" t="s">
        <v>197</v>
      </c>
      <c r="N167" s="531" t="s">
        <v>689</v>
      </c>
      <c r="O167" s="532" t="s">
        <v>1202</v>
      </c>
      <c r="P167" s="525" t="s">
        <v>1393</v>
      </c>
      <c r="Q167" s="532" t="s">
        <v>663</v>
      </c>
      <c r="R167" s="532" t="s">
        <v>663</v>
      </c>
      <c r="S167" s="525" t="s">
        <v>662</v>
      </c>
      <c r="T167" s="525" t="s">
        <v>662</v>
      </c>
      <c r="U167" s="525" t="s">
        <v>662</v>
      </c>
      <c r="V167" s="532" t="s">
        <v>662</v>
      </c>
      <c r="W167" s="532" t="s">
        <v>663</v>
      </c>
      <c r="X167" s="532" t="s">
        <v>663</v>
      </c>
      <c r="Y167" s="532" t="s">
        <v>663</v>
      </c>
      <c r="Z167" s="532" t="s">
        <v>663</v>
      </c>
      <c r="AA167" s="532" t="s">
        <v>663</v>
      </c>
      <c r="AB167" s="525" t="str">
        <f t="shared" si="36"/>
        <v>DC</v>
      </c>
      <c r="AC167" s="525" t="s">
        <v>1192</v>
      </c>
      <c r="AD167" s="533" t="str" cm="1">
        <f t="array" ref="AD167">IF(SUMPRODUCT(ISNUMBER(SEARCH("y",R167:AA167))+0)=0,"",IF(AA167="y","400G",IF(Z167="y","100G",IF(X167="y","40G",IF(V167="y","10G",IF(S167="y","1G",IF(R167="y","100M",""))))))&amp;" "&amp;AB167&amp;" "&amp;AC167)</f>
        <v>10G DC UPLINK</v>
      </c>
      <c r="AE167" s="534" t="str">
        <f t="shared" si="35"/>
        <v/>
      </c>
      <c r="AF167" s="910" t="str">
        <f t="shared" si="25"/>
        <v>ns</v>
      </c>
      <c r="AG167" s="911" t="str">
        <f t="shared" si="26"/>
        <v>ns</v>
      </c>
      <c r="AH167" s="911" t="str">
        <f t="shared" si="34"/>
        <v>.</v>
      </c>
      <c r="AI167" s="911" t="str">
        <f t="shared" si="27"/>
        <v>.</v>
      </c>
      <c r="AJ167" s="911" t="str">
        <f t="shared" si="28"/>
        <v>.</v>
      </c>
      <c r="AK167" s="921" t="str">
        <f t="shared" si="29"/>
        <v>.</v>
      </c>
      <c r="AL167" s="908" t="str">
        <f t="shared" si="29"/>
        <v>ns</v>
      </c>
      <c r="AM167" s="909" t="str">
        <f t="shared" si="30"/>
        <v>ns</v>
      </c>
      <c r="AN167" s="908" t="str">
        <f t="shared" si="31"/>
        <v>ns</v>
      </c>
      <c r="AO167" s="908" t="str">
        <f t="shared" si="32"/>
        <v>ns</v>
      </c>
      <c r="AP167" s="908" t="str">
        <f t="shared" si="33"/>
        <v>ns</v>
      </c>
      <c r="AQ167" s="535"/>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row>
    <row r="168" spans="1:212" s="536" customFormat="1">
      <c r="A168" s="504">
        <v>168</v>
      </c>
      <c r="B168" s="525" t="s">
        <v>50</v>
      </c>
      <c r="C168" s="526">
        <v>567</v>
      </c>
      <c r="D168" s="525" t="s">
        <v>1022</v>
      </c>
      <c r="E168" s="525" t="s">
        <v>1437</v>
      </c>
      <c r="F168" s="525" t="s">
        <v>663</v>
      </c>
      <c r="G168" s="525" t="s">
        <v>661</v>
      </c>
      <c r="H168" s="527" t="s">
        <v>50</v>
      </c>
      <c r="I168" s="528" t="s">
        <v>1009</v>
      </c>
      <c r="J168" s="529" t="s">
        <v>688</v>
      </c>
      <c r="K168" s="528" t="s">
        <v>197</v>
      </c>
      <c r="L168" s="530" t="s">
        <v>197</v>
      </c>
      <c r="M168" s="529" t="s">
        <v>197</v>
      </c>
      <c r="N168" s="531" t="s">
        <v>689</v>
      </c>
      <c r="O168" s="532" t="s">
        <v>889</v>
      </c>
      <c r="P168" s="525" t="s">
        <v>1393</v>
      </c>
      <c r="Q168" s="532" t="s">
        <v>663</v>
      </c>
      <c r="R168" s="532" t="s">
        <v>663</v>
      </c>
      <c r="S168" s="525" t="s">
        <v>662</v>
      </c>
      <c r="T168" s="525" t="s">
        <v>662</v>
      </c>
      <c r="U168" s="525" t="s">
        <v>662</v>
      </c>
      <c r="V168" s="532" t="s">
        <v>662</v>
      </c>
      <c r="W168" s="532" t="s">
        <v>663</v>
      </c>
      <c r="X168" s="532" t="s">
        <v>663</v>
      </c>
      <c r="Y168" s="532" t="s">
        <v>663</v>
      </c>
      <c r="Z168" s="532" t="s">
        <v>663</v>
      </c>
      <c r="AA168" s="532" t="s">
        <v>663</v>
      </c>
      <c r="AB168" s="525" t="str">
        <f t="shared" si="36"/>
        <v>DC</v>
      </c>
      <c r="AC168" s="525" t="s">
        <v>1192</v>
      </c>
      <c r="AD168" s="533" t="str" cm="1">
        <f t="array" ref="AD168">IF(SUMPRODUCT(ISNUMBER(SEARCH("y",R168:AA168))+0)=0,"",IF(AA168="y","400G",IF(Z168="y","100G",IF(X168="y","40G",IF(V168="y","10G",IF(S168="y","1G",IF(R168="y","100M",""))))))&amp;" "&amp;AB168&amp;" "&amp;AC168)</f>
        <v>10G DC UPLINK</v>
      </c>
      <c r="AE168" s="534" t="str">
        <f t="shared" si="35"/>
        <v/>
      </c>
      <c r="AF168" s="910" t="str">
        <f t="shared" si="25"/>
        <v>ns</v>
      </c>
      <c r="AG168" s="911" t="str">
        <f t="shared" si="26"/>
        <v>ns</v>
      </c>
      <c r="AH168" s="911" t="str">
        <f t="shared" si="34"/>
        <v>.</v>
      </c>
      <c r="AI168" s="911" t="str">
        <f t="shared" si="27"/>
        <v>.</v>
      </c>
      <c r="AJ168" s="911" t="str">
        <f t="shared" si="28"/>
        <v>.</v>
      </c>
      <c r="AK168" s="921" t="str">
        <f t="shared" si="29"/>
        <v>.</v>
      </c>
      <c r="AL168" s="908" t="str">
        <f t="shared" si="29"/>
        <v>ns</v>
      </c>
      <c r="AM168" s="909" t="str">
        <f t="shared" si="30"/>
        <v>ns</v>
      </c>
      <c r="AN168" s="908" t="str">
        <f t="shared" si="31"/>
        <v>ns</v>
      </c>
      <c r="AO168" s="908" t="str">
        <f t="shared" si="32"/>
        <v>ns</v>
      </c>
      <c r="AP168" s="908" t="str">
        <f t="shared" si="33"/>
        <v>ns</v>
      </c>
      <c r="AQ168" s="535"/>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row>
    <row r="169" spans="1:212" s="536" customFormat="1">
      <c r="A169" s="504">
        <v>169</v>
      </c>
      <c r="B169" s="525" t="s">
        <v>50</v>
      </c>
      <c r="C169" s="526">
        <v>568</v>
      </c>
      <c r="D169" s="525" t="s">
        <v>1024</v>
      </c>
      <c r="E169" s="525" t="s">
        <v>1438</v>
      </c>
      <c r="F169" s="525" t="s">
        <v>663</v>
      </c>
      <c r="G169" s="525" t="s">
        <v>661</v>
      </c>
      <c r="H169" s="527" t="s">
        <v>50</v>
      </c>
      <c r="I169" s="528" t="s">
        <v>1009</v>
      </c>
      <c r="J169" s="529" t="s">
        <v>688</v>
      </c>
      <c r="K169" s="528" t="s">
        <v>197</v>
      </c>
      <c r="L169" s="530" t="s">
        <v>197</v>
      </c>
      <c r="M169" s="529" t="s">
        <v>197</v>
      </c>
      <c r="N169" s="531" t="s">
        <v>689</v>
      </c>
      <c r="O169" s="532" t="s">
        <v>889</v>
      </c>
      <c r="P169" s="525" t="s">
        <v>1393</v>
      </c>
      <c r="Q169" s="532" t="s">
        <v>663</v>
      </c>
      <c r="R169" s="532" t="s">
        <v>663</v>
      </c>
      <c r="S169" s="525" t="s">
        <v>662</v>
      </c>
      <c r="T169" s="525" t="s">
        <v>662</v>
      </c>
      <c r="U169" s="525" t="s">
        <v>662</v>
      </c>
      <c r="V169" s="532" t="s">
        <v>662</v>
      </c>
      <c r="W169" s="532" t="s">
        <v>663</v>
      </c>
      <c r="X169" s="532" t="s">
        <v>663</v>
      </c>
      <c r="Y169" s="532" t="s">
        <v>663</v>
      </c>
      <c r="Z169" s="532" t="s">
        <v>663</v>
      </c>
      <c r="AA169" s="532" t="s">
        <v>663</v>
      </c>
      <c r="AB169" s="525" t="str">
        <f t="shared" si="36"/>
        <v>DC</v>
      </c>
      <c r="AC169" s="525" t="s">
        <v>1192</v>
      </c>
      <c r="AD169" s="533" t="str" cm="1">
        <f t="array" ref="AD169">IF(SUMPRODUCT(ISNUMBER(SEARCH("y",R169:AA169))+0)=0,"",IF(AA169="y","400G",IF(Z169="y","100G",IF(X169="y","40G",IF(V169="y","10G",IF(S169="y","1G",IF(R169="y","100M",""))))))&amp;" "&amp;AB169&amp;" "&amp;AC169)</f>
        <v>10G DC UPLINK</v>
      </c>
      <c r="AE169" s="534" t="str">
        <f t="shared" si="35"/>
        <v/>
      </c>
      <c r="AF169" s="910" t="str">
        <f t="shared" si="25"/>
        <v>ns</v>
      </c>
      <c r="AG169" s="911" t="str">
        <f t="shared" si="26"/>
        <v>ns</v>
      </c>
      <c r="AH169" s="911" t="str">
        <f t="shared" si="34"/>
        <v>.</v>
      </c>
      <c r="AI169" s="911" t="str">
        <f t="shared" si="27"/>
        <v>.</v>
      </c>
      <c r="AJ169" s="911" t="str">
        <f t="shared" si="28"/>
        <v>.</v>
      </c>
      <c r="AK169" s="921" t="str">
        <f t="shared" si="29"/>
        <v>.</v>
      </c>
      <c r="AL169" s="908" t="str">
        <f t="shared" si="29"/>
        <v>ns</v>
      </c>
      <c r="AM169" s="909" t="str">
        <f t="shared" si="30"/>
        <v>ns</v>
      </c>
      <c r="AN169" s="908" t="str">
        <f t="shared" si="31"/>
        <v>ns</v>
      </c>
      <c r="AO169" s="908" t="str">
        <f t="shared" si="32"/>
        <v>ns</v>
      </c>
      <c r="AP169" s="908" t="str">
        <f t="shared" si="33"/>
        <v>ns</v>
      </c>
      <c r="AQ169" s="535"/>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row>
    <row r="170" spans="1:212" s="536" customFormat="1">
      <c r="A170" s="504">
        <v>170</v>
      </c>
      <c r="B170" s="525" t="s">
        <v>50</v>
      </c>
      <c r="C170" s="526">
        <v>569</v>
      </c>
      <c r="D170" s="525" t="s">
        <v>1021</v>
      </c>
      <c r="E170" s="525" t="s">
        <v>1439</v>
      </c>
      <c r="F170" s="525" t="s">
        <v>663</v>
      </c>
      <c r="G170" s="525" t="s">
        <v>661</v>
      </c>
      <c r="H170" s="527" t="s">
        <v>50</v>
      </c>
      <c r="I170" s="528" t="s">
        <v>1009</v>
      </c>
      <c r="J170" s="529" t="s">
        <v>688</v>
      </c>
      <c r="K170" s="528" t="s">
        <v>197</v>
      </c>
      <c r="L170" s="530" t="s">
        <v>197</v>
      </c>
      <c r="M170" s="529" t="s">
        <v>197</v>
      </c>
      <c r="N170" s="531" t="s">
        <v>689</v>
      </c>
      <c r="O170" s="532" t="s">
        <v>1202</v>
      </c>
      <c r="P170" s="525" t="s">
        <v>1393</v>
      </c>
      <c r="Q170" s="532" t="s">
        <v>663</v>
      </c>
      <c r="R170" s="532" t="s">
        <v>663</v>
      </c>
      <c r="S170" s="525" t="s">
        <v>662</v>
      </c>
      <c r="T170" s="525" t="s">
        <v>662</v>
      </c>
      <c r="U170" s="525" t="s">
        <v>662</v>
      </c>
      <c r="V170" s="532" t="s">
        <v>662</v>
      </c>
      <c r="W170" s="532" t="s">
        <v>663</v>
      </c>
      <c r="X170" s="532" t="s">
        <v>663</v>
      </c>
      <c r="Y170" s="532" t="s">
        <v>663</v>
      </c>
      <c r="Z170" s="532" t="s">
        <v>663</v>
      </c>
      <c r="AA170" s="532" t="s">
        <v>663</v>
      </c>
      <c r="AB170" s="525" t="str">
        <f t="shared" si="36"/>
        <v>DC</v>
      </c>
      <c r="AC170" s="525" t="s">
        <v>1192</v>
      </c>
      <c r="AD170" s="533" t="str" cm="1">
        <f t="array" ref="AD170">IF(SUMPRODUCT(ISNUMBER(SEARCH("y",R170:AA170))+0)=0,"",IF(AA170="y","400G",IF(Z170="y","100G",IF(X170="y","40G",IF(V170="y","10G",IF(S170="y","1G",IF(R170="y","100M",""))))))&amp;" "&amp;AB170&amp;" "&amp;AC170)</f>
        <v>10G DC UPLINK</v>
      </c>
      <c r="AE170" s="534" t="str">
        <f t="shared" si="35"/>
        <v/>
      </c>
      <c r="AF170" s="910" t="str">
        <f t="shared" si="25"/>
        <v>ns</v>
      </c>
      <c r="AG170" s="911" t="str">
        <f t="shared" si="26"/>
        <v>ns</v>
      </c>
      <c r="AH170" s="911" t="str">
        <f t="shared" si="34"/>
        <v>.</v>
      </c>
      <c r="AI170" s="911" t="str">
        <f t="shared" si="27"/>
        <v>.</v>
      </c>
      <c r="AJ170" s="911" t="str">
        <f t="shared" si="28"/>
        <v>.</v>
      </c>
      <c r="AK170" s="921" t="str">
        <f t="shared" si="29"/>
        <v>.</v>
      </c>
      <c r="AL170" s="908" t="str">
        <f t="shared" si="29"/>
        <v>ns</v>
      </c>
      <c r="AM170" s="909" t="str">
        <f t="shared" si="30"/>
        <v>ns</v>
      </c>
      <c r="AN170" s="908" t="str">
        <f t="shared" si="31"/>
        <v>ns</v>
      </c>
      <c r="AO170" s="908" t="str">
        <f t="shared" si="32"/>
        <v>ns</v>
      </c>
      <c r="AP170" s="908" t="str">
        <f t="shared" si="33"/>
        <v>ns</v>
      </c>
      <c r="AQ170" s="535"/>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row>
    <row r="171" spans="1:212" s="536" customFormat="1">
      <c r="A171" s="504">
        <v>171</v>
      </c>
      <c r="B171" s="525" t="s">
        <v>50</v>
      </c>
      <c r="C171" s="526">
        <v>570</v>
      </c>
      <c r="D171" s="525" t="s">
        <v>1023</v>
      </c>
      <c r="E171" s="525" t="s">
        <v>1440</v>
      </c>
      <c r="F171" s="525" t="s">
        <v>663</v>
      </c>
      <c r="G171" s="525" t="s">
        <v>661</v>
      </c>
      <c r="H171" s="527" t="s">
        <v>50</v>
      </c>
      <c r="I171" s="528" t="s">
        <v>1009</v>
      </c>
      <c r="J171" s="529" t="s">
        <v>688</v>
      </c>
      <c r="K171" s="528" t="s">
        <v>197</v>
      </c>
      <c r="L171" s="530" t="s">
        <v>197</v>
      </c>
      <c r="M171" s="529" t="s">
        <v>197</v>
      </c>
      <c r="N171" s="531" t="s">
        <v>689</v>
      </c>
      <c r="O171" s="532" t="s">
        <v>1202</v>
      </c>
      <c r="P171" s="525" t="s">
        <v>1393</v>
      </c>
      <c r="Q171" s="532" t="s">
        <v>663</v>
      </c>
      <c r="R171" s="532" t="s">
        <v>663</v>
      </c>
      <c r="S171" s="525" t="s">
        <v>662</v>
      </c>
      <c r="T171" s="525" t="s">
        <v>662</v>
      </c>
      <c r="U171" s="525" t="s">
        <v>662</v>
      </c>
      <c r="V171" s="532" t="s">
        <v>662</v>
      </c>
      <c r="W171" s="532" t="s">
        <v>663</v>
      </c>
      <c r="X171" s="532" t="s">
        <v>663</v>
      </c>
      <c r="Y171" s="532" t="s">
        <v>663</v>
      </c>
      <c r="Z171" s="532" t="s">
        <v>663</v>
      </c>
      <c r="AA171" s="532" t="s">
        <v>663</v>
      </c>
      <c r="AB171" s="525" t="str">
        <f t="shared" si="36"/>
        <v>DC</v>
      </c>
      <c r="AC171" s="525" t="s">
        <v>1192</v>
      </c>
      <c r="AD171" s="533" t="str" cm="1">
        <f t="array" ref="AD171">IF(SUMPRODUCT(ISNUMBER(SEARCH("y",R171:AA171))+0)=0,"",IF(AA171="y","400G",IF(Z171="y","100G",IF(X171="y","40G",IF(V171="y","10G",IF(S171="y","1G",IF(R171="y","100M",""))))))&amp;" "&amp;AB171&amp;" "&amp;AC171)</f>
        <v>10G DC UPLINK</v>
      </c>
      <c r="AE171" s="534" t="str">
        <f t="shared" si="35"/>
        <v/>
      </c>
      <c r="AF171" s="910" t="str">
        <f t="shared" si="25"/>
        <v>ns</v>
      </c>
      <c r="AG171" s="911" t="str">
        <f t="shared" si="26"/>
        <v>ns</v>
      </c>
      <c r="AH171" s="911" t="str">
        <f t="shared" si="34"/>
        <v>.</v>
      </c>
      <c r="AI171" s="911" t="str">
        <f t="shared" si="27"/>
        <v>.</v>
      </c>
      <c r="AJ171" s="911" t="str">
        <f t="shared" si="28"/>
        <v>.</v>
      </c>
      <c r="AK171" s="921" t="str">
        <f t="shared" si="29"/>
        <v>.</v>
      </c>
      <c r="AL171" s="908" t="str">
        <f t="shared" si="29"/>
        <v>ns</v>
      </c>
      <c r="AM171" s="909" t="str">
        <f t="shared" si="30"/>
        <v>ns</v>
      </c>
      <c r="AN171" s="908" t="str">
        <f t="shared" si="31"/>
        <v>ns</v>
      </c>
      <c r="AO171" s="908" t="str">
        <f t="shared" si="32"/>
        <v>ns</v>
      </c>
      <c r="AP171" s="908" t="str">
        <f t="shared" si="33"/>
        <v>ns</v>
      </c>
      <c r="AQ171" s="535"/>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row>
    <row r="172" spans="1:212" s="536" customFormat="1">
      <c r="A172" s="504">
        <v>172</v>
      </c>
      <c r="B172" s="525" t="s">
        <v>50</v>
      </c>
      <c r="C172" s="526">
        <v>581</v>
      </c>
      <c r="D172" s="525" t="s">
        <v>1025</v>
      </c>
      <c r="E172" s="525" t="s">
        <v>1441</v>
      </c>
      <c r="F172" s="525" t="s">
        <v>663</v>
      </c>
      <c r="G172" s="525" t="s">
        <v>661</v>
      </c>
      <c r="H172" s="527" t="s">
        <v>50</v>
      </c>
      <c r="I172" s="528" t="s">
        <v>1026</v>
      </c>
      <c r="J172" s="529" t="s">
        <v>688</v>
      </c>
      <c r="K172" s="531" t="s">
        <v>1025</v>
      </c>
      <c r="L172" s="530" t="s">
        <v>734</v>
      </c>
      <c r="M172" s="529" t="s">
        <v>1442</v>
      </c>
      <c r="N172" s="531" t="s">
        <v>689</v>
      </c>
      <c r="O172" s="532" t="s">
        <v>969</v>
      </c>
      <c r="P172" s="525" t="s">
        <v>1393</v>
      </c>
      <c r="Q172" s="532" t="s">
        <v>663</v>
      </c>
      <c r="R172" s="532" t="s">
        <v>663</v>
      </c>
      <c r="S172" s="525" t="s">
        <v>662</v>
      </c>
      <c r="T172" s="525" t="s">
        <v>662</v>
      </c>
      <c r="U172" s="525" t="s">
        <v>662</v>
      </c>
      <c r="V172" s="532" t="s">
        <v>662</v>
      </c>
      <c r="W172" s="532" t="s">
        <v>663</v>
      </c>
      <c r="X172" s="532" t="s">
        <v>663</v>
      </c>
      <c r="Y172" s="532" t="s">
        <v>663</v>
      </c>
      <c r="Z172" s="532" t="s">
        <v>663</v>
      </c>
      <c r="AA172" s="532" t="s">
        <v>663</v>
      </c>
      <c r="AB172" s="525" t="str">
        <f t="shared" si="36"/>
        <v>DC</v>
      </c>
      <c r="AC172" s="525" t="s">
        <v>1192</v>
      </c>
      <c r="AD172" s="533" t="str" cm="1">
        <f t="array" ref="AD172">IF(SUMPRODUCT(ISNUMBER(SEARCH("y",R172:AA172))+0)=0,"",IF(AA172="y","400G",IF(Z172="y","100G",IF(X172="y","40G",IF(V172="y","10G",IF(S172="y","1G",IF(R172="y","100M",""))))))&amp;" "&amp;AB172&amp;" "&amp;AC172)</f>
        <v>10G DC UPLINK</v>
      </c>
      <c r="AE172" s="534" t="str">
        <f t="shared" si="35"/>
        <v>AT-x530L-10GHXm 10G DC UPLINK</v>
      </c>
      <c r="AF172" s="910" t="str">
        <f t="shared" si="25"/>
        <v>ns</v>
      </c>
      <c r="AG172" s="911" t="str">
        <f t="shared" si="26"/>
        <v>ns</v>
      </c>
      <c r="AH172" s="911" t="str">
        <f t="shared" si="34"/>
        <v>.</v>
      </c>
      <c r="AI172" s="911" t="str">
        <f t="shared" si="27"/>
        <v>.</v>
      </c>
      <c r="AJ172" s="911" t="str">
        <f t="shared" si="28"/>
        <v>.</v>
      </c>
      <c r="AK172" s="921" t="str">
        <f t="shared" si="29"/>
        <v>.</v>
      </c>
      <c r="AL172" s="908" t="str">
        <f t="shared" si="29"/>
        <v>ns</v>
      </c>
      <c r="AM172" s="909" t="str">
        <f t="shared" si="30"/>
        <v>ns</v>
      </c>
      <c r="AN172" s="908" t="str">
        <f t="shared" si="31"/>
        <v>ns</v>
      </c>
      <c r="AO172" s="908" t="str">
        <f t="shared" si="32"/>
        <v>ns</v>
      </c>
      <c r="AP172" s="908" t="str">
        <f t="shared" si="33"/>
        <v>ns</v>
      </c>
      <c r="AQ172" s="535"/>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row>
    <row r="173" spans="1:212" s="536" customFormat="1">
      <c r="A173" s="504">
        <v>173</v>
      </c>
      <c r="B173" s="525" t="s">
        <v>50</v>
      </c>
      <c r="C173" s="526">
        <v>582</v>
      </c>
      <c r="D173" s="525" t="s">
        <v>1028</v>
      </c>
      <c r="E173" s="525" t="s">
        <v>1443</v>
      </c>
      <c r="F173" s="525" t="s">
        <v>663</v>
      </c>
      <c r="G173" s="525" t="s">
        <v>661</v>
      </c>
      <c r="H173" s="527" t="s">
        <v>50</v>
      </c>
      <c r="I173" s="528" t="s">
        <v>1026</v>
      </c>
      <c r="J173" s="529" t="s">
        <v>688</v>
      </c>
      <c r="K173" s="528" t="s">
        <v>197</v>
      </c>
      <c r="L173" s="530" t="s">
        <v>197</v>
      </c>
      <c r="M173" s="529" t="s">
        <v>197</v>
      </c>
      <c r="N173" s="531" t="s">
        <v>689</v>
      </c>
      <c r="O173" s="532" t="s">
        <v>1030</v>
      </c>
      <c r="P173" s="525" t="s">
        <v>1393</v>
      </c>
      <c r="Q173" s="532" t="s">
        <v>663</v>
      </c>
      <c r="R173" s="532" t="s">
        <v>663</v>
      </c>
      <c r="S173" s="525" t="s">
        <v>662</v>
      </c>
      <c r="T173" s="525" t="s">
        <v>662</v>
      </c>
      <c r="U173" s="525" t="s">
        <v>662</v>
      </c>
      <c r="V173" s="532" t="s">
        <v>662</v>
      </c>
      <c r="W173" s="532" t="s">
        <v>663</v>
      </c>
      <c r="X173" s="532" t="s">
        <v>663</v>
      </c>
      <c r="Y173" s="532" t="s">
        <v>663</v>
      </c>
      <c r="Z173" s="532" t="s">
        <v>663</v>
      </c>
      <c r="AA173" s="532" t="s">
        <v>663</v>
      </c>
      <c r="AB173" s="525" t="str">
        <f t="shared" si="36"/>
        <v>DC</v>
      </c>
      <c r="AC173" s="525" t="s">
        <v>1192</v>
      </c>
      <c r="AD173" s="533" t="str" cm="1">
        <f t="array" ref="AD173">IF(SUMPRODUCT(ISNUMBER(SEARCH("y",R173:AA173))+0)=0,"",IF(AA173="y","400G",IF(Z173="y","100G",IF(X173="y","40G",IF(V173="y","10G",IF(S173="y","1G",IF(R173="y","100M",""))))))&amp;" "&amp;AB173&amp;" "&amp;AC173)</f>
        <v>10G DC UPLINK</v>
      </c>
      <c r="AE173" s="534" t="str">
        <f t="shared" si="35"/>
        <v/>
      </c>
      <c r="AF173" s="910" t="str">
        <f t="shared" si="25"/>
        <v>ns</v>
      </c>
      <c r="AG173" s="911" t="str">
        <f t="shared" si="26"/>
        <v>ns</v>
      </c>
      <c r="AH173" s="911" t="str">
        <f t="shared" si="34"/>
        <v>.</v>
      </c>
      <c r="AI173" s="911" t="str">
        <f t="shared" si="27"/>
        <v>.</v>
      </c>
      <c r="AJ173" s="911" t="str">
        <f t="shared" si="28"/>
        <v>.</v>
      </c>
      <c r="AK173" s="921" t="str">
        <f t="shared" si="29"/>
        <v>.</v>
      </c>
      <c r="AL173" s="908" t="str">
        <f t="shared" si="29"/>
        <v>ns</v>
      </c>
      <c r="AM173" s="909" t="str">
        <f t="shared" si="30"/>
        <v>ns</v>
      </c>
      <c r="AN173" s="908" t="str">
        <f t="shared" si="31"/>
        <v>ns</v>
      </c>
      <c r="AO173" s="908" t="str">
        <f t="shared" si="32"/>
        <v>ns</v>
      </c>
      <c r="AP173" s="908" t="str">
        <f t="shared" si="33"/>
        <v>ns</v>
      </c>
      <c r="AQ173" s="535"/>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row>
    <row r="174" spans="1:212" s="536" customFormat="1">
      <c r="A174" s="504">
        <v>174</v>
      </c>
      <c r="B174" s="525" t="s">
        <v>50</v>
      </c>
      <c r="C174" s="526">
        <v>583</v>
      </c>
      <c r="D174" s="525" t="s">
        <v>1444</v>
      </c>
      <c r="E174" s="525" t="s">
        <v>1441</v>
      </c>
      <c r="F174" s="525" t="s">
        <v>663</v>
      </c>
      <c r="G174" s="525" t="s">
        <v>661</v>
      </c>
      <c r="H174" s="527" t="s">
        <v>50</v>
      </c>
      <c r="I174" s="528" t="s">
        <v>1026</v>
      </c>
      <c r="J174" s="529" t="s">
        <v>688</v>
      </c>
      <c r="K174" s="528" t="s">
        <v>197</v>
      </c>
      <c r="L174" s="530" t="s">
        <v>197</v>
      </c>
      <c r="M174" s="529" t="s">
        <v>197</v>
      </c>
      <c r="N174" s="531" t="s">
        <v>689</v>
      </c>
      <c r="O174" s="532" t="s">
        <v>969</v>
      </c>
      <c r="P174" s="525" t="s">
        <v>1393</v>
      </c>
      <c r="Q174" s="532" t="s">
        <v>663</v>
      </c>
      <c r="R174" s="532" t="s">
        <v>663</v>
      </c>
      <c r="S174" s="525" t="s">
        <v>662</v>
      </c>
      <c r="T174" s="525" t="s">
        <v>662</v>
      </c>
      <c r="U174" s="525" t="s">
        <v>662</v>
      </c>
      <c r="V174" s="532" t="s">
        <v>662</v>
      </c>
      <c r="W174" s="532" t="s">
        <v>663</v>
      </c>
      <c r="X174" s="532" t="s">
        <v>663</v>
      </c>
      <c r="Y174" s="532" t="s">
        <v>663</v>
      </c>
      <c r="Z174" s="532" t="s">
        <v>663</v>
      </c>
      <c r="AA174" s="532" t="s">
        <v>663</v>
      </c>
      <c r="AB174" s="525" t="str">
        <f t="shared" si="36"/>
        <v>DC</v>
      </c>
      <c r="AC174" s="525" t="s">
        <v>1192</v>
      </c>
      <c r="AD174" s="533" t="str" cm="1">
        <f t="array" ref="AD174">IF(SUMPRODUCT(ISNUMBER(SEARCH("y",R174:AA174))+0)=0,"",IF(AA174="y","400G",IF(Z174="y","100G",IF(X174="y","40G",IF(V174="y","10G",IF(S174="y","1G",IF(R174="y","100M",""))))))&amp;" "&amp;AB174&amp;" "&amp;AC174)</f>
        <v>10G DC UPLINK</v>
      </c>
      <c r="AE174" s="534" t="str">
        <f t="shared" si="35"/>
        <v/>
      </c>
      <c r="AF174" s="910" t="str">
        <f t="shared" si="25"/>
        <v>ns</v>
      </c>
      <c r="AG174" s="911" t="str">
        <f t="shared" si="26"/>
        <v>ns</v>
      </c>
      <c r="AH174" s="911" t="str">
        <f t="shared" si="34"/>
        <v>.</v>
      </c>
      <c r="AI174" s="911" t="str">
        <f t="shared" si="27"/>
        <v>.</v>
      </c>
      <c r="AJ174" s="911" t="str">
        <f t="shared" si="28"/>
        <v>.</v>
      </c>
      <c r="AK174" s="921" t="str">
        <f t="shared" si="29"/>
        <v>.</v>
      </c>
      <c r="AL174" s="908" t="str">
        <f t="shared" si="29"/>
        <v>ns</v>
      </c>
      <c r="AM174" s="909" t="str">
        <f t="shared" si="30"/>
        <v>ns</v>
      </c>
      <c r="AN174" s="908" t="str">
        <f t="shared" si="31"/>
        <v>ns</v>
      </c>
      <c r="AO174" s="908" t="str">
        <f t="shared" si="32"/>
        <v>ns</v>
      </c>
      <c r="AP174" s="908" t="str">
        <f t="shared" si="33"/>
        <v>ns</v>
      </c>
      <c r="AQ174" s="535"/>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row>
    <row r="175" spans="1:212" s="536" customFormat="1">
      <c r="A175" s="504">
        <v>175</v>
      </c>
      <c r="B175" s="525" t="s">
        <v>50</v>
      </c>
      <c r="C175" s="526">
        <v>584</v>
      </c>
      <c r="D175" s="525" t="s">
        <v>1445</v>
      </c>
      <c r="E175" s="525" t="s">
        <v>1443</v>
      </c>
      <c r="F175" s="525" t="s">
        <v>663</v>
      </c>
      <c r="G175" s="525" t="s">
        <v>661</v>
      </c>
      <c r="H175" s="527" t="s">
        <v>50</v>
      </c>
      <c r="I175" s="528" t="s">
        <v>1026</v>
      </c>
      <c r="J175" s="529" t="s">
        <v>688</v>
      </c>
      <c r="K175" s="528" t="s">
        <v>197</v>
      </c>
      <c r="L175" s="530" t="s">
        <v>197</v>
      </c>
      <c r="M175" s="529" t="s">
        <v>197</v>
      </c>
      <c r="N175" s="531" t="s">
        <v>689</v>
      </c>
      <c r="O175" s="532" t="s">
        <v>1030</v>
      </c>
      <c r="P175" s="525" t="s">
        <v>1393</v>
      </c>
      <c r="Q175" s="532" t="s">
        <v>663</v>
      </c>
      <c r="R175" s="532" t="s">
        <v>663</v>
      </c>
      <c r="S175" s="525" t="s">
        <v>662</v>
      </c>
      <c r="T175" s="525" t="s">
        <v>662</v>
      </c>
      <c r="U175" s="525" t="s">
        <v>662</v>
      </c>
      <c r="V175" s="532" t="s">
        <v>662</v>
      </c>
      <c r="W175" s="532" t="s">
        <v>663</v>
      </c>
      <c r="X175" s="532" t="s">
        <v>663</v>
      </c>
      <c r="Y175" s="532" t="s">
        <v>663</v>
      </c>
      <c r="Z175" s="532" t="s">
        <v>663</v>
      </c>
      <c r="AA175" s="532" t="s">
        <v>663</v>
      </c>
      <c r="AB175" s="525" t="str">
        <f t="shared" si="36"/>
        <v>DC</v>
      </c>
      <c r="AC175" s="525" t="s">
        <v>1192</v>
      </c>
      <c r="AD175" s="533" t="str" cm="1">
        <f t="array" ref="AD175">IF(SUMPRODUCT(ISNUMBER(SEARCH("y",R175:AA175))+0)=0,"",IF(AA175="y","400G",IF(Z175="y","100G",IF(X175="y","40G",IF(V175="y","10G",IF(S175="y","1G",IF(R175="y","100M",""))))))&amp;" "&amp;AB175&amp;" "&amp;AC175)</f>
        <v>10G DC UPLINK</v>
      </c>
      <c r="AE175" s="534" t="str">
        <f t="shared" si="35"/>
        <v/>
      </c>
      <c r="AF175" s="910" t="str">
        <f t="shared" si="25"/>
        <v>ns</v>
      </c>
      <c r="AG175" s="911" t="str">
        <f t="shared" si="26"/>
        <v>ns</v>
      </c>
      <c r="AH175" s="911" t="str">
        <f t="shared" si="34"/>
        <v>.</v>
      </c>
      <c r="AI175" s="911" t="str">
        <f t="shared" si="27"/>
        <v>.</v>
      </c>
      <c r="AJ175" s="911" t="str">
        <f t="shared" si="28"/>
        <v>.</v>
      </c>
      <c r="AK175" s="921" t="str">
        <f t="shared" si="29"/>
        <v>.</v>
      </c>
      <c r="AL175" s="908" t="str">
        <f t="shared" si="29"/>
        <v>ns</v>
      </c>
      <c r="AM175" s="909" t="str">
        <f t="shared" si="30"/>
        <v>ns</v>
      </c>
      <c r="AN175" s="908" t="str">
        <f t="shared" si="31"/>
        <v>ns</v>
      </c>
      <c r="AO175" s="908" t="str">
        <f t="shared" si="32"/>
        <v>ns</v>
      </c>
      <c r="AP175" s="908" t="str">
        <f t="shared" si="33"/>
        <v>ns</v>
      </c>
      <c r="AQ175" s="53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row>
    <row r="176" spans="1:212">
      <c r="A176" s="537">
        <v>176</v>
      </c>
      <c r="B176" s="537" t="s">
        <v>191</v>
      </c>
      <c r="C176" s="538">
        <v>490</v>
      </c>
      <c r="D176" s="537" t="s">
        <v>1446</v>
      </c>
      <c r="E176" s="537" t="s">
        <v>1447</v>
      </c>
      <c r="F176" s="537" t="s">
        <v>663</v>
      </c>
      <c r="G176" s="537" t="s">
        <v>661</v>
      </c>
      <c r="H176" s="539" t="s">
        <v>191</v>
      </c>
      <c r="I176" s="540" t="s">
        <v>1039</v>
      </c>
      <c r="J176" s="541" t="s">
        <v>688</v>
      </c>
      <c r="K176" s="540" t="s">
        <v>197</v>
      </c>
      <c r="L176" s="550" t="s">
        <v>197</v>
      </c>
      <c r="M176" s="541" t="s">
        <v>197</v>
      </c>
      <c r="N176" s="543" t="s">
        <v>863</v>
      </c>
      <c r="O176" s="544" t="s">
        <v>2036</v>
      </c>
      <c r="P176" s="537" t="s">
        <v>1203</v>
      </c>
      <c r="Q176" s="544" t="s">
        <v>663</v>
      </c>
      <c r="R176" s="544" t="s">
        <v>663</v>
      </c>
      <c r="S176" s="544" t="s">
        <v>663</v>
      </c>
      <c r="T176" s="537" t="s">
        <v>663</v>
      </c>
      <c r="U176" s="537" t="s">
        <v>663</v>
      </c>
      <c r="V176" s="544" t="s">
        <v>663</v>
      </c>
      <c r="W176" s="544" t="s">
        <v>663</v>
      </c>
      <c r="X176" s="544" t="s">
        <v>662</v>
      </c>
      <c r="Y176" s="544" t="s">
        <v>663</v>
      </c>
      <c r="Z176" s="544" t="s">
        <v>663</v>
      </c>
      <c r="AA176" s="544" t="s">
        <v>663</v>
      </c>
      <c r="AB176" s="537" t="str">
        <f t="shared" si="36"/>
        <v>DC</v>
      </c>
      <c r="AC176" s="537" t="s">
        <v>1192</v>
      </c>
      <c r="AD176" s="545" t="str" cm="1">
        <f t="array" ref="AD176">IF(SUMPRODUCT(ISNUMBER(SEARCH("y",R176:AA176))+0)=0,"",IF(AA176="y","400G",IF(Z176="y","100G",IF(X176="y","40G",IF(V176="y","10G",IF(S176="y","1G",IF(R176="y","100M",""))))))&amp;" "&amp;AB176&amp;" "&amp;AC176)</f>
        <v>40G DC UPLINK</v>
      </c>
      <c r="AE176" s="546" t="str">
        <f t="shared" si="35"/>
        <v/>
      </c>
      <c r="AF176" s="912" t="str">
        <f t="shared" si="25"/>
        <v>ns</v>
      </c>
      <c r="AG176" s="405" t="str">
        <f t="shared" si="26"/>
        <v>ns</v>
      </c>
      <c r="AH176" s="405" t="str">
        <f t="shared" si="34"/>
        <v>ns</v>
      </c>
      <c r="AI176" s="405" t="str">
        <f t="shared" si="27"/>
        <v>ns</v>
      </c>
      <c r="AJ176" s="405" t="str">
        <f t="shared" si="28"/>
        <v>ns</v>
      </c>
      <c r="AK176" s="922" t="str">
        <f t="shared" si="29"/>
        <v>ns</v>
      </c>
      <c r="AL176" s="405" t="str">
        <f t="shared" si="29"/>
        <v>ns</v>
      </c>
      <c r="AM176" s="912" t="str">
        <f t="shared" si="30"/>
        <v>.</v>
      </c>
      <c r="AN176" s="405" t="str">
        <f t="shared" si="31"/>
        <v>ns</v>
      </c>
      <c r="AO176" s="405" t="str">
        <f t="shared" si="32"/>
        <v>ns</v>
      </c>
      <c r="AP176" s="405" t="str">
        <f t="shared" si="33"/>
        <v>ns</v>
      </c>
      <c r="AQ176" s="547"/>
    </row>
    <row r="177" spans="1:212">
      <c r="A177" s="537">
        <v>177</v>
      </c>
      <c r="B177" s="537" t="s">
        <v>191</v>
      </c>
      <c r="C177" s="538">
        <v>491</v>
      </c>
      <c r="D177" s="537" t="s">
        <v>1448</v>
      </c>
      <c r="E177" s="537" t="s">
        <v>1449</v>
      </c>
      <c r="F177" s="537" t="s">
        <v>663</v>
      </c>
      <c r="G177" s="537" t="s">
        <v>661</v>
      </c>
      <c r="H177" s="539" t="s">
        <v>191</v>
      </c>
      <c r="I177" s="540" t="s">
        <v>1039</v>
      </c>
      <c r="J177" s="541" t="s">
        <v>856</v>
      </c>
      <c r="K177" s="540" t="s">
        <v>1448</v>
      </c>
      <c r="L177" s="550" t="s">
        <v>859</v>
      </c>
      <c r="M177" s="541" t="s">
        <v>2524</v>
      </c>
      <c r="N177" s="543" t="s">
        <v>689</v>
      </c>
      <c r="O177" s="544" t="s">
        <v>1450</v>
      </c>
      <c r="P177" s="537" t="s">
        <v>1231</v>
      </c>
      <c r="Q177" s="544" t="s">
        <v>663</v>
      </c>
      <c r="R177" s="544" t="s">
        <v>663</v>
      </c>
      <c r="S177" s="537" t="s">
        <v>662</v>
      </c>
      <c r="T177" s="537" t="s">
        <v>662</v>
      </c>
      <c r="U177" s="537" t="s">
        <v>662</v>
      </c>
      <c r="V177" s="544" t="s">
        <v>662</v>
      </c>
      <c r="W177" s="544" t="s">
        <v>663</v>
      </c>
      <c r="X177" s="544" t="s">
        <v>663</v>
      </c>
      <c r="Y177" s="544" t="s">
        <v>663</v>
      </c>
      <c r="Z177" s="544" t="s">
        <v>663</v>
      </c>
      <c r="AA177" s="544" t="s">
        <v>663</v>
      </c>
      <c r="AB177" s="537" t="str">
        <f t="shared" si="36"/>
        <v>PHY</v>
      </c>
      <c r="AC177" s="537" t="s">
        <v>1201</v>
      </c>
      <c r="AD177" s="545" t="str" cm="1">
        <f t="array" ref="AD177">IF(SUMPRODUCT(ISNUMBER(SEARCH("y",R177:AA177))+0)=0,"",IF(AA177="y","400G",IF(Z177="y","100G",IF(X177="y","40G",IF(V177="y","10G",IF(S177="y","1G",IF(R177="y","100M",""))))))&amp;" "&amp;AB177&amp;" "&amp;AC177)</f>
        <v>10G PHY BASE</v>
      </c>
      <c r="AE177" s="546" t="str">
        <f t="shared" si="35"/>
        <v>AT-x550-18XSQ 10G PHY BASE</v>
      </c>
      <c r="AF177" s="912" t="str">
        <f t="shared" si="25"/>
        <v>ns</v>
      </c>
      <c r="AG177" s="405" t="str">
        <f t="shared" si="26"/>
        <v>ns</v>
      </c>
      <c r="AH177" s="405" t="str">
        <f t="shared" si="34"/>
        <v>.</v>
      </c>
      <c r="AI177" s="405" t="str">
        <f t="shared" si="27"/>
        <v>.</v>
      </c>
      <c r="AJ177" s="405" t="str">
        <f t="shared" si="28"/>
        <v>.</v>
      </c>
      <c r="AK177" s="922" t="str">
        <f t="shared" si="29"/>
        <v>.</v>
      </c>
      <c r="AL177" s="405" t="str">
        <f t="shared" si="29"/>
        <v>ns</v>
      </c>
      <c r="AM177" s="912" t="str">
        <f t="shared" si="30"/>
        <v>ns</v>
      </c>
      <c r="AN177" s="405" t="str">
        <f t="shared" si="31"/>
        <v>ns</v>
      </c>
      <c r="AO177" s="405" t="str">
        <f t="shared" si="32"/>
        <v>ns</v>
      </c>
      <c r="AP177" s="405" t="str">
        <f t="shared" si="33"/>
        <v>ns</v>
      </c>
      <c r="AQ177" s="547"/>
    </row>
    <row r="178" spans="1:212">
      <c r="A178" s="537">
        <v>178</v>
      </c>
      <c r="B178" s="537" t="s">
        <v>191</v>
      </c>
      <c r="C178" s="538">
        <v>491</v>
      </c>
      <c r="D178" s="537" t="s">
        <v>1448</v>
      </c>
      <c r="E178" s="537" t="s">
        <v>1449</v>
      </c>
      <c r="F178" s="537" t="s">
        <v>663</v>
      </c>
      <c r="G178" s="537" t="s">
        <v>661</v>
      </c>
      <c r="H178" s="539" t="s">
        <v>191</v>
      </c>
      <c r="I178" s="540" t="s">
        <v>1039</v>
      </c>
      <c r="J178" s="541" t="s">
        <v>688</v>
      </c>
      <c r="K178" s="540" t="s">
        <v>1448</v>
      </c>
      <c r="L178" s="550" t="s">
        <v>859</v>
      </c>
      <c r="M178" s="541" t="s">
        <v>2524</v>
      </c>
      <c r="N178" s="543" t="s">
        <v>863</v>
      </c>
      <c r="O178" s="544" t="s">
        <v>2036</v>
      </c>
      <c r="P178" s="537" t="s">
        <v>1203</v>
      </c>
      <c r="Q178" s="544" t="s">
        <v>663</v>
      </c>
      <c r="R178" s="544" t="s">
        <v>663</v>
      </c>
      <c r="S178" s="544" t="s">
        <v>663</v>
      </c>
      <c r="T178" s="537" t="s">
        <v>663</v>
      </c>
      <c r="U178" s="537" t="s">
        <v>663</v>
      </c>
      <c r="V178" s="544" t="s">
        <v>663</v>
      </c>
      <c r="W178" s="544" t="s">
        <v>663</v>
      </c>
      <c r="X178" s="544" t="s">
        <v>662</v>
      </c>
      <c r="Y178" s="544" t="s">
        <v>663</v>
      </c>
      <c r="Z178" s="544" t="s">
        <v>663</v>
      </c>
      <c r="AA178" s="544" t="s">
        <v>663</v>
      </c>
      <c r="AB178" s="537" t="str">
        <f t="shared" si="36"/>
        <v>DC</v>
      </c>
      <c r="AC178" s="537" t="s">
        <v>1192</v>
      </c>
      <c r="AD178" s="545" t="str" cm="1">
        <f t="array" ref="AD178">IF(SUMPRODUCT(ISNUMBER(SEARCH("y",R178:AA178))+0)=0,"",IF(AA178="y","400G",IF(Z178="y","100G",IF(X178="y","40G",IF(V178="y","10G",IF(S178="y","1G",IF(R178="y","100M",""))))))&amp;" "&amp;AB178&amp;" "&amp;AC178)</f>
        <v>40G DC UPLINK</v>
      </c>
      <c r="AE178" s="546" t="str">
        <f t="shared" si="35"/>
        <v>AT-x550-18XSQ 40G DC UPLINK</v>
      </c>
      <c r="AF178" s="912" t="str">
        <f t="shared" si="25"/>
        <v>ns</v>
      </c>
      <c r="AG178" s="405" t="str">
        <f t="shared" si="26"/>
        <v>ns</v>
      </c>
      <c r="AH178" s="405" t="str">
        <f t="shared" si="34"/>
        <v>ns</v>
      </c>
      <c r="AI178" s="405" t="str">
        <f t="shared" si="27"/>
        <v>ns</v>
      </c>
      <c r="AJ178" s="405" t="str">
        <f t="shared" si="28"/>
        <v>ns</v>
      </c>
      <c r="AK178" s="922" t="str">
        <f t="shared" si="29"/>
        <v>ns</v>
      </c>
      <c r="AL178" s="405" t="str">
        <f t="shared" si="29"/>
        <v>ns</v>
      </c>
      <c r="AM178" s="912" t="str">
        <f t="shared" si="30"/>
        <v>.</v>
      </c>
      <c r="AN178" s="405" t="str">
        <f t="shared" si="31"/>
        <v>ns</v>
      </c>
      <c r="AO178" s="405" t="str">
        <f t="shared" si="32"/>
        <v>ns</v>
      </c>
      <c r="AP178" s="405" t="str">
        <f t="shared" si="33"/>
        <v>ns</v>
      </c>
      <c r="AQ178" s="547"/>
    </row>
    <row r="179" spans="1:212">
      <c r="A179" s="537">
        <v>179</v>
      </c>
      <c r="B179" s="537" t="s">
        <v>191</v>
      </c>
      <c r="C179" s="538">
        <v>492</v>
      </c>
      <c r="D179" s="537" t="s">
        <v>1451</v>
      </c>
      <c r="E179" s="537" t="s">
        <v>1452</v>
      </c>
      <c r="F179" s="537" t="s">
        <v>663</v>
      </c>
      <c r="G179" s="537" t="s">
        <v>661</v>
      </c>
      <c r="H179" s="539" t="s">
        <v>191</v>
      </c>
      <c r="I179" s="540" t="s">
        <v>1039</v>
      </c>
      <c r="J179" s="541" t="s">
        <v>688</v>
      </c>
      <c r="K179" s="540" t="s">
        <v>1451</v>
      </c>
      <c r="L179" s="550" t="s">
        <v>674</v>
      </c>
      <c r="M179" s="541" t="s">
        <v>1051</v>
      </c>
      <c r="N179" s="543" t="s">
        <v>689</v>
      </c>
      <c r="O179" s="544" t="s">
        <v>1450</v>
      </c>
      <c r="P179" s="537" t="s">
        <v>1231</v>
      </c>
      <c r="Q179" s="544" t="s">
        <v>663</v>
      </c>
      <c r="R179" s="544" t="s">
        <v>663</v>
      </c>
      <c r="S179" s="537" t="s">
        <v>662</v>
      </c>
      <c r="T179" s="537" t="s">
        <v>662</v>
      </c>
      <c r="U179" s="537" t="s">
        <v>662</v>
      </c>
      <c r="V179" s="544" t="s">
        <v>662</v>
      </c>
      <c r="W179" s="544" t="s">
        <v>663</v>
      </c>
      <c r="X179" s="544" t="s">
        <v>663</v>
      </c>
      <c r="Y179" s="544" t="s">
        <v>663</v>
      </c>
      <c r="Z179" s="544" t="s">
        <v>663</v>
      </c>
      <c r="AA179" s="544" t="s">
        <v>663</v>
      </c>
      <c r="AB179" s="537" t="str">
        <f t="shared" si="36"/>
        <v>DC</v>
      </c>
      <c r="AC179" s="537" t="s">
        <v>1201</v>
      </c>
      <c r="AD179" s="545" t="str" cm="1">
        <f t="array" ref="AD179">IF(SUMPRODUCT(ISNUMBER(SEARCH("y",R179:AA179))+0)=0,"",IF(AA179="y","400G",IF(Z179="y","100G",IF(X179="y","40G",IF(V179="y","10G",IF(S179="y","1G",IF(R179="y","100M",""))))))&amp;" "&amp;AB179&amp;" "&amp;AC179)</f>
        <v>10G DC BASE</v>
      </c>
      <c r="AE179" s="546" t="str">
        <f t="shared" si="35"/>
        <v>AT-x550-18XSPQm 10G DC BASE</v>
      </c>
      <c r="AF179" s="912" t="str">
        <f t="shared" si="25"/>
        <v>ns</v>
      </c>
      <c r="AG179" s="405" t="str">
        <f t="shared" si="26"/>
        <v>ns</v>
      </c>
      <c r="AH179" s="405" t="str">
        <f t="shared" si="34"/>
        <v>.</v>
      </c>
      <c r="AI179" s="405" t="str">
        <f t="shared" si="27"/>
        <v>.</v>
      </c>
      <c r="AJ179" s="405" t="str">
        <f t="shared" si="28"/>
        <v>.</v>
      </c>
      <c r="AK179" s="922" t="str">
        <f t="shared" si="29"/>
        <v>.</v>
      </c>
      <c r="AL179" s="405" t="str">
        <f t="shared" si="29"/>
        <v>ns</v>
      </c>
      <c r="AM179" s="912" t="str">
        <f t="shared" si="30"/>
        <v>ns</v>
      </c>
      <c r="AN179" s="405" t="str">
        <f t="shared" si="31"/>
        <v>ns</v>
      </c>
      <c r="AO179" s="405" t="str">
        <f t="shared" si="32"/>
        <v>ns</v>
      </c>
      <c r="AP179" s="405" t="str">
        <f t="shared" si="33"/>
        <v>ns</v>
      </c>
      <c r="AQ179" s="547"/>
    </row>
    <row r="180" spans="1:212">
      <c r="A180" s="537">
        <v>180</v>
      </c>
      <c r="B180" s="537" t="s">
        <v>191</v>
      </c>
      <c r="C180" s="538">
        <v>492</v>
      </c>
      <c r="D180" s="537" t="s">
        <v>1451</v>
      </c>
      <c r="E180" s="537" t="s">
        <v>1452</v>
      </c>
      <c r="F180" s="537" t="s">
        <v>663</v>
      </c>
      <c r="G180" s="537" t="s">
        <v>661</v>
      </c>
      <c r="H180" s="539" t="s">
        <v>191</v>
      </c>
      <c r="I180" s="540" t="s">
        <v>1039</v>
      </c>
      <c r="J180" s="541" t="s">
        <v>688</v>
      </c>
      <c r="K180" s="540" t="s">
        <v>1451</v>
      </c>
      <c r="L180" s="550" t="s">
        <v>674</v>
      </c>
      <c r="M180" s="541" t="s">
        <v>1051</v>
      </c>
      <c r="N180" s="543" t="s">
        <v>863</v>
      </c>
      <c r="O180" s="544" t="s">
        <v>2036</v>
      </c>
      <c r="P180" s="537" t="s">
        <v>1203</v>
      </c>
      <c r="Q180" s="544" t="s">
        <v>663</v>
      </c>
      <c r="R180" s="544" t="s">
        <v>663</v>
      </c>
      <c r="S180" s="544" t="s">
        <v>663</v>
      </c>
      <c r="T180" s="537" t="s">
        <v>663</v>
      </c>
      <c r="U180" s="537" t="s">
        <v>663</v>
      </c>
      <c r="V180" s="544" t="s">
        <v>663</v>
      </c>
      <c r="W180" s="544" t="s">
        <v>663</v>
      </c>
      <c r="X180" s="544" t="s">
        <v>662</v>
      </c>
      <c r="Y180" s="544" t="s">
        <v>663</v>
      </c>
      <c r="Z180" s="544" t="s">
        <v>663</v>
      </c>
      <c r="AA180" s="544" t="s">
        <v>663</v>
      </c>
      <c r="AB180" s="537" t="str">
        <f t="shared" si="36"/>
        <v>DC</v>
      </c>
      <c r="AC180" s="537" t="s">
        <v>1192</v>
      </c>
      <c r="AD180" s="545" t="str" cm="1">
        <f t="array" ref="AD180">IF(SUMPRODUCT(ISNUMBER(SEARCH("y",R180:AA180))+0)=0,"",IF(AA180="y","400G",IF(Z180="y","100G",IF(X180="y","40G",IF(V180="y","10G",IF(S180="y","1G",IF(R180="y","100M",""))))))&amp;" "&amp;AB180&amp;" "&amp;AC180)</f>
        <v>40G DC UPLINK</v>
      </c>
      <c r="AE180" s="546" t="str">
        <f t="shared" si="35"/>
        <v>AT-x550-18XSPQm 40G DC UPLINK</v>
      </c>
      <c r="AF180" s="912" t="str">
        <f t="shared" si="25"/>
        <v>ns</v>
      </c>
      <c r="AG180" s="405" t="str">
        <f t="shared" si="26"/>
        <v>ns</v>
      </c>
      <c r="AH180" s="405" t="str">
        <f t="shared" si="34"/>
        <v>ns</v>
      </c>
      <c r="AI180" s="405" t="str">
        <f t="shared" si="27"/>
        <v>ns</v>
      </c>
      <c r="AJ180" s="405" t="str">
        <f t="shared" si="28"/>
        <v>ns</v>
      </c>
      <c r="AK180" s="922" t="str">
        <f t="shared" si="29"/>
        <v>ns</v>
      </c>
      <c r="AL180" s="405" t="str">
        <f t="shared" si="29"/>
        <v>ns</v>
      </c>
      <c r="AM180" s="912" t="str">
        <f t="shared" si="30"/>
        <v>.</v>
      </c>
      <c r="AN180" s="405" t="str">
        <f t="shared" si="31"/>
        <v>ns</v>
      </c>
      <c r="AO180" s="405" t="str">
        <f t="shared" si="32"/>
        <v>ns</v>
      </c>
      <c r="AP180" s="405" t="str">
        <f t="shared" si="33"/>
        <v>ns</v>
      </c>
      <c r="AQ180" s="547"/>
    </row>
    <row r="181" spans="1:212">
      <c r="A181" s="537">
        <v>181</v>
      </c>
      <c r="B181" s="537" t="s">
        <v>191</v>
      </c>
      <c r="C181" s="538">
        <v>562</v>
      </c>
      <c r="D181" s="537" t="s">
        <v>1448</v>
      </c>
      <c r="E181" s="537" t="s">
        <v>1453</v>
      </c>
      <c r="F181" s="537" t="s">
        <v>663</v>
      </c>
      <c r="G181" s="537" t="s">
        <v>661</v>
      </c>
      <c r="H181" s="539" t="s">
        <v>191</v>
      </c>
      <c r="I181" s="540" t="s">
        <v>1039</v>
      </c>
      <c r="J181" s="541" t="s">
        <v>877</v>
      </c>
      <c r="K181" s="540" t="s">
        <v>1448</v>
      </c>
      <c r="L181" s="550" t="s">
        <v>859</v>
      </c>
      <c r="M181" s="541" t="s">
        <v>1042</v>
      </c>
      <c r="N181" s="543" t="s">
        <v>689</v>
      </c>
      <c r="O181" s="544" t="s">
        <v>1450</v>
      </c>
      <c r="P181" s="537" t="s">
        <v>1231</v>
      </c>
      <c r="Q181" s="544" t="s">
        <v>663</v>
      </c>
      <c r="R181" s="544" t="s">
        <v>663</v>
      </c>
      <c r="S181" s="537" t="s">
        <v>662</v>
      </c>
      <c r="T181" s="537" t="s">
        <v>662</v>
      </c>
      <c r="U181" s="537" t="s">
        <v>662</v>
      </c>
      <c r="V181" s="544" t="s">
        <v>662</v>
      </c>
      <c r="W181" s="544" t="s">
        <v>663</v>
      </c>
      <c r="X181" s="544" t="s">
        <v>663</v>
      </c>
      <c r="Y181" s="544" t="s">
        <v>663</v>
      </c>
      <c r="Z181" s="544" t="s">
        <v>663</v>
      </c>
      <c r="AA181" s="544" t="s">
        <v>663</v>
      </c>
      <c r="AB181" s="537" t="str">
        <f t="shared" si="36"/>
        <v>PHY</v>
      </c>
      <c r="AC181" s="537" t="s">
        <v>1201</v>
      </c>
      <c r="AD181" s="545" t="str" cm="1">
        <f t="array" ref="AD181">IF(SUMPRODUCT(ISNUMBER(SEARCH("y",R181:AA181))+0)=0,"",IF(AA181="y","400G",IF(Z181="y","100G",IF(X181="y","40G",IF(V181="y","10G",IF(S181="y","1G",IF(R181="y","100M",""))))))&amp;" "&amp;AB181&amp;" "&amp;AC181)</f>
        <v>10G PHY BASE</v>
      </c>
      <c r="AE181" s="546" t="str">
        <f t="shared" si="35"/>
        <v>AT-x550-18XSQ 10G PHY BASE</v>
      </c>
      <c r="AF181" s="912" t="str">
        <f t="shared" si="25"/>
        <v>ns</v>
      </c>
      <c r="AG181" s="405" t="str">
        <f t="shared" si="26"/>
        <v>ns</v>
      </c>
      <c r="AH181" s="405" t="str">
        <f t="shared" si="34"/>
        <v>.</v>
      </c>
      <c r="AI181" s="405" t="str">
        <f t="shared" si="27"/>
        <v>.</v>
      </c>
      <c r="AJ181" s="405" t="str">
        <f t="shared" si="28"/>
        <v>.</v>
      </c>
      <c r="AK181" s="922" t="str">
        <f t="shared" si="29"/>
        <v>.</v>
      </c>
      <c r="AL181" s="405" t="str">
        <f t="shared" si="29"/>
        <v>ns</v>
      </c>
      <c r="AM181" s="912" t="str">
        <f t="shared" si="30"/>
        <v>ns</v>
      </c>
      <c r="AN181" s="405" t="str">
        <f t="shared" si="31"/>
        <v>ns</v>
      </c>
      <c r="AO181" s="405" t="str">
        <f t="shared" si="32"/>
        <v>ns</v>
      </c>
      <c r="AP181" s="405" t="str">
        <f t="shared" si="33"/>
        <v>ns</v>
      </c>
      <c r="AQ181" s="547"/>
    </row>
    <row r="182" spans="1:212">
      <c r="A182" s="537">
        <v>182</v>
      </c>
      <c r="B182" s="537" t="s">
        <v>191</v>
      </c>
      <c r="C182" s="538">
        <v>562</v>
      </c>
      <c r="D182" s="537" t="s">
        <v>1448</v>
      </c>
      <c r="E182" s="537" t="s">
        <v>1453</v>
      </c>
      <c r="F182" s="537" t="s">
        <v>663</v>
      </c>
      <c r="G182" s="537" t="s">
        <v>661</v>
      </c>
      <c r="H182" s="539" t="s">
        <v>191</v>
      </c>
      <c r="I182" s="540" t="s">
        <v>1039</v>
      </c>
      <c r="J182" s="541" t="s">
        <v>688</v>
      </c>
      <c r="K182" s="540" t="s">
        <v>1448</v>
      </c>
      <c r="L182" s="550" t="s">
        <v>859</v>
      </c>
      <c r="M182" s="541" t="s">
        <v>1042</v>
      </c>
      <c r="N182" s="543" t="s">
        <v>863</v>
      </c>
      <c r="O182" s="544" t="s">
        <v>2036</v>
      </c>
      <c r="P182" s="537" t="s">
        <v>1203</v>
      </c>
      <c r="Q182" s="544" t="s">
        <v>663</v>
      </c>
      <c r="R182" s="544" t="s">
        <v>663</v>
      </c>
      <c r="S182" s="544" t="s">
        <v>663</v>
      </c>
      <c r="T182" s="537" t="s">
        <v>663</v>
      </c>
      <c r="U182" s="537" t="s">
        <v>663</v>
      </c>
      <c r="V182" s="544" t="s">
        <v>663</v>
      </c>
      <c r="W182" s="544" t="s">
        <v>663</v>
      </c>
      <c r="X182" s="544" t="s">
        <v>662</v>
      </c>
      <c r="Y182" s="544" t="s">
        <v>663</v>
      </c>
      <c r="Z182" s="544" t="s">
        <v>663</v>
      </c>
      <c r="AA182" s="544" t="s">
        <v>663</v>
      </c>
      <c r="AB182" s="537" t="str">
        <f t="shared" si="36"/>
        <v>DC</v>
      </c>
      <c r="AC182" s="537" t="s">
        <v>1192</v>
      </c>
      <c r="AD182" s="545" t="str" cm="1">
        <f t="array" ref="AD182">IF(SUMPRODUCT(ISNUMBER(SEARCH("y",R182:AA182))+0)=0,"",IF(AA182="y","400G",IF(Z182="y","100G",IF(X182="y","40G",IF(V182="y","10G",IF(S182="y","1G",IF(R182="y","100M",""))))))&amp;" "&amp;AB182&amp;" "&amp;AC182)</f>
        <v>40G DC UPLINK</v>
      </c>
      <c r="AE182" s="546" t="str">
        <f t="shared" si="35"/>
        <v>AT-x550-18XSQ 40G DC UPLINK</v>
      </c>
      <c r="AF182" s="912" t="str">
        <f t="shared" si="25"/>
        <v>ns</v>
      </c>
      <c r="AG182" s="405" t="str">
        <f t="shared" si="26"/>
        <v>ns</v>
      </c>
      <c r="AH182" s="405" t="str">
        <f t="shared" si="34"/>
        <v>ns</v>
      </c>
      <c r="AI182" s="405" t="str">
        <f t="shared" si="27"/>
        <v>ns</v>
      </c>
      <c r="AJ182" s="405" t="str">
        <f t="shared" si="28"/>
        <v>ns</v>
      </c>
      <c r="AK182" s="922" t="str">
        <f t="shared" si="29"/>
        <v>ns</v>
      </c>
      <c r="AL182" s="405" t="str">
        <f t="shared" si="29"/>
        <v>ns</v>
      </c>
      <c r="AM182" s="912" t="str">
        <f t="shared" si="30"/>
        <v>.</v>
      </c>
      <c r="AN182" s="405" t="str">
        <f t="shared" si="31"/>
        <v>ns</v>
      </c>
      <c r="AO182" s="405" t="str">
        <f t="shared" si="32"/>
        <v>ns</v>
      </c>
      <c r="AP182" s="405" t="str">
        <f t="shared" si="33"/>
        <v>ns</v>
      </c>
      <c r="AQ182" s="547"/>
    </row>
    <row r="183" spans="1:212" s="536" customFormat="1">
      <c r="A183" s="504">
        <v>183</v>
      </c>
      <c r="B183" s="525" t="s">
        <v>63</v>
      </c>
      <c r="C183" s="526">
        <v>289</v>
      </c>
      <c r="D183" s="526" t="s">
        <v>1137</v>
      </c>
      <c r="E183" s="525" t="s">
        <v>1454</v>
      </c>
      <c r="F183" s="525" t="s">
        <v>663</v>
      </c>
      <c r="G183" s="525" t="s">
        <v>764</v>
      </c>
      <c r="H183" s="527" t="s">
        <v>63</v>
      </c>
      <c r="I183" s="528" t="s">
        <v>1138</v>
      </c>
      <c r="J183" s="529" t="s">
        <v>1139</v>
      </c>
      <c r="K183" s="528" t="s">
        <v>197</v>
      </c>
      <c r="L183" s="530" t="s">
        <v>197</v>
      </c>
      <c r="M183" s="529" t="s">
        <v>197</v>
      </c>
      <c r="N183" s="531" t="s">
        <v>655</v>
      </c>
      <c r="O183" s="525" t="s">
        <v>159</v>
      </c>
      <c r="P183" s="525" t="s">
        <v>197</v>
      </c>
      <c r="Q183" s="532" t="s">
        <v>663</v>
      </c>
      <c r="R183" s="532" t="s">
        <v>663</v>
      </c>
      <c r="S183" s="532" t="s">
        <v>663</v>
      </c>
      <c r="T183" s="525" t="s">
        <v>663</v>
      </c>
      <c r="U183" s="525" t="s">
        <v>663</v>
      </c>
      <c r="V183" s="532" t="s">
        <v>663</v>
      </c>
      <c r="W183" s="532" t="s">
        <v>663</v>
      </c>
      <c r="X183" s="532" t="s">
        <v>663</v>
      </c>
      <c r="Y183" s="532" t="s">
        <v>663</v>
      </c>
      <c r="Z183" s="532" t="s">
        <v>663</v>
      </c>
      <c r="AA183" s="532" t="s">
        <v>663</v>
      </c>
      <c r="AB183" s="525" t="str">
        <f t="shared" si="36"/>
        <v/>
      </c>
      <c r="AC183" s="525"/>
      <c r="AD183" s="533" t="str" cm="1">
        <f t="array" ref="AD183">IF(SUMPRODUCT(ISNUMBER(SEARCH("y",R183:AA183))+0)=0,"",IF(AA183="y","400G",IF(Z183="y","100G",IF(X183="y","40G",IF(V183="y","10G",IF(S183="y","1G",IF(R183="y","100M",""))))))&amp;" "&amp;AB183&amp;" "&amp;AC183)</f>
        <v/>
      </c>
      <c r="AE183" s="534" t="str">
        <f t="shared" si="35"/>
        <v/>
      </c>
      <c r="AF183" s="910" t="str">
        <f t="shared" si="25"/>
        <v>ns</v>
      </c>
      <c r="AG183" s="911" t="str">
        <f t="shared" si="26"/>
        <v>ns</v>
      </c>
      <c r="AH183" s="911" t="str">
        <f t="shared" si="34"/>
        <v>ns</v>
      </c>
      <c r="AI183" s="911" t="str">
        <f t="shared" si="27"/>
        <v>ns</v>
      </c>
      <c r="AJ183" s="911" t="str">
        <f t="shared" si="28"/>
        <v>ns</v>
      </c>
      <c r="AK183" s="921" t="str">
        <f t="shared" si="29"/>
        <v>ns</v>
      </c>
      <c r="AL183" s="908" t="str">
        <f t="shared" si="29"/>
        <v>ns</v>
      </c>
      <c r="AM183" s="909" t="str">
        <f t="shared" si="30"/>
        <v>ns</v>
      </c>
      <c r="AN183" s="908" t="str">
        <f t="shared" si="31"/>
        <v>ns</v>
      </c>
      <c r="AO183" s="908" t="str">
        <f t="shared" si="32"/>
        <v>ns</v>
      </c>
      <c r="AP183" s="908" t="str">
        <f t="shared" si="33"/>
        <v>ns</v>
      </c>
      <c r="AQ183" s="535"/>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row>
    <row r="184" spans="1:212" s="536" customFormat="1">
      <c r="A184" s="504">
        <v>184</v>
      </c>
      <c r="B184" s="525" t="s">
        <v>63</v>
      </c>
      <c r="C184" s="526">
        <v>290</v>
      </c>
      <c r="D184" s="526" t="s">
        <v>1141</v>
      </c>
      <c r="E184" s="525" t="s">
        <v>1455</v>
      </c>
      <c r="F184" s="525" t="s">
        <v>663</v>
      </c>
      <c r="G184" s="525" t="s">
        <v>764</v>
      </c>
      <c r="H184" s="527" t="s">
        <v>63</v>
      </c>
      <c r="I184" s="528" t="s">
        <v>1138</v>
      </c>
      <c r="J184" s="529" t="s">
        <v>1139</v>
      </c>
      <c r="K184" s="528" t="s">
        <v>1141</v>
      </c>
      <c r="L184" s="530" t="s">
        <v>1143</v>
      </c>
      <c r="M184" s="529">
        <v>12</v>
      </c>
      <c r="N184" s="531" t="s">
        <v>655</v>
      </c>
      <c r="O184" s="525" t="s">
        <v>159</v>
      </c>
      <c r="P184" s="525" t="s">
        <v>197</v>
      </c>
      <c r="Q184" s="532" t="s">
        <v>663</v>
      </c>
      <c r="R184" s="532" t="s">
        <v>663</v>
      </c>
      <c r="S184" s="532" t="s">
        <v>663</v>
      </c>
      <c r="T184" s="525" t="s">
        <v>663</v>
      </c>
      <c r="U184" s="525" t="s">
        <v>663</v>
      </c>
      <c r="V184" s="532" t="s">
        <v>663</v>
      </c>
      <c r="W184" s="532" t="s">
        <v>663</v>
      </c>
      <c r="X184" s="532" t="s">
        <v>663</v>
      </c>
      <c r="Y184" s="532" t="s">
        <v>663</v>
      </c>
      <c r="Z184" s="532" t="s">
        <v>663</v>
      </c>
      <c r="AA184" s="532" t="s">
        <v>663</v>
      </c>
      <c r="AB184" s="525" t="str">
        <f t="shared" si="36"/>
        <v/>
      </c>
      <c r="AC184" s="525"/>
      <c r="AD184" s="533" t="str" cm="1">
        <f t="array" ref="AD184">IF(SUMPRODUCT(ISNUMBER(SEARCH("y",R184:AA184))+0)=0,"",IF(AA184="y","400G",IF(Z184="y","100G",IF(X184="y","40G",IF(V184="y","10G",IF(S184="y","1G",IF(R184="y","100M",""))))))&amp;" "&amp;AB184&amp;" "&amp;AC184)</f>
        <v/>
      </c>
      <c r="AE184" s="534" t="str">
        <f t="shared" si="35"/>
        <v xml:space="preserve">x600-24Ts/XP </v>
      </c>
      <c r="AF184" s="910" t="str">
        <f t="shared" si="25"/>
        <v>ns</v>
      </c>
      <c r="AG184" s="911" t="str">
        <f t="shared" si="26"/>
        <v>ns</v>
      </c>
      <c r="AH184" s="911" t="str">
        <f t="shared" si="34"/>
        <v>ns</v>
      </c>
      <c r="AI184" s="911" t="str">
        <f t="shared" si="27"/>
        <v>ns</v>
      </c>
      <c r="AJ184" s="911" t="str">
        <f t="shared" si="28"/>
        <v>ns</v>
      </c>
      <c r="AK184" s="921" t="str">
        <f t="shared" si="29"/>
        <v>ns</v>
      </c>
      <c r="AL184" s="908" t="str">
        <f t="shared" si="29"/>
        <v>ns</v>
      </c>
      <c r="AM184" s="909" t="str">
        <f t="shared" si="30"/>
        <v>ns</v>
      </c>
      <c r="AN184" s="908" t="str">
        <f t="shared" si="31"/>
        <v>ns</v>
      </c>
      <c r="AO184" s="908" t="str">
        <f t="shared" si="32"/>
        <v>ns</v>
      </c>
      <c r="AP184" s="908" t="str">
        <f t="shared" si="33"/>
        <v>ns</v>
      </c>
      <c r="AQ184" s="535"/>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row>
    <row r="185" spans="1:212" s="536" customFormat="1">
      <c r="A185" s="504">
        <v>185</v>
      </c>
      <c r="B185" s="525" t="s">
        <v>63</v>
      </c>
      <c r="C185" s="526">
        <v>290</v>
      </c>
      <c r="D185" s="526" t="s">
        <v>1141</v>
      </c>
      <c r="E185" s="525" t="s">
        <v>1455</v>
      </c>
      <c r="F185" s="525" t="s">
        <v>663</v>
      </c>
      <c r="G185" s="525" t="s">
        <v>764</v>
      </c>
      <c r="H185" s="527" t="s">
        <v>63</v>
      </c>
      <c r="I185" s="528" t="s">
        <v>1138</v>
      </c>
      <c r="J185" s="529" t="s">
        <v>1144</v>
      </c>
      <c r="K185" s="528" t="s">
        <v>197</v>
      </c>
      <c r="L185" s="530" t="s">
        <v>197</v>
      </c>
      <c r="M185" s="529" t="s">
        <v>197</v>
      </c>
      <c r="N185" s="531" t="s">
        <v>1145</v>
      </c>
      <c r="O185" s="525" t="s">
        <v>159</v>
      </c>
      <c r="P185" s="525" t="s">
        <v>197</v>
      </c>
      <c r="Q185" s="532" t="s">
        <v>663</v>
      </c>
      <c r="R185" s="532" t="s">
        <v>663</v>
      </c>
      <c r="S185" s="532" t="s">
        <v>663</v>
      </c>
      <c r="T185" s="525" t="s">
        <v>663</v>
      </c>
      <c r="U185" s="525" t="s">
        <v>663</v>
      </c>
      <c r="V185" s="532" t="s">
        <v>663</v>
      </c>
      <c r="W185" s="532" t="s">
        <v>663</v>
      </c>
      <c r="X185" s="532" t="s">
        <v>663</v>
      </c>
      <c r="Y185" s="532" t="s">
        <v>663</v>
      </c>
      <c r="Z185" s="532" t="s">
        <v>663</v>
      </c>
      <c r="AA185" s="532" t="s">
        <v>663</v>
      </c>
      <c r="AB185" s="525" t="str">
        <f t="shared" si="36"/>
        <v/>
      </c>
      <c r="AC185" s="525"/>
      <c r="AD185" s="533" t="str" cm="1">
        <f t="array" ref="AD185">IF(SUMPRODUCT(ISNUMBER(SEARCH("y",R185:AA185))+0)=0,"",IF(AA185="y","400G",IF(Z185="y","100G",IF(X185="y","40G",IF(V185="y","10G",IF(S185="y","1G",IF(R185="y","100M",""))))))&amp;" "&amp;AB185&amp;" "&amp;AC185)</f>
        <v/>
      </c>
      <c r="AE185" s="534" t="str">
        <f t="shared" si="35"/>
        <v/>
      </c>
      <c r="AF185" s="910" t="str">
        <f t="shared" si="25"/>
        <v>ns</v>
      </c>
      <c r="AG185" s="911" t="str">
        <f t="shared" si="26"/>
        <v>ns</v>
      </c>
      <c r="AH185" s="911" t="str">
        <f t="shared" si="34"/>
        <v>ns</v>
      </c>
      <c r="AI185" s="911" t="str">
        <f t="shared" si="27"/>
        <v>ns</v>
      </c>
      <c r="AJ185" s="911" t="str">
        <f t="shared" si="28"/>
        <v>ns</v>
      </c>
      <c r="AK185" s="921" t="str">
        <f t="shared" si="29"/>
        <v>ns</v>
      </c>
      <c r="AL185" s="908" t="str">
        <f t="shared" si="29"/>
        <v>ns</v>
      </c>
      <c r="AM185" s="909" t="str">
        <f t="shared" si="30"/>
        <v>ns</v>
      </c>
      <c r="AN185" s="908" t="str">
        <f t="shared" si="31"/>
        <v>ns</v>
      </c>
      <c r="AO185" s="908" t="str">
        <f t="shared" si="32"/>
        <v>ns</v>
      </c>
      <c r="AP185" s="908" t="str">
        <f t="shared" si="33"/>
        <v>ns</v>
      </c>
      <c r="AQ185" s="53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row>
    <row r="186" spans="1:212" s="536" customFormat="1">
      <c r="A186" s="504">
        <v>186</v>
      </c>
      <c r="B186" s="525" t="s">
        <v>63</v>
      </c>
      <c r="C186" s="526">
        <v>293</v>
      </c>
      <c r="D186" s="526" t="s">
        <v>1147</v>
      </c>
      <c r="E186" s="525" t="s">
        <v>1456</v>
      </c>
      <c r="F186" s="525" t="s">
        <v>663</v>
      </c>
      <c r="G186" s="525" t="s">
        <v>764</v>
      </c>
      <c r="H186" s="527" t="s">
        <v>63</v>
      </c>
      <c r="I186" s="528" t="s">
        <v>1138</v>
      </c>
      <c r="J186" s="529" t="s">
        <v>688</v>
      </c>
      <c r="K186" s="528" t="s">
        <v>197</v>
      </c>
      <c r="L186" s="530" t="s">
        <v>197</v>
      </c>
      <c r="M186" s="529" t="s">
        <v>197</v>
      </c>
      <c r="N186" s="531" t="s">
        <v>827</v>
      </c>
      <c r="O186" s="525" t="s">
        <v>159</v>
      </c>
      <c r="P186" s="525" t="s">
        <v>197</v>
      </c>
      <c r="Q186" s="532" t="s">
        <v>663</v>
      </c>
      <c r="R186" s="532" t="s">
        <v>663</v>
      </c>
      <c r="S186" s="532" t="s">
        <v>663</v>
      </c>
      <c r="T186" s="525" t="s">
        <v>663</v>
      </c>
      <c r="U186" s="525" t="s">
        <v>663</v>
      </c>
      <c r="V186" s="532" t="s">
        <v>663</v>
      </c>
      <c r="W186" s="532" t="s">
        <v>663</v>
      </c>
      <c r="X186" s="532" t="s">
        <v>663</v>
      </c>
      <c r="Y186" s="532" t="s">
        <v>663</v>
      </c>
      <c r="Z186" s="532" t="s">
        <v>663</v>
      </c>
      <c r="AA186" s="532" t="s">
        <v>663</v>
      </c>
      <c r="AB186" s="525" t="str">
        <f t="shared" si="36"/>
        <v/>
      </c>
      <c r="AC186" s="525"/>
      <c r="AD186" s="533" t="str" cm="1">
        <f t="array" ref="AD186">IF(SUMPRODUCT(ISNUMBER(SEARCH("y",R186:AA186))+0)=0,"",IF(AA186="y","400G",IF(Z186="y","100G",IF(X186="y","40G",IF(V186="y","10G",IF(S186="y","1G",IF(R186="y","100M",""))))))&amp;" "&amp;AB186&amp;" "&amp;AC186)</f>
        <v/>
      </c>
      <c r="AE186" s="534" t="str">
        <f t="shared" si="35"/>
        <v/>
      </c>
      <c r="AF186" s="910" t="str">
        <f t="shared" si="25"/>
        <v>ns</v>
      </c>
      <c r="AG186" s="911" t="str">
        <f t="shared" si="26"/>
        <v>ns</v>
      </c>
      <c r="AH186" s="911" t="str">
        <f t="shared" si="34"/>
        <v>ns</v>
      </c>
      <c r="AI186" s="911" t="str">
        <f t="shared" si="27"/>
        <v>ns</v>
      </c>
      <c r="AJ186" s="911" t="str">
        <f t="shared" si="28"/>
        <v>ns</v>
      </c>
      <c r="AK186" s="921" t="str">
        <f t="shared" si="29"/>
        <v>ns</v>
      </c>
      <c r="AL186" s="908" t="str">
        <f t="shared" si="29"/>
        <v>ns</v>
      </c>
      <c r="AM186" s="909" t="str">
        <f t="shared" si="30"/>
        <v>ns</v>
      </c>
      <c r="AN186" s="908" t="str">
        <f t="shared" si="31"/>
        <v>ns</v>
      </c>
      <c r="AO186" s="908" t="str">
        <f t="shared" si="32"/>
        <v>ns</v>
      </c>
      <c r="AP186" s="908" t="str">
        <f t="shared" si="33"/>
        <v>ns</v>
      </c>
      <c r="AQ186" s="535"/>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row>
    <row r="187" spans="1:212" s="536" customFormat="1">
      <c r="A187" s="504">
        <v>187</v>
      </c>
      <c r="B187" s="525" t="s">
        <v>63</v>
      </c>
      <c r="C187" s="526">
        <v>294</v>
      </c>
      <c r="D187" s="526" t="s">
        <v>1149</v>
      </c>
      <c r="E187" s="525" t="s">
        <v>1457</v>
      </c>
      <c r="F187" s="525" t="s">
        <v>663</v>
      </c>
      <c r="G187" s="525" t="s">
        <v>764</v>
      </c>
      <c r="H187" s="527" t="s">
        <v>63</v>
      </c>
      <c r="I187" s="528" t="s">
        <v>1138</v>
      </c>
      <c r="J187" s="529" t="s">
        <v>688</v>
      </c>
      <c r="K187" s="528" t="s">
        <v>1149</v>
      </c>
      <c r="L187" s="530" t="s">
        <v>1151</v>
      </c>
      <c r="M187" s="529" t="s">
        <v>1152</v>
      </c>
      <c r="N187" s="531" t="s">
        <v>827</v>
      </c>
      <c r="O187" s="525" t="s">
        <v>159</v>
      </c>
      <c r="P187" s="525" t="s">
        <v>197</v>
      </c>
      <c r="Q187" s="532" t="s">
        <v>663</v>
      </c>
      <c r="R187" s="532" t="s">
        <v>663</v>
      </c>
      <c r="S187" s="532" t="s">
        <v>663</v>
      </c>
      <c r="T187" s="525" t="s">
        <v>663</v>
      </c>
      <c r="U187" s="525" t="s">
        <v>663</v>
      </c>
      <c r="V187" s="532" t="s">
        <v>663</v>
      </c>
      <c r="W187" s="532" t="s">
        <v>663</v>
      </c>
      <c r="X187" s="532" t="s">
        <v>663</v>
      </c>
      <c r="Y187" s="532" t="s">
        <v>663</v>
      </c>
      <c r="Z187" s="532" t="s">
        <v>663</v>
      </c>
      <c r="AA187" s="532" t="s">
        <v>663</v>
      </c>
      <c r="AB187" s="525" t="str">
        <f t="shared" si="36"/>
        <v/>
      </c>
      <c r="AC187" s="525"/>
      <c r="AD187" s="533" t="str" cm="1">
        <f t="array" ref="AD187">IF(SUMPRODUCT(ISNUMBER(SEARCH("y",R187:AA187))+0)=0,"",IF(AA187="y","400G",IF(Z187="y","100G",IF(X187="y","40G",IF(V187="y","10G",IF(S187="y","1G",IF(R187="y","100M",""))))))&amp;" "&amp;AB187&amp;" "&amp;AC187)</f>
        <v/>
      </c>
      <c r="AE187" s="534" t="str">
        <f t="shared" si="35"/>
        <v xml:space="preserve">x600-48Ts/XP </v>
      </c>
      <c r="AF187" s="910" t="str">
        <f t="shared" si="25"/>
        <v>ns</v>
      </c>
      <c r="AG187" s="911" t="str">
        <f t="shared" si="26"/>
        <v>ns</v>
      </c>
      <c r="AH187" s="911" t="str">
        <f t="shared" si="34"/>
        <v>ns</v>
      </c>
      <c r="AI187" s="911" t="str">
        <f t="shared" si="27"/>
        <v>ns</v>
      </c>
      <c r="AJ187" s="911" t="str">
        <f t="shared" si="28"/>
        <v>ns</v>
      </c>
      <c r="AK187" s="921" t="str">
        <f t="shared" si="29"/>
        <v>ns</v>
      </c>
      <c r="AL187" s="908" t="str">
        <f t="shared" si="29"/>
        <v>ns</v>
      </c>
      <c r="AM187" s="909" t="str">
        <f t="shared" si="30"/>
        <v>ns</v>
      </c>
      <c r="AN187" s="908" t="str">
        <f t="shared" si="31"/>
        <v>ns</v>
      </c>
      <c r="AO187" s="908" t="str">
        <f t="shared" si="32"/>
        <v>ns</v>
      </c>
      <c r="AP187" s="908" t="str">
        <f t="shared" si="33"/>
        <v>ns</v>
      </c>
      <c r="AQ187" s="535"/>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row>
    <row r="188" spans="1:212" s="536" customFormat="1">
      <c r="A188" s="504">
        <v>188</v>
      </c>
      <c r="B188" s="525" t="s">
        <v>63</v>
      </c>
      <c r="C188" s="526">
        <v>294</v>
      </c>
      <c r="D188" s="526" t="s">
        <v>1149</v>
      </c>
      <c r="E188" s="525" t="s">
        <v>1457</v>
      </c>
      <c r="F188" s="525" t="s">
        <v>663</v>
      </c>
      <c r="G188" s="525" t="s">
        <v>764</v>
      </c>
      <c r="H188" s="527" t="s">
        <v>63</v>
      </c>
      <c r="I188" s="528" t="s">
        <v>1138</v>
      </c>
      <c r="J188" s="529" t="s">
        <v>1144</v>
      </c>
      <c r="K188" s="528" t="s">
        <v>197</v>
      </c>
      <c r="L188" s="530" t="s">
        <v>197</v>
      </c>
      <c r="M188" s="529" t="s">
        <v>197</v>
      </c>
      <c r="N188" s="531" t="s">
        <v>1145</v>
      </c>
      <c r="O188" s="525" t="s">
        <v>159</v>
      </c>
      <c r="P188" s="525" t="s">
        <v>197</v>
      </c>
      <c r="Q188" s="532" t="s">
        <v>663</v>
      </c>
      <c r="R188" s="532" t="s">
        <v>663</v>
      </c>
      <c r="S188" s="532" t="s">
        <v>663</v>
      </c>
      <c r="T188" s="525" t="s">
        <v>663</v>
      </c>
      <c r="U188" s="525" t="s">
        <v>663</v>
      </c>
      <c r="V188" s="532" t="s">
        <v>663</v>
      </c>
      <c r="W188" s="532" t="s">
        <v>663</v>
      </c>
      <c r="X188" s="532" t="s">
        <v>663</v>
      </c>
      <c r="Y188" s="532" t="s">
        <v>663</v>
      </c>
      <c r="Z188" s="532" t="s">
        <v>663</v>
      </c>
      <c r="AA188" s="532" t="s">
        <v>663</v>
      </c>
      <c r="AB188" s="525" t="str">
        <f t="shared" si="36"/>
        <v/>
      </c>
      <c r="AC188" s="525"/>
      <c r="AD188" s="533" t="str" cm="1">
        <f t="array" ref="AD188">IF(SUMPRODUCT(ISNUMBER(SEARCH("y",R188:AA188))+0)=0,"",IF(AA188="y","400G",IF(Z188="y","100G",IF(X188="y","40G",IF(V188="y","10G",IF(S188="y","1G",IF(R188="y","100M",""))))))&amp;" "&amp;AB188&amp;" "&amp;AC188)</f>
        <v/>
      </c>
      <c r="AE188" s="534" t="str">
        <f t="shared" si="35"/>
        <v/>
      </c>
      <c r="AF188" s="910" t="str">
        <f t="shared" si="25"/>
        <v>ns</v>
      </c>
      <c r="AG188" s="911" t="str">
        <f t="shared" si="26"/>
        <v>ns</v>
      </c>
      <c r="AH188" s="911" t="str">
        <f t="shared" si="34"/>
        <v>ns</v>
      </c>
      <c r="AI188" s="911" t="str">
        <f t="shared" si="27"/>
        <v>ns</v>
      </c>
      <c r="AJ188" s="911" t="str">
        <f t="shared" si="28"/>
        <v>ns</v>
      </c>
      <c r="AK188" s="921" t="str">
        <f t="shared" si="29"/>
        <v>ns</v>
      </c>
      <c r="AL188" s="908" t="str">
        <f t="shared" si="29"/>
        <v>ns</v>
      </c>
      <c r="AM188" s="909" t="str">
        <f t="shared" si="30"/>
        <v>ns</v>
      </c>
      <c r="AN188" s="908" t="str">
        <f t="shared" si="31"/>
        <v>ns</v>
      </c>
      <c r="AO188" s="908" t="str">
        <f t="shared" si="32"/>
        <v>ns</v>
      </c>
      <c r="AP188" s="908" t="str">
        <f t="shared" si="33"/>
        <v>ns</v>
      </c>
      <c r="AQ188" s="535"/>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row>
    <row r="189" spans="1:212" s="536" customFormat="1">
      <c r="A189" s="504">
        <v>189</v>
      </c>
      <c r="B189" s="525" t="s">
        <v>63</v>
      </c>
      <c r="C189" s="526">
        <v>325</v>
      </c>
      <c r="D189" s="526" t="s">
        <v>1153</v>
      </c>
      <c r="E189" s="525" t="s">
        <v>1458</v>
      </c>
      <c r="F189" s="525" t="s">
        <v>663</v>
      </c>
      <c r="G189" s="525" t="s">
        <v>764</v>
      </c>
      <c r="H189" s="527" t="s">
        <v>63</v>
      </c>
      <c r="I189" s="528" t="s">
        <v>1154</v>
      </c>
      <c r="J189" s="529" t="s">
        <v>1139</v>
      </c>
      <c r="K189" s="528" t="s">
        <v>197</v>
      </c>
      <c r="L189" s="530" t="s">
        <v>197</v>
      </c>
      <c r="M189" s="529" t="s">
        <v>197</v>
      </c>
      <c r="N189" s="531" t="s">
        <v>655</v>
      </c>
      <c r="O189" s="525" t="s">
        <v>159</v>
      </c>
      <c r="P189" s="525" t="s">
        <v>197</v>
      </c>
      <c r="Q189" s="532" t="s">
        <v>663</v>
      </c>
      <c r="R189" s="532" t="s">
        <v>663</v>
      </c>
      <c r="S189" s="532" t="s">
        <v>663</v>
      </c>
      <c r="T189" s="525" t="s">
        <v>663</v>
      </c>
      <c r="U189" s="525" t="s">
        <v>663</v>
      </c>
      <c r="V189" s="532" t="s">
        <v>663</v>
      </c>
      <c r="W189" s="532" t="s">
        <v>663</v>
      </c>
      <c r="X189" s="532" t="s">
        <v>663</v>
      </c>
      <c r="Y189" s="532" t="s">
        <v>663</v>
      </c>
      <c r="Z189" s="532" t="s">
        <v>663</v>
      </c>
      <c r="AA189" s="532" t="s">
        <v>663</v>
      </c>
      <c r="AB189" s="525" t="str">
        <f t="shared" si="36"/>
        <v/>
      </c>
      <c r="AC189" s="525"/>
      <c r="AD189" s="533" t="str" cm="1">
        <f t="array" ref="AD189">IF(SUMPRODUCT(ISNUMBER(SEARCH("y",R189:AA189))+0)=0,"",IF(AA189="y","400G",IF(Z189="y","100G",IF(X189="y","40G",IF(V189="y","10G",IF(S189="y","1G",IF(R189="y","100M",""))))))&amp;" "&amp;AB189&amp;" "&amp;AC189)</f>
        <v/>
      </c>
      <c r="AE189" s="534" t="str">
        <f t="shared" si="35"/>
        <v/>
      </c>
      <c r="AF189" s="910" t="str">
        <f t="shared" si="25"/>
        <v>ns</v>
      </c>
      <c r="AG189" s="911" t="str">
        <f t="shared" si="26"/>
        <v>ns</v>
      </c>
      <c r="AH189" s="911" t="str">
        <f t="shared" si="34"/>
        <v>ns</v>
      </c>
      <c r="AI189" s="911" t="str">
        <f t="shared" si="27"/>
        <v>ns</v>
      </c>
      <c r="AJ189" s="911" t="str">
        <f t="shared" si="28"/>
        <v>ns</v>
      </c>
      <c r="AK189" s="921" t="str">
        <f t="shared" si="29"/>
        <v>ns</v>
      </c>
      <c r="AL189" s="908" t="str">
        <f t="shared" si="29"/>
        <v>ns</v>
      </c>
      <c r="AM189" s="909" t="str">
        <f t="shared" si="30"/>
        <v>ns</v>
      </c>
      <c r="AN189" s="908" t="str">
        <f t="shared" si="31"/>
        <v>ns</v>
      </c>
      <c r="AO189" s="908" t="str">
        <f t="shared" si="32"/>
        <v>ns</v>
      </c>
      <c r="AP189" s="908" t="str">
        <f t="shared" si="33"/>
        <v>ns</v>
      </c>
      <c r="AQ189" s="535"/>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row>
    <row r="190" spans="1:212" s="536" customFormat="1">
      <c r="A190" s="504">
        <v>190</v>
      </c>
      <c r="B190" s="525" t="s">
        <v>63</v>
      </c>
      <c r="C190" s="572">
        <v>326</v>
      </c>
      <c r="D190" s="526" t="s">
        <v>1459</v>
      </c>
      <c r="E190" s="525" t="s">
        <v>1460</v>
      </c>
      <c r="F190" s="525" t="s">
        <v>663</v>
      </c>
      <c r="G190" s="525" t="s">
        <v>764</v>
      </c>
      <c r="H190" s="527" t="s">
        <v>63</v>
      </c>
      <c r="I190" s="528" t="s">
        <v>1154</v>
      </c>
      <c r="J190" s="529" t="s">
        <v>1139</v>
      </c>
      <c r="K190" s="528" t="s">
        <v>197</v>
      </c>
      <c r="L190" s="530" t="s">
        <v>197</v>
      </c>
      <c r="M190" s="529" t="s">
        <v>197</v>
      </c>
      <c r="N190" s="531" t="s">
        <v>655</v>
      </c>
      <c r="O190" s="525" t="s">
        <v>159</v>
      </c>
      <c r="P190" s="525" t="s">
        <v>197</v>
      </c>
      <c r="Q190" s="532" t="s">
        <v>663</v>
      </c>
      <c r="R190" s="532" t="s">
        <v>663</v>
      </c>
      <c r="S190" s="532" t="s">
        <v>663</v>
      </c>
      <c r="T190" s="525" t="s">
        <v>663</v>
      </c>
      <c r="U190" s="525" t="s">
        <v>663</v>
      </c>
      <c r="V190" s="532" t="s">
        <v>663</v>
      </c>
      <c r="W190" s="532" t="s">
        <v>663</v>
      </c>
      <c r="X190" s="532" t="s">
        <v>663</v>
      </c>
      <c r="Y190" s="532" t="s">
        <v>663</v>
      </c>
      <c r="Z190" s="532" t="s">
        <v>663</v>
      </c>
      <c r="AA190" s="532" t="s">
        <v>663</v>
      </c>
      <c r="AB190" s="525" t="str">
        <f t="shared" si="36"/>
        <v/>
      </c>
      <c r="AC190" s="525"/>
      <c r="AD190" s="533" t="str" cm="1">
        <f t="array" ref="AD190">IF(SUMPRODUCT(ISNUMBER(SEARCH("y",R190:AA190))+0)=0,"",IF(AA190="y","400G",IF(Z190="y","100G",IF(X190="y","40G",IF(V190="y","10G",IF(S190="y","1G",IF(R190="y","100M",""))))))&amp;" "&amp;AB190&amp;" "&amp;AC190)</f>
        <v/>
      </c>
      <c r="AE190" s="534" t="str">
        <f t="shared" si="35"/>
        <v/>
      </c>
      <c r="AF190" s="910" t="str">
        <f t="shared" si="25"/>
        <v>ns</v>
      </c>
      <c r="AG190" s="911" t="str">
        <f t="shared" si="26"/>
        <v>ns</v>
      </c>
      <c r="AH190" s="911" t="str">
        <f t="shared" si="34"/>
        <v>ns</v>
      </c>
      <c r="AI190" s="911" t="str">
        <f t="shared" si="27"/>
        <v>ns</v>
      </c>
      <c r="AJ190" s="911" t="str">
        <f t="shared" si="28"/>
        <v>ns</v>
      </c>
      <c r="AK190" s="921" t="str">
        <f t="shared" si="29"/>
        <v>ns</v>
      </c>
      <c r="AL190" s="908" t="str">
        <f t="shared" si="29"/>
        <v>ns</v>
      </c>
      <c r="AM190" s="909" t="str">
        <f t="shared" si="30"/>
        <v>ns</v>
      </c>
      <c r="AN190" s="908" t="str">
        <f t="shared" si="31"/>
        <v>ns</v>
      </c>
      <c r="AO190" s="908" t="str">
        <f t="shared" si="32"/>
        <v>ns</v>
      </c>
      <c r="AP190" s="908" t="str">
        <f t="shared" si="33"/>
        <v>ns</v>
      </c>
      <c r="AQ190" s="535"/>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row>
    <row r="191" spans="1:212">
      <c r="A191" s="537">
        <v>191</v>
      </c>
      <c r="B191" s="537" t="s">
        <v>62</v>
      </c>
      <c r="C191" s="538">
        <v>307</v>
      </c>
      <c r="D191" s="537" t="s">
        <v>1171</v>
      </c>
      <c r="E191" s="537" t="s">
        <v>1461</v>
      </c>
      <c r="F191" s="537" t="s">
        <v>663</v>
      </c>
      <c r="G191" s="575" t="s">
        <v>475</v>
      </c>
      <c r="H191" s="539" t="s">
        <v>62</v>
      </c>
      <c r="I191" s="540" t="s">
        <v>1072</v>
      </c>
      <c r="J191" s="541" t="s">
        <v>1159</v>
      </c>
      <c r="K191" s="540" t="s">
        <v>1171</v>
      </c>
      <c r="L191" s="550" t="s">
        <v>1174</v>
      </c>
      <c r="M191" s="541" t="s">
        <v>788</v>
      </c>
      <c r="N191" s="543" t="s">
        <v>1160</v>
      </c>
      <c r="O191" s="544" t="s">
        <v>1462</v>
      </c>
      <c r="P191" s="537" t="s">
        <v>1231</v>
      </c>
      <c r="Q191" s="544" t="s">
        <v>663</v>
      </c>
      <c r="R191" s="544" t="s">
        <v>663</v>
      </c>
      <c r="S191" s="544" t="s">
        <v>663</v>
      </c>
      <c r="T191" s="537" t="s">
        <v>663</v>
      </c>
      <c r="U191" s="537" t="s">
        <v>663</v>
      </c>
      <c r="V191" s="544" t="s">
        <v>662</v>
      </c>
      <c r="W191" s="544" t="s">
        <v>663</v>
      </c>
      <c r="X191" s="544" t="s">
        <v>663</v>
      </c>
      <c r="Y191" s="544" t="s">
        <v>663</v>
      </c>
      <c r="Z191" s="544" t="s">
        <v>663</v>
      </c>
      <c r="AA191" s="544" t="s">
        <v>663</v>
      </c>
      <c r="AB191" s="537" t="str">
        <f t="shared" si="36"/>
        <v>PHY</v>
      </c>
      <c r="AC191" s="537" t="s">
        <v>1247</v>
      </c>
      <c r="AD191" s="545" t="str" cm="1">
        <f t="array" ref="AD191">IF(SUMPRODUCT(ISNUMBER(SEARCH("y",R191:AA191))+0)=0,"",IF(AA191="y","400G",IF(Z191="y","100G",IF(X191="y","40G",IF(V191="y","10G",IF(S191="y","1G",IF(R191="y","100M",""))))))&amp;" "&amp;AB191&amp;" "&amp;AC191)</f>
        <v>10G PHY SFP+</v>
      </c>
      <c r="AE191" s="546" t="str">
        <f t="shared" si="35"/>
        <v>AT-x6EM-2XS 10G PHY SFP+</v>
      </c>
      <c r="AF191" s="912" t="str">
        <f t="shared" si="25"/>
        <v>ns</v>
      </c>
      <c r="AG191" s="405" t="str">
        <f t="shared" si="26"/>
        <v>ns</v>
      </c>
      <c r="AH191" s="405" t="str">
        <f t="shared" si="34"/>
        <v>ns</v>
      </c>
      <c r="AI191" s="405" t="str">
        <f t="shared" si="27"/>
        <v>ns</v>
      </c>
      <c r="AJ191" s="405" t="str">
        <f t="shared" si="28"/>
        <v>ns</v>
      </c>
      <c r="AK191" s="922" t="str">
        <f t="shared" si="29"/>
        <v>.</v>
      </c>
      <c r="AL191" s="405" t="str">
        <f t="shared" si="29"/>
        <v>ns</v>
      </c>
      <c r="AM191" s="912" t="str">
        <f t="shared" si="30"/>
        <v>ns</v>
      </c>
      <c r="AN191" s="405" t="str">
        <f t="shared" si="31"/>
        <v>ns</v>
      </c>
      <c r="AO191" s="405" t="str">
        <f t="shared" si="32"/>
        <v>ns</v>
      </c>
      <c r="AP191" s="405" t="str">
        <f t="shared" si="33"/>
        <v>ns</v>
      </c>
      <c r="AQ191" s="547"/>
    </row>
    <row r="192" spans="1:212">
      <c r="A192" s="537">
        <v>192</v>
      </c>
      <c r="B192" s="537" t="s">
        <v>62</v>
      </c>
      <c r="C192" s="538">
        <v>330</v>
      </c>
      <c r="D192" s="537" t="s">
        <v>1463</v>
      </c>
      <c r="E192" s="537" t="s">
        <v>1464</v>
      </c>
      <c r="F192" s="537" t="s">
        <v>663</v>
      </c>
      <c r="G192" s="575" t="s">
        <v>475</v>
      </c>
      <c r="H192" s="539" t="s">
        <v>62</v>
      </c>
      <c r="I192" s="540" t="s">
        <v>1156</v>
      </c>
      <c r="J192" s="541" t="s">
        <v>1157</v>
      </c>
      <c r="K192" s="540" t="s">
        <v>197</v>
      </c>
      <c r="L192" s="550" t="s">
        <v>197</v>
      </c>
      <c r="M192" s="541" t="s">
        <v>197</v>
      </c>
      <c r="N192" s="543" t="s">
        <v>655</v>
      </c>
      <c r="O192" s="544" t="s">
        <v>1465</v>
      </c>
      <c r="P192" s="537" t="s">
        <v>1125</v>
      </c>
      <c r="Q192" s="544" t="s">
        <v>663</v>
      </c>
      <c r="R192" s="537" t="s">
        <v>662</v>
      </c>
      <c r="S192" s="537" t="s">
        <v>662</v>
      </c>
      <c r="T192" s="537" t="s">
        <v>663</v>
      </c>
      <c r="U192" s="537" t="s">
        <v>663</v>
      </c>
      <c r="V192" s="544" t="s">
        <v>663</v>
      </c>
      <c r="W192" s="544" t="s">
        <v>663</v>
      </c>
      <c r="X192" s="544" t="s">
        <v>663</v>
      </c>
      <c r="Y192" s="544" t="s">
        <v>663</v>
      </c>
      <c r="Z192" s="544" t="s">
        <v>663</v>
      </c>
      <c r="AA192" s="544" t="s">
        <v>663</v>
      </c>
      <c r="AB192" s="537" t="str">
        <f t="shared" si="36"/>
        <v>PHY</v>
      </c>
      <c r="AC192" s="537" t="s">
        <v>1206</v>
      </c>
      <c r="AD192" s="545" t="str" cm="1">
        <f t="array" ref="AD192">IF(SUMPRODUCT(ISNUMBER(SEARCH("y",R192:AA192))+0)=0,"",IF(AA192="y","400G",IF(Z192="y","100G",IF(X192="y","40G",IF(V192="y","10G",IF(S192="y","1G",IF(R192="y","100M",""))))))&amp;" "&amp;AB192&amp;" "&amp;AC192)</f>
        <v>1G PHY COMBO</v>
      </c>
      <c r="AE192" s="546" t="str">
        <f t="shared" si="35"/>
        <v/>
      </c>
      <c r="AF192" s="912" t="str">
        <f t="shared" si="25"/>
        <v>ns</v>
      </c>
      <c r="AG192" s="405" t="str">
        <f t="shared" si="26"/>
        <v>.</v>
      </c>
      <c r="AH192" s="405" t="str">
        <f t="shared" si="34"/>
        <v>.</v>
      </c>
      <c r="AI192" s="405" t="str">
        <f t="shared" si="27"/>
        <v>ns</v>
      </c>
      <c r="AJ192" s="405" t="str">
        <f t="shared" si="28"/>
        <v>ns</v>
      </c>
      <c r="AK192" s="922" t="str">
        <f t="shared" si="29"/>
        <v>ns</v>
      </c>
      <c r="AL192" s="405" t="str">
        <f t="shared" si="29"/>
        <v>ns</v>
      </c>
      <c r="AM192" s="912" t="str">
        <f t="shared" si="30"/>
        <v>ns</v>
      </c>
      <c r="AN192" s="405" t="str">
        <f t="shared" si="31"/>
        <v>ns</v>
      </c>
      <c r="AO192" s="405" t="str">
        <f t="shared" si="32"/>
        <v>ns</v>
      </c>
      <c r="AP192" s="405" t="str">
        <f t="shared" si="33"/>
        <v>ns</v>
      </c>
      <c r="AQ192" s="547"/>
    </row>
    <row r="193" spans="1:212">
      <c r="A193" s="537">
        <v>193</v>
      </c>
      <c r="B193" s="537" t="s">
        <v>62</v>
      </c>
      <c r="C193" s="538">
        <v>330</v>
      </c>
      <c r="D193" s="537" t="s">
        <v>1463</v>
      </c>
      <c r="E193" s="537" t="s">
        <v>1464</v>
      </c>
      <c r="F193" s="537" t="s">
        <v>663</v>
      </c>
      <c r="G193" s="575" t="s">
        <v>475</v>
      </c>
      <c r="H193" s="539" t="s">
        <v>62</v>
      </c>
      <c r="I193" s="540" t="s">
        <v>1156</v>
      </c>
      <c r="J193" s="541" t="s">
        <v>1159</v>
      </c>
      <c r="K193" s="540" t="s">
        <v>197</v>
      </c>
      <c r="L193" s="550" t="s">
        <v>197</v>
      </c>
      <c r="M193" s="541" t="s">
        <v>197</v>
      </c>
      <c r="N193" s="543" t="s">
        <v>1160</v>
      </c>
      <c r="O193" s="544" t="s">
        <v>1466</v>
      </c>
      <c r="P193" s="537" t="s">
        <v>1231</v>
      </c>
      <c r="Q193" s="544" t="s">
        <v>663</v>
      </c>
      <c r="R193" s="544" t="s">
        <v>663</v>
      </c>
      <c r="S193" s="544" t="s">
        <v>663</v>
      </c>
      <c r="T193" s="537" t="s">
        <v>663</v>
      </c>
      <c r="U193" s="537" t="s">
        <v>663</v>
      </c>
      <c r="V193" s="544" t="s">
        <v>662</v>
      </c>
      <c r="W193" s="544" t="s">
        <v>663</v>
      </c>
      <c r="X193" s="544" t="s">
        <v>663</v>
      </c>
      <c r="Y193" s="544" t="s">
        <v>663</v>
      </c>
      <c r="Z193" s="544" t="s">
        <v>663</v>
      </c>
      <c r="AA193" s="544" t="s">
        <v>663</v>
      </c>
      <c r="AB193" s="537" t="str">
        <f t="shared" si="36"/>
        <v>PHY</v>
      </c>
      <c r="AC193" s="537" t="s">
        <v>1192</v>
      </c>
      <c r="AD193" s="545" t="str" cm="1">
        <f t="array" ref="AD193">IF(SUMPRODUCT(ISNUMBER(SEARCH("y",R193:AA193))+0)=0,"",IF(AA193="y","400G",IF(Z193="y","100G",IF(X193="y","40G",IF(V193="y","10G",IF(S193="y","1G",IF(R193="y","100M",""))))))&amp;" "&amp;AB193&amp;" "&amp;AC193)</f>
        <v>10G PHY UPLINK</v>
      </c>
      <c r="AE193" s="546" t="str">
        <f t="shared" si="35"/>
        <v/>
      </c>
      <c r="AF193" s="912" t="str">
        <f t="shared" si="25"/>
        <v>ns</v>
      </c>
      <c r="AG193" s="405" t="str">
        <f t="shared" si="26"/>
        <v>ns</v>
      </c>
      <c r="AH193" s="405" t="str">
        <f t="shared" si="34"/>
        <v>ns</v>
      </c>
      <c r="AI193" s="405" t="str">
        <f t="shared" si="27"/>
        <v>ns</v>
      </c>
      <c r="AJ193" s="405" t="str">
        <f t="shared" si="28"/>
        <v>ns</v>
      </c>
      <c r="AK193" s="922" t="str">
        <f t="shared" si="29"/>
        <v>.</v>
      </c>
      <c r="AL193" s="405" t="str">
        <f t="shared" si="29"/>
        <v>ns</v>
      </c>
      <c r="AM193" s="912" t="str">
        <f t="shared" si="30"/>
        <v>ns</v>
      </c>
      <c r="AN193" s="405" t="str">
        <f t="shared" si="31"/>
        <v>ns</v>
      </c>
      <c r="AO193" s="405" t="str">
        <f t="shared" si="32"/>
        <v>ns</v>
      </c>
      <c r="AP193" s="405" t="str">
        <f t="shared" si="33"/>
        <v>ns</v>
      </c>
      <c r="AQ193" s="547"/>
    </row>
    <row r="194" spans="1:212">
      <c r="A194" s="537">
        <v>194</v>
      </c>
      <c r="B194" s="537" t="s">
        <v>62</v>
      </c>
      <c r="C194" s="538">
        <v>331</v>
      </c>
      <c r="D194" s="537" t="s">
        <v>1467</v>
      </c>
      <c r="E194" s="537" t="s">
        <v>1468</v>
      </c>
      <c r="F194" s="537" t="s">
        <v>663</v>
      </c>
      <c r="G194" s="575" t="s">
        <v>475</v>
      </c>
      <c r="H194" s="539" t="s">
        <v>62</v>
      </c>
      <c r="I194" s="540" t="s">
        <v>1156</v>
      </c>
      <c r="J194" s="541" t="s">
        <v>1157</v>
      </c>
      <c r="K194" s="540" t="s">
        <v>197</v>
      </c>
      <c r="L194" s="550" t="s">
        <v>197</v>
      </c>
      <c r="M194" s="541" t="s">
        <v>197</v>
      </c>
      <c r="N194" s="543" t="s">
        <v>655</v>
      </c>
      <c r="O194" s="544" t="s">
        <v>1465</v>
      </c>
      <c r="P194" s="537" t="s">
        <v>1125</v>
      </c>
      <c r="Q194" s="544" t="s">
        <v>663</v>
      </c>
      <c r="R194" s="537" t="s">
        <v>662</v>
      </c>
      <c r="S194" s="537" t="s">
        <v>662</v>
      </c>
      <c r="T194" s="537" t="s">
        <v>663</v>
      </c>
      <c r="U194" s="537" t="s">
        <v>663</v>
      </c>
      <c r="V194" s="544" t="s">
        <v>663</v>
      </c>
      <c r="W194" s="544" t="s">
        <v>663</v>
      </c>
      <c r="X194" s="544" t="s">
        <v>663</v>
      </c>
      <c r="Y194" s="544" t="s">
        <v>663</v>
      </c>
      <c r="Z194" s="544" t="s">
        <v>663</v>
      </c>
      <c r="AA194" s="544" t="s">
        <v>663</v>
      </c>
      <c r="AB194" s="537" t="str">
        <f t="shared" si="36"/>
        <v>PHY</v>
      </c>
      <c r="AC194" s="537" t="s">
        <v>1206</v>
      </c>
      <c r="AD194" s="545" t="str" cm="1">
        <f t="array" ref="AD194">IF(SUMPRODUCT(ISNUMBER(SEARCH("y",R194:AA194))+0)=0,"",IF(AA194="y","400G",IF(Z194="y","100G",IF(X194="y","40G",IF(V194="y","10G",IF(S194="y","1G",IF(R194="y","100M",""))))))&amp;" "&amp;AB194&amp;" "&amp;AC194)</f>
        <v>1G PHY COMBO</v>
      </c>
      <c r="AE194" s="546" t="str">
        <f t="shared" si="35"/>
        <v/>
      </c>
      <c r="AF194" s="912" t="str">
        <f t="shared" si="25"/>
        <v>ns</v>
      </c>
      <c r="AG194" s="405" t="str">
        <f t="shared" si="26"/>
        <v>.</v>
      </c>
      <c r="AH194" s="405" t="str">
        <f t="shared" si="34"/>
        <v>.</v>
      </c>
      <c r="AI194" s="405" t="str">
        <f t="shared" si="27"/>
        <v>ns</v>
      </c>
      <c r="AJ194" s="405" t="str">
        <f t="shared" si="28"/>
        <v>ns</v>
      </c>
      <c r="AK194" s="922" t="str">
        <f t="shared" si="29"/>
        <v>ns</v>
      </c>
      <c r="AL194" s="405" t="str">
        <f t="shared" si="29"/>
        <v>ns</v>
      </c>
      <c r="AM194" s="912" t="str">
        <f t="shared" si="30"/>
        <v>ns</v>
      </c>
      <c r="AN194" s="405" t="str">
        <f t="shared" si="31"/>
        <v>ns</v>
      </c>
      <c r="AO194" s="405" t="str">
        <f t="shared" si="32"/>
        <v>ns</v>
      </c>
      <c r="AP194" s="405" t="str">
        <f t="shared" si="33"/>
        <v>ns</v>
      </c>
      <c r="AQ194" s="547"/>
    </row>
    <row r="195" spans="1:212">
      <c r="A195" s="537">
        <v>195</v>
      </c>
      <c r="B195" s="537" t="s">
        <v>62</v>
      </c>
      <c r="C195" s="538">
        <v>332</v>
      </c>
      <c r="D195" s="537" t="s">
        <v>1469</v>
      </c>
      <c r="E195" s="537" t="s">
        <v>1470</v>
      </c>
      <c r="F195" s="537" t="s">
        <v>663</v>
      </c>
      <c r="G195" s="575" t="s">
        <v>475</v>
      </c>
      <c r="H195" s="539" t="s">
        <v>62</v>
      </c>
      <c r="I195" s="540" t="s">
        <v>1156</v>
      </c>
      <c r="J195" s="541" t="s">
        <v>1157</v>
      </c>
      <c r="K195" s="540" t="s">
        <v>197</v>
      </c>
      <c r="L195" s="550" t="s">
        <v>197</v>
      </c>
      <c r="M195" s="541" t="s">
        <v>197</v>
      </c>
      <c r="N195" s="543" t="s">
        <v>655</v>
      </c>
      <c r="O195" s="544" t="s">
        <v>1471</v>
      </c>
      <c r="P195" s="537" t="s">
        <v>1125</v>
      </c>
      <c r="Q195" s="544" t="s">
        <v>663</v>
      </c>
      <c r="R195" s="537" t="s">
        <v>662</v>
      </c>
      <c r="S195" s="537" t="s">
        <v>662</v>
      </c>
      <c r="T195" s="537" t="s">
        <v>663</v>
      </c>
      <c r="U195" s="537" t="s">
        <v>663</v>
      </c>
      <c r="V195" s="544" t="s">
        <v>663</v>
      </c>
      <c r="W195" s="544" t="s">
        <v>663</v>
      </c>
      <c r="X195" s="544" t="s">
        <v>663</v>
      </c>
      <c r="Y195" s="544" t="s">
        <v>663</v>
      </c>
      <c r="Z195" s="544" t="s">
        <v>663</v>
      </c>
      <c r="AA195" s="544" t="s">
        <v>663</v>
      </c>
      <c r="AB195" s="537" t="str">
        <f t="shared" si="36"/>
        <v>PHY</v>
      </c>
      <c r="AC195" s="537" t="s">
        <v>1206</v>
      </c>
      <c r="AD195" s="545" t="str" cm="1">
        <f t="array" ref="AD195">IF(SUMPRODUCT(ISNUMBER(SEARCH("y",R195:AA195))+0)=0,"",IF(AA195="y","400G",IF(Z195="y","100G",IF(X195="y","40G",IF(V195="y","10G",IF(S195="y","1G",IF(R195="y","100M",""))))))&amp;" "&amp;AB195&amp;" "&amp;AC195)</f>
        <v>1G PHY COMBO</v>
      </c>
      <c r="AE195" s="546" t="str">
        <f t="shared" si="35"/>
        <v/>
      </c>
      <c r="AF195" s="912" t="str">
        <f t="shared" ref="AF195:AF258" si="37">IF(Q195="n","ns",".")</f>
        <v>ns</v>
      </c>
      <c r="AG195" s="405" t="str">
        <f t="shared" ref="AG195:AG258" si="38">IF(R195="n","ns",".")</f>
        <v>.</v>
      </c>
      <c r="AH195" s="405" t="str">
        <f t="shared" si="34"/>
        <v>.</v>
      </c>
      <c r="AI195" s="405" t="str">
        <f t="shared" ref="AI195:AI258" si="39">IF(T195="n","ns",".")</f>
        <v>ns</v>
      </c>
      <c r="AJ195" s="405" t="str">
        <f t="shared" ref="AJ195:AJ258" si="40">IF(U195="n","ns",".")</f>
        <v>ns</v>
      </c>
      <c r="AK195" s="922" t="str">
        <f t="shared" ref="AK195:AL258" si="41">IF(V195="n","ns",".")</f>
        <v>ns</v>
      </c>
      <c r="AL195" s="405" t="str">
        <f t="shared" si="41"/>
        <v>ns</v>
      </c>
      <c r="AM195" s="912" t="str">
        <f t="shared" ref="AM195:AM258" si="42">IF(X195="n","ns",".")</f>
        <v>ns</v>
      </c>
      <c r="AN195" s="405" t="str">
        <f t="shared" ref="AN195:AN258" si="43">IF(Y195="n","ns",".")</f>
        <v>ns</v>
      </c>
      <c r="AO195" s="405" t="str">
        <f t="shared" ref="AO195:AO258" si="44">IF(Z195="n","ns",".")</f>
        <v>ns</v>
      </c>
      <c r="AP195" s="405" t="str">
        <f t="shared" ref="AP195:AP258" si="45">IF(AA195="n","ns",".")</f>
        <v>ns</v>
      </c>
      <c r="AQ195" s="547"/>
    </row>
    <row r="196" spans="1:212">
      <c r="A196" s="537">
        <v>196</v>
      </c>
      <c r="B196" s="537" t="s">
        <v>62</v>
      </c>
      <c r="C196" s="538">
        <v>332</v>
      </c>
      <c r="D196" s="537" t="s">
        <v>1469</v>
      </c>
      <c r="E196" s="537" t="s">
        <v>1470</v>
      </c>
      <c r="F196" s="537" t="s">
        <v>663</v>
      </c>
      <c r="G196" s="575" t="s">
        <v>475</v>
      </c>
      <c r="H196" s="539" t="s">
        <v>62</v>
      </c>
      <c r="I196" s="540" t="s">
        <v>1156</v>
      </c>
      <c r="J196" s="541" t="s">
        <v>1159</v>
      </c>
      <c r="K196" s="540" t="s">
        <v>197</v>
      </c>
      <c r="L196" s="550" t="s">
        <v>197</v>
      </c>
      <c r="M196" s="541" t="s">
        <v>197</v>
      </c>
      <c r="N196" s="543" t="s">
        <v>1160</v>
      </c>
      <c r="O196" s="544" t="s">
        <v>1472</v>
      </c>
      <c r="P196" s="537" t="s">
        <v>1231</v>
      </c>
      <c r="Q196" s="544" t="s">
        <v>663</v>
      </c>
      <c r="R196" s="544" t="s">
        <v>663</v>
      </c>
      <c r="S196" s="544" t="s">
        <v>663</v>
      </c>
      <c r="T196" s="537" t="s">
        <v>663</v>
      </c>
      <c r="U196" s="537" t="s">
        <v>663</v>
      </c>
      <c r="V196" s="544" t="s">
        <v>662</v>
      </c>
      <c r="W196" s="544" t="s">
        <v>663</v>
      </c>
      <c r="X196" s="544" t="s">
        <v>663</v>
      </c>
      <c r="Y196" s="544" t="s">
        <v>663</v>
      </c>
      <c r="Z196" s="544" t="s">
        <v>663</v>
      </c>
      <c r="AA196" s="544" t="s">
        <v>663</v>
      </c>
      <c r="AB196" s="537" t="str">
        <f t="shared" si="36"/>
        <v>PHY</v>
      </c>
      <c r="AC196" s="537" t="s">
        <v>1192</v>
      </c>
      <c r="AD196" s="545" t="str" cm="1">
        <f t="array" ref="AD196">IF(SUMPRODUCT(ISNUMBER(SEARCH("y",R196:AA196))+0)=0,"",IF(AA196="y","400G",IF(Z196="y","100G",IF(X196="y","40G",IF(V196="y","10G",IF(S196="y","1G",IF(R196="y","100M",""))))))&amp;" "&amp;AB196&amp;" "&amp;AC196)</f>
        <v>10G PHY UPLINK</v>
      </c>
      <c r="AE196" s="546" t="str">
        <f t="shared" si="35"/>
        <v/>
      </c>
      <c r="AF196" s="912" t="str">
        <f t="shared" si="37"/>
        <v>ns</v>
      </c>
      <c r="AG196" s="405" t="str">
        <f t="shared" si="38"/>
        <v>ns</v>
      </c>
      <c r="AH196" s="405" t="str">
        <f t="shared" ref="AH196:AH259" si="46">IF(S196="n","ns",".")</f>
        <v>ns</v>
      </c>
      <c r="AI196" s="405" t="str">
        <f t="shared" si="39"/>
        <v>ns</v>
      </c>
      <c r="AJ196" s="405" t="str">
        <f t="shared" si="40"/>
        <v>ns</v>
      </c>
      <c r="AK196" s="922" t="str">
        <f t="shared" si="41"/>
        <v>.</v>
      </c>
      <c r="AL196" s="405" t="str">
        <f t="shared" si="41"/>
        <v>ns</v>
      </c>
      <c r="AM196" s="912" t="str">
        <f t="shared" si="42"/>
        <v>ns</v>
      </c>
      <c r="AN196" s="405" t="str">
        <f t="shared" si="43"/>
        <v>ns</v>
      </c>
      <c r="AO196" s="405" t="str">
        <f t="shared" si="44"/>
        <v>ns</v>
      </c>
      <c r="AP196" s="405" t="str">
        <f t="shared" si="45"/>
        <v>ns</v>
      </c>
      <c r="AQ196" s="547"/>
    </row>
    <row r="197" spans="1:212">
      <c r="A197" s="537">
        <v>197</v>
      </c>
      <c r="B197" s="537" t="s">
        <v>62</v>
      </c>
      <c r="C197" s="538">
        <v>333</v>
      </c>
      <c r="D197" s="537" t="s">
        <v>1473</v>
      </c>
      <c r="E197" s="537" t="s">
        <v>1474</v>
      </c>
      <c r="F197" s="537" t="s">
        <v>663</v>
      </c>
      <c r="G197" s="575" t="s">
        <v>475</v>
      </c>
      <c r="H197" s="539" t="s">
        <v>62</v>
      </c>
      <c r="I197" s="540" t="s">
        <v>1156</v>
      </c>
      <c r="J197" s="541" t="s">
        <v>1157</v>
      </c>
      <c r="K197" s="540" t="s">
        <v>197</v>
      </c>
      <c r="L197" s="550" t="s">
        <v>197</v>
      </c>
      <c r="M197" s="541" t="s">
        <v>197</v>
      </c>
      <c r="N197" s="543" t="s">
        <v>655</v>
      </c>
      <c r="O197" s="544" t="s">
        <v>1471</v>
      </c>
      <c r="P197" s="537" t="s">
        <v>1125</v>
      </c>
      <c r="Q197" s="544" t="s">
        <v>663</v>
      </c>
      <c r="R197" s="537" t="s">
        <v>662</v>
      </c>
      <c r="S197" s="537" t="s">
        <v>662</v>
      </c>
      <c r="T197" s="537" t="s">
        <v>663</v>
      </c>
      <c r="U197" s="537" t="s">
        <v>663</v>
      </c>
      <c r="V197" s="544" t="s">
        <v>663</v>
      </c>
      <c r="W197" s="544" t="s">
        <v>663</v>
      </c>
      <c r="X197" s="544" t="s">
        <v>663</v>
      </c>
      <c r="Y197" s="544" t="s">
        <v>663</v>
      </c>
      <c r="Z197" s="544" t="s">
        <v>663</v>
      </c>
      <c r="AA197" s="544" t="s">
        <v>663</v>
      </c>
      <c r="AB197" s="537" t="str">
        <f t="shared" si="36"/>
        <v>PHY</v>
      </c>
      <c r="AC197" s="537" t="s">
        <v>1206</v>
      </c>
      <c r="AD197" s="545" t="str" cm="1">
        <f t="array" ref="AD197">IF(SUMPRODUCT(ISNUMBER(SEARCH("y",R197:AA197))+0)=0,"",IF(AA197="y","400G",IF(Z197="y","100G",IF(X197="y","40G",IF(V197="y","10G",IF(S197="y","1G",IF(R197="y","100M",""))))))&amp;" "&amp;AB197&amp;" "&amp;AC197)</f>
        <v>1G PHY COMBO</v>
      </c>
      <c r="AE197" s="546" t="str">
        <f t="shared" si="35"/>
        <v/>
      </c>
      <c r="AF197" s="912" t="str">
        <f t="shared" si="37"/>
        <v>ns</v>
      </c>
      <c r="AG197" s="405" t="str">
        <f t="shared" si="38"/>
        <v>.</v>
      </c>
      <c r="AH197" s="405" t="str">
        <f t="shared" si="46"/>
        <v>.</v>
      </c>
      <c r="AI197" s="405" t="str">
        <f t="shared" si="39"/>
        <v>ns</v>
      </c>
      <c r="AJ197" s="405" t="str">
        <f t="shared" si="40"/>
        <v>ns</v>
      </c>
      <c r="AK197" s="922" t="str">
        <f t="shared" si="41"/>
        <v>ns</v>
      </c>
      <c r="AL197" s="405" t="str">
        <f t="shared" si="41"/>
        <v>ns</v>
      </c>
      <c r="AM197" s="912" t="str">
        <f t="shared" si="42"/>
        <v>ns</v>
      </c>
      <c r="AN197" s="405" t="str">
        <f t="shared" si="43"/>
        <v>ns</v>
      </c>
      <c r="AO197" s="405" t="str">
        <f t="shared" si="44"/>
        <v>ns</v>
      </c>
      <c r="AP197" s="405" t="str">
        <f t="shared" si="45"/>
        <v>ns</v>
      </c>
      <c r="AQ197" s="547"/>
    </row>
    <row r="198" spans="1:212">
      <c r="A198" s="537">
        <v>198</v>
      </c>
      <c r="B198" s="537" t="s">
        <v>62</v>
      </c>
      <c r="C198" s="538">
        <v>338</v>
      </c>
      <c r="D198" s="537" t="s">
        <v>1475</v>
      </c>
      <c r="E198" s="537" t="s">
        <v>1476</v>
      </c>
      <c r="F198" s="537" t="s">
        <v>663</v>
      </c>
      <c r="G198" s="575" t="s">
        <v>475</v>
      </c>
      <c r="H198" s="539" t="s">
        <v>62</v>
      </c>
      <c r="I198" s="540" t="s">
        <v>1156</v>
      </c>
      <c r="J198" s="541" t="s">
        <v>1157</v>
      </c>
      <c r="K198" s="540" t="s">
        <v>197</v>
      </c>
      <c r="L198" s="550" t="s">
        <v>197</v>
      </c>
      <c r="M198" s="541" t="s">
        <v>197</v>
      </c>
      <c r="N198" s="543" t="s">
        <v>655</v>
      </c>
      <c r="O198" s="544" t="s">
        <v>1465</v>
      </c>
      <c r="P198" s="537" t="s">
        <v>1125</v>
      </c>
      <c r="Q198" s="544" t="s">
        <v>663</v>
      </c>
      <c r="R198" s="537" t="s">
        <v>662</v>
      </c>
      <c r="S198" s="537" t="s">
        <v>662</v>
      </c>
      <c r="T198" s="537" t="s">
        <v>663</v>
      </c>
      <c r="U198" s="537" t="s">
        <v>663</v>
      </c>
      <c r="V198" s="544" t="s">
        <v>663</v>
      </c>
      <c r="W198" s="544" t="s">
        <v>663</v>
      </c>
      <c r="X198" s="544" t="s">
        <v>663</v>
      </c>
      <c r="Y198" s="544" t="s">
        <v>663</v>
      </c>
      <c r="Z198" s="544" t="s">
        <v>663</v>
      </c>
      <c r="AA198" s="544" t="s">
        <v>663</v>
      </c>
      <c r="AB198" s="537" t="str">
        <f t="shared" si="36"/>
        <v>PHY</v>
      </c>
      <c r="AC198" s="537" t="s">
        <v>1206</v>
      </c>
      <c r="AD198" s="545" t="str" cm="1">
        <f t="array" ref="AD198">IF(SUMPRODUCT(ISNUMBER(SEARCH("y",R198:AA198))+0)=0,"",IF(AA198="y","400G",IF(Z198="y","100G",IF(X198="y","40G",IF(V198="y","10G",IF(S198="y","1G",IF(R198="y","100M",""))))))&amp;" "&amp;AB198&amp;" "&amp;AC198)</f>
        <v>1G PHY COMBO</v>
      </c>
      <c r="AE198" s="546" t="str">
        <f t="shared" si="35"/>
        <v/>
      </c>
      <c r="AF198" s="912" t="str">
        <f t="shared" si="37"/>
        <v>ns</v>
      </c>
      <c r="AG198" s="405" t="str">
        <f t="shared" si="38"/>
        <v>.</v>
      </c>
      <c r="AH198" s="405" t="str">
        <f t="shared" si="46"/>
        <v>.</v>
      </c>
      <c r="AI198" s="405" t="str">
        <f t="shared" si="39"/>
        <v>ns</v>
      </c>
      <c r="AJ198" s="405" t="str">
        <f t="shared" si="40"/>
        <v>ns</v>
      </c>
      <c r="AK198" s="922" t="str">
        <f t="shared" si="41"/>
        <v>ns</v>
      </c>
      <c r="AL198" s="405" t="str">
        <f t="shared" si="41"/>
        <v>ns</v>
      </c>
      <c r="AM198" s="912" t="str">
        <f t="shared" si="42"/>
        <v>ns</v>
      </c>
      <c r="AN198" s="405" t="str">
        <f t="shared" si="43"/>
        <v>ns</v>
      </c>
      <c r="AO198" s="405" t="str">
        <f t="shared" si="44"/>
        <v>ns</v>
      </c>
      <c r="AP198" s="405" t="str">
        <f t="shared" si="45"/>
        <v>ns</v>
      </c>
      <c r="AQ198" s="547"/>
    </row>
    <row r="199" spans="1:212">
      <c r="A199" s="537">
        <v>199</v>
      </c>
      <c r="B199" s="537" t="s">
        <v>62</v>
      </c>
      <c r="C199" s="538">
        <v>338</v>
      </c>
      <c r="D199" s="537" t="s">
        <v>1475</v>
      </c>
      <c r="E199" s="537" t="s">
        <v>1476</v>
      </c>
      <c r="F199" s="537" t="s">
        <v>663</v>
      </c>
      <c r="G199" s="575" t="s">
        <v>475</v>
      </c>
      <c r="H199" s="539" t="s">
        <v>62</v>
      </c>
      <c r="I199" s="540" t="s">
        <v>1156</v>
      </c>
      <c r="J199" s="541" t="s">
        <v>1159</v>
      </c>
      <c r="K199" s="540" t="s">
        <v>197</v>
      </c>
      <c r="L199" s="550" t="s">
        <v>197</v>
      </c>
      <c r="M199" s="541" t="s">
        <v>197</v>
      </c>
      <c r="N199" s="543" t="s">
        <v>1160</v>
      </c>
      <c r="O199" s="544" t="s">
        <v>1466</v>
      </c>
      <c r="P199" s="537" t="s">
        <v>1231</v>
      </c>
      <c r="Q199" s="544" t="s">
        <v>663</v>
      </c>
      <c r="R199" s="544" t="s">
        <v>663</v>
      </c>
      <c r="S199" s="544" t="s">
        <v>663</v>
      </c>
      <c r="T199" s="537" t="s">
        <v>663</v>
      </c>
      <c r="U199" s="537" t="s">
        <v>663</v>
      </c>
      <c r="V199" s="544" t="s">
        <v>662</v>
      </c>
      <c r="W199" s="544" t="s">
        <v>663</v>
      </c>
      <c r="X199" s="544" t="s">
        <v>663</v>
      </c>
      <c r="Y199" s="544" t="s">
        <v>663</v>
      </c>
      <c r="Z199" s="544" t="s">
        <v>663</v>
      </c>
      <c r="AA199" s="544" t="s">
        <v>663</v>
      </c>
      <c r="AB199" s="537" t="str">
        <f t="shared" si="36"/>
        <v>PHY</v>
      </c>
      <c r="AC199" s="537" t="s">
        <v>1192</v>
      </c>
      <c r="AD199" s="545" t="str" cm="1">
        <f t="array" ref="AD199">IF(SUMPRODUCT(ISNUMBER(SEARCH("y",R199:AA199))+0)=0,"",IF(AA199="y","400G",IF(Z199="y","100G",IF(X199="y","40G",IF(V199="y","10G",IF(S199="y","1G",IF(R199="y","100M",""))))))&amp;" "&amp;AB199&amp;" "&amp;AC199)</f>
        <v>10G PHY UPLINK</v>
      </c>
      <c r="AE199" s="546" t="str">
        <f t="shared" si="35"/>
        <v/>
      </c>
      <c r="AF199" s="912" t="str">
        <f t="shared" si="37"/>
        <v>ns</v>
      </c>
      <c r="AG199" s="405" t="str">
        <f t="shared" si="38"/>
        <v>ns</v>
      </c>
      <c r="AH199" s="405" t="str">
        <f t="shared" si="46"/>
        <v>ns</v>
      </c>
      <c r="AI199" s="405" t="str">
        <f t="shared" si="39"/>
        <v>ns</v>
      </c>
      <c r="AJ199" s="405" t="str">
        <f t="shared" si="40"/>
        <v>ns</v>
      </c>
      <c r="AK199" s="922" t="str">
        <f t="shared" si="41"/>
        <v>.</v>
      </c>
      <c r="AL199" s="405" t="str">
        <f t="shared" si="41"/>
        <v>ns</v>
      </c>
      <c r="AM199" s="912" t="str">
        <f t="shared" si="42"/>
        <v>ns</v>
      </c>
      <c r="AN199" s="405" t="str">
        <f t="shared" si="43"/>
        <v>ns</v>
      </c>
      <c r="AO199" s="405" t="str">
        <f t="shared" si="44"/>
        <v>ns</v>
      </c>
      <c r="AP199" s="405" t="str">
        <f t="shared" si="45"/>
        <v>ns</v>
      </c>
      <c r="AQ199" s="547"/>
    </row>
    <row r="200" spans="1:212">
      <c r="A200" s="537">
        <v>200</v>
      </c>
      <c r="B200" s="537" t="s">
        <v>62</v>
      </c>
      <c r="C200" s="538">
        <v>339</v>
      </c>
      <c r="D200" s="537" t="s">
        <v>1477</v>
      </c>
      <c r="E200" s="537" t="s">
        <v>1478</v>
      </c>
      <c r="F200" s="537" t="s">
        <v>663</v>
      </c>
      <c r="G200" s="575" t="s">
        <v>475</v>
      </c>
      <c r="H200" s="539" t="s">
        <v>62</v>
      </c>
      <c r="I200" s="540" t="s">
        <v>1156</v>
      </c>
      <c r="J200" s="541" t="s">
        <v>1157</v>
      </c>
      <c r="K200" s="540" t="s">
        <v>197</v>
      </c>
      <c r="L200" s="550" t="s">
        <v>197</v>
      </c>
      <c r="M200" s="541" t="s">
        <v>197</v>
      </c>
      <c r="N200" s="543" t="s">
        <v>655</v>
      </c>
      <c r="O200" s="544" t="s">
        <v>1465</v>
      </c>
      <c r="P200" s="537" t="s">
        <v>1125</v>
      </c>
      <c r="Q200" s="544" t="s">
        <v>663</v>
      </c>
      <c r="R200" s="537" t="s">
        <v>662</v>
      </c>
      <c r="S200" s="537" t="s">
        <v>662</v>
      </c>
      <c r="T200" s="537" t="s">
        <v>663</v>
      </c>
      <c r="U200" s="537" t="s">
        <v>663</v>
      </c>
      <c r="V200" s="544" t="s">
        <v>663</v>
      </c>
      <c r="W200" s="544" t="s">
        <v>663</v>
      </c>
      <c r="X200" s="544" t="s">
        <v>663</v>
      </c>
      <c r="Y200" s="544" t="s">
        <v>663</v>
      </c>
      <c r="Z200" s="544" t="s">
        <v>663</v>
      </c>
      <c r="AA200" s="544" t="s">
        <v>663</v>
      </c>
      <c r="AB200" s="537" t="str">
        <f t="shared" si="36"/>
        <v>PHY</v>
      </c>
      <c r="AC200" s="537" t="s">
        <v>1206</v>
      </c>
      <c r="AD200" s="545" t="str" cm="1">
        <f t="array" ref="AD200">IF(SUMPRODUCT(ISNUMBER(SEARCH("y",R200:AA200))+0)=0,"",IF(AA200="y","400G",IF(Z200="y","100G",IF(X200="y","40G",IF(V200="y","10G",IF(S200="y","1G",IF(R200="y","100M",""))))))&amp;" "&amp;AB200&amp;" "&amp;AC200)</f>
        <v>1G PHY COMBO</v>
      </c>
      <c r="AE200" s="546" t="str">
        <f t="shared" si="35"/>
        <v/>
      </c>
      <c r="AF200" s="912" t="str">
        <f t="shared" si="37"/>
        <v>ns</v>
      </c>
      <c r="AG200" s="405" t="str">
        <f t="shared" si="38"/>
        <v>.</v>
      </c>
      <c r="AH200" s="405" t="str">
        <f t="shared" si="46"/>
        <v>.</v>
      </c>
      <c r="AI200" s="405" t="str">
        <f t="shared" si="39"/>
        <v>ns</v>
      </c>
      <c r="AJ200" s="405" t="str">
        <f t="shared" si="40"/>
        <v>ns</v>
      </c>
      <c r="AK200" s="922" t="str">
        <f t="shared" si="41"/>
        <v>ns</v>
      </c>
      <c r="AL200" s="405" t="str">
        <f t="shared" si="41"/>
        <v>ns</v>
      </c>
      <c r="AM200" s="912" t="str">
        <f t="shared" si="42"/>
        <v>ns</v>
      </c>
      <c r="AN200" s="405" t="str">
        <f t="shared" si="43"/>
        <v>ns</v>
      </c>
      <c r="AO200" s="405" t="str">
        <f t="shared" si="44"/>
        <v>ns</v>
      </c>
      <c r="AP200" s="405" t="str">
        <f t="shared" si="45"/>
        <v>ns</v>
      </c>
      <c r="AQ200" s="547"/>
    </row>
    <row r="201" spans="1:212">
      <c r="A201" s="537">
        <v>201</v>
      </c>
      <c r="B201" s="537" t="s">
        <v>62</v>
      </c>
      <c r="C201" s="538">
        <v>340</v>
      </c>
      <c r="D201" s="537" t="s">
        <v>1479</v>
      </c>
      <c r="E201" s="537" t="s">
        <v>1480</v>
      </c>
      <c r="F201" s="537" t="s">
        <v>663</v>
      </c>
      <c r="G201" s="575" t="s">
        <v>475</v>
      </c>
      <c r="H201" s="539" t="s">
        <v>62</v>
      </c>
      <c r="I201" s="540" t="s">
        <v>1156</v>
      </c>
      <c r="J201" s="541" t="s">
        <v>1157</v>
      </c>
      <c r="K201" s="540" t="s">
        <v>197</v>
      </c>
      <c r="L201" s="550" t="s">
        <v>197</v>
      </c>
      <c r="M201" s="541" t="s">
        <v>197</v>
      </c>
      <c r="N201" s="543" t="s">
        <v>655</v>
      </c>
      <c r="O201" s="544" t="s">
        <v>1471</v>
      </c>
      <c r="P201" s="537" t="s">
        <v>1125</v>
      </c>
      <c r="Q201" s="544" t="s">
        <v>663</v>
      </c>
      <c r="R201" s="537" t="s">
        <v>662</v>
      </c>
      <c r="S201" s="537" t="s">
        <v>662</v>
      </c>
      <c r="T201" s="537" t="s">
        <v>663</v>
      </c>
      <c r="U201" s="537" t="s">
        <v>663</v>
      </c>
      <c r="V201" s="544" t="s">
        <v>663</v>
      </c>
      <c r="W201" s="544" t="s">
        <v>663</v>
      </c>
      <c r="X201" s="544" t="s">
        <v>663</v>
      </c>
      <c r="Y201" s="544" t="s">
        <v>663</v>
      </c>
      <c r="Z201" s="544" t="s">
        <v>663</v>
      </c>
      <c r="AA201" s="544" t="s">
        <v>663</v>
      </c>
      <c r="AB201" s="537" t="str">
        <f t="shared" si="36"/>
        <v>PHY</v>
      </c>
      <c r="AC201" s="537" t="s">
        <v>1206</v>
      </c>
      <c r="AD201" s="545" t="str" cm="1">
        <f t="array" ref="AD201">IF(SUMPRODUCT(ISNUMBER(SEARCH("y",R201:AA201))+0)=0,"",IF(AA201="y","400G",IF(Z201="y","100G",IF(X201="y","40G",IF(V201="y","10G",IF(S201="y","1G",IF(R201="y","100M",""))))))&amp;" "&amp;AB201&amp;" "&amp;AC201)</f>
        <v>1G PHY COMBO</v>
      </c>
      <c r="AE201" s="546" t="str">
        <f t="shared" ref="AE201:AE237" si="47">IF(K201="-","",_xlfn.CONCAT(K201," ",AD201))</f>
        <v/>
      </c>
      <c r="AF201" s="912" t="str">
        <f t="shared" si="37"/>
        <v>ns</v>
      </c>
      <c r="AG201" s="405" t="str">
        <f t="shared" si="38"/>
        <v>.</v>
      </c>
      <c r="AH201" s="405" t="str">
        <f t="shared" si="46"/>
        <v>.</v>
      </c>
      <c r="AI201" s="405" t="str">
        <f t="shared" si="39"/>
        <v>ns</v>
      </c>
      <c r="AJ201" s="405" t="str">
        <f t="shared" si="40"/>
        <v>ns</v>
      </c>
      <c r="AK201" s="922" t="str">
        <f t="shared" si="41"/>
        <v>ns</v>
      </c>
      <c r="AL201" s="405" t="str">
        <f t="shared" si="41"/>
        <v>ns</v>
      </c>
      <c r="AM201" s="912" t="str">
        <f t="shared" si="42"/>
        <v>ns</v>
      </c>
      <c r="AN201" s="405" t="str">
        <f t="shared" si="43"/>
        <v>ns</v>
      </c>
      <c r="AO201" s="405" t="str">
        <f t="shared" si="44"/>
        <v>ns</v>
      </c>
      <c r="AP201" s="405" t="str">
        <f t="shared" si="45"/>
        <v>ns</v>
      </c>
      <c r="AQ201" s="547"/>
    </row>
    <row r="202" spans="1:212">
      <c r="A202" s="537">
        <v>202</v>
      </c>
      <c r="B202" s="537" t="s">
        <v>62</v>
      </c>
      <c r="C202" s="538">
        <v>340</v>
      </c>
      <c r="D202" s="537" t="s">
        <v>1479</v>
      </c>
      <c r="E202" s="537" t="s">
        <v>1480</v>
      </c>
      <c r="F202" s="537" t="s">
        <v>663</v>
      </c>
      <c r="G202" s="575" t="s">
        <v>475</v>
      </c>
      <c r="H202" s="539" t="s">
        <v>62</v>
      </c>
      <c r="I202" s="540" t="s">
        <v>1156</v>
      </c>
      <c r="J202" s="541" t="s">
        <v>1159</v>
      </c>
      <c r="K202" s="540" t="s">
        <v>197</v>
      </c>
      <c r="L202" s="550" t="s">
        <v>197</v>
      </c>
      <c r="M202" s="541" t="s">
        <v>197</v>
      </c>
      <c r="N202" s="543" t="s">
        <v>1160</v>
      </c>
      <c r="O202" s="544" t="s">
        <v>1472</v>
      </c>
      <c r="P202" s="537" t="s">
        <v>1231</v>
      </c>
      <c r="Q202" s="544" t="s">
        <v>663</v>
      </c>
      <c r="R202" s="544" t="s">
        <v>663</v>
      </c>
      <c r="S202" s="544" t="s">
        <v>663</v>
      </c>
      <c r="T202" s="537" t="s">
        <v>663</v>
      </c>
      <c r="U202" s="537" t="s">
        <v>663</v>
      </c>
      <c r="V202" s="544" t="s">
        <v>662</v>
      </c>
      <c r="W202" s="544" t="s">
        <v>663</v>
      </c>
      <c r="X202" s="544" t="s">
        <v>663</v>
      </c>
      <c r="Y202" s="544" t="s">
        <v>663</v>
      </c>
      <c r="Z202" s="544" t="s">
        <v>663</v>
      </c>
      <c r="AA202" s="544" t="s">
        <v>663</v>
      </c>
      <c r="AB202" s="537" t="str">
        <f t="shared" si="36"/>
        <v>PHY</v>
      </c>
      <c r="AC202" s="537" t="s">
        <v>1192</v>
      </c>
      <c r="AD202" s="545" t="str" cm="1">
        <f t="array" ref="AD202">IF(SUMPRODUCT(ISNUMBER(SEARCH("y",R202:AA202))+0)=0,"",IF(AA202="y","400G",IF(Z202="y","100G",IF(X202="y","40G",IF(V202="y","10G",IF(S202="y","1G",IF(R202="y","100M",""))))))&amp;" "&amp;AB202&amp;" "&amp;AC202)</f>
        <v>10G PHY UPLINK</v>
      </c>
      <c r="AE202" s="546" t="str">
        <f t="shared" si="47"/>
        <v/>
      </c>
      <c r="AF202" s="912" t="str">
        <f t="shared" si="37"/>
        <v>ns</v>
      </c>
      <c r="AG202" s="405" t="str">
        <f t="shared" si="38"/>
        <v>ns</v>
      </c>
      <c r="AH202" s="405" t="str">
        <f t="shared" si="46"/>
        <v>ns</v>
      </c>
      <c r="AI202" s="405" t="str">
        <f t="shared" si="39"/>
        <v>ns</v>
      </c>
      <c r="AJ202" s="405" t="str">
        <f t="shared" si="40"/>
        <v>ns</v>
      </c>
      <c r="AK202" s="922" t="str">
        <f t="shared" si="41"/>
        <v>.</v>
      </c>
      <c r="AL202" s="405" t="str">
        <f t="shared" si="41"/>
        <v>ns</v>
      </c>
      <c r="AM202" s="912" t="str">
        <f t="shared" si="42"/>
        <v>ns</v>
      </c>
      <c r="AN202" s="405" t="str">
        <f t="shared" si="43"/>
        <v>ns</v>
      </c>
      <c r="AO202" s="405" t="str">
        <f t="shared" si="44"/>
        <v>ns</v>
      </c>
      <c r="AP202" s="405" t="str">
        <f t="shared" si="45"/>
        <v>ns</v>
      </c>
      <c r="AQ202" s="547"/>
    </row>
    <row r="203" spans="1:212">
      <c r="A203" s="537">
        <v>203</v>
      </c>
      <c r="B203" s="537" t="s">
        <v>62</v>
      </c>
      <c r="C203" s="538">
        <v>341</v>
      </c>
      <c r="D203" s="537" t="s">
        <v>1481</v>
      </c>
      <c r="E203" s="537" t="s">
        <v>1482</v>
      </c>
      <c r="F203" s="537" t="s">
        <v>663</v>
      </c>
      <c r="G203" s="575" t="s">
        <v>475</v>
      </c>
      <c r="H203" s="539" t="s">
        <v>62</v>
      </c>
      <c r="I203" s="540" t="s">
        <v>1156</v>
      </c>
      <c r="J203" s="541" t="s">
        <v>1157</v>
      </c>
      <c r="K203" s="540" t="s">
        <v>197</v>
      </c>
      <c r="L203" s="550" t="s">
        <v>197</v>
      </c>
      <c r="M203" s="541" t="s">
        <v>197</v>
      </c>
      <c r="N203" s="543" t="s">
        <v>655</v>
      </c>
      <c r="O203" s="544" t="s">
        <v>1471</v>
      </c>
      <c r="P203" s="537" t="s">
        <v>1125</v>
      </c>
      <c r="Q203" s="544" t="s">
        <v>663</v>
      </c>
      <c r="R203" s="537" t="s">
        <v>662</v>
      </c>
      <c r="S203" s="537" t="s">
        <v>662</v>
      </c>
      <c r="T203" s="537" t="s">
        <v>663</v>
      </c>
      <c r="U203" s="537" t="s">
        <v>663</v>
      </c>
      <c r="V203" s="544" t="s">
        <v>663</v>
      </c>
      <c r="W203" s="544" t="s">
        <v>663</v>
      </c>
      <c r="X203" s="544" t="s">
        <v>663</v>
      </c>
      <c r="Y203" s="544" t="s">
        <v>663</v>
      </c>
      <c r="Z203" s="544" t="s">
        <v>663</v>
      </c>
      <c r="AA203" s="544" t="s">
        <v>663</v>
      </c>
      <c r="AB203" s="537" t="str">
        <f t="shared" si="36"/>
        <v>PHY</v>
      </c>
      <c r="AC203" s="537" t="s">
        <v>1206</v>
      </c>
      <c r="AD203" s="545" t="str" cm="1">
        <f t="array" ref="AD203">IF(SUMPRODUCT(ISNUMBER(SEARCH("y",R203:AA203))+0)=0,"",IF(AA203="y","400G",IF(Z203="y","100G",IF(X203="y","40G",IF(V203="y","10G",IF(S203="y","1G",IF(R203="y","100M",""))))))&amp;" "&amp;AB203&amp;" "&amp;AC203)</f>
        <v>1G PHY COMBO</v>
      </c>
      <c r="AE203" s="546" t="str">
        <f t="shared" si="47"/>
        <v/>
      </c>
      <c r="AF203" s="912" t="str">
        <f t="shared" si="37"/>
        <v>ns</v>
      </c>
      <c r="AG203" s="405" t="str">
        <f t="shared" si="38"/>
        <v>.</v>
      </c>
      <c r="AH203" s="405" t="str">
        <f t="shared" si="46"/>
        <v>.</v>
      </c>
      <c r="AI203" s="405" t="str">
        <f t="shared" si="39"/>
        <v>ns</v>
      </c>
      <c r="AJ203" s="405" t="str">
        <f t="shared" si="40"/>
        <v>ns</v>
      </c>
      <c r="AK203" s="922" t="str">
        <f t="shared" si="41"/>
        <v>ns</v>
      </c>
      <c r="AL203" s="405" t="str">
        <f t="shared" si="41"/>
        <v>ns</v>
      </c>
      <c r="AM203" s="912" t="str">
        <f t="shared" si="42"/>
        <v>ns</v>
      </c>
      <c r="AN203" s="405" t="str">
        <f t="shared" si="43"/>
        <v>ns</v>
      </c>
      <c r="AO203" s="405" t="str">
        <f t="shared" si="44"/>
        <v>ns</v>
      </c>
      <c r="AP203" s="405" t="str">
        <f t="shared" si="45"/>
        <v>ns</v>
      </c>
      <c r="AQ203" s="547"/>
    </row>
    <row r="204" spans="1:212">
      <c r="A204" s="537">
        <v>204</v>
      </c>
      <c r="B204" s="537" t="s">
        <v>62</v>
      </c>
      <c r="C204" s="538">
        <v>342</v>
      </c>
      <c r="D204" s="537" t="s">
        <v>1483</v>
      </c>
      <c r="E204" s="537" t="s">
        <v>1484</v>
      </c>
      <c r="F204" s="537" t="s">
        <v>663</v>
      </c>
      <c r="G204" s="575" t="s">
        <v>475</v>
      </c>
      <c r="H204" s="539" t="s">
        <v>62</v>
      </c>
      <c r="I204" s="540" t="s">
        <v>1156</v>
      </c>
      <c r="J204" s="541" t="s">
        <v>688</v>
      </c>
      <c r="K204" s="540" t="s">
        <v>1483</v>
      </c>
      <c r="L204" s="550" t="s">
        <v>1143</v>
      </c>
      <c r="M204" s="541">
        <v>2</v>
      </c>
      <c r="N204" s="543" t="s">
        <v>967</v>
      </c>
      <c r="O204" s="544" t="s">
        <v>1485</v>
      </c>
      <c r="P204" s="537" t="s">
        <v>1259</v>
      </c>
      <c r="Q204" s="544" t="s">
        <v>663</v>
      </c>
      <c r="R204" s="537" t="s">
        <v>662</v>
      </c>
      <c r="S204" s="537" t="s">
        <v>662</v>
      </c>
      <c r="T204" s="537" t="s">
        <v>663</v>
      </c>
      <c r="U204" s="537" t="s">
        <v>663</v>
      </c>
      <c r="V204" s="544" t="s">
        <v>663</v>
      </c>
      <c r="W204" s="544" t="s">
        <v>663</v>
      </c>
      <c r="X204" s="544" t="s">
        <v>663</v>
      </c>
      <c r="Y204" s="544" t="s">
        <v>663</v>
      </c>
      <c r="Z204" s="544" t="s">
        <v>663</v>
      </c>
      <c r="AA204" s="544" t="s">
        <v>663</v>
      </c>
      <c r="AB204" s="537" t="str">
        <f t="shared" si="36"/>
        <v>DC</v>
      </c>
      <c r="AC204" s="537" t="s">
        <v>1192</v>
      </c>
      <c r="AD204" s="545" t="str" cm="1">
        <f t="array" ref="AD204">IF(SUMPRODUCT(ISNUMBER(SEARCH("y",R204:AA204))+0)=0,"",IF(AA204="y","400G",IF(Z204="y","100G",IF(X204="y","40G",IF(V204="y","10G",IF(S204="y","1G",IF(R204="y","100M",""))))))&amp;" "&amp;AB204&amp;" "&amp;AC204)</f>
        <v>1G DC UPLINK</v>
      </c>
      <c r="AE204" s="546" t="str">
        <f t="shared" si="47"/>
        <v>x610-24SPs/X 1G DC UPLINK</v>
      </c>
      <c r="AF204" s="912" t="str">
        <f t="shared" si="37"/>
        <v>ns</v>
      </c>
      <c r="AG204" s="405" t="str">
        <f t="shared" si="38"/>
        <v>.</v>
      </c>
      <c r="AH204" s="405" t="str">
        <f t="shared" si="46"/>
        <v>.</v>
      </c>
      <c r="AI204" s="405" t="str">
        <f t="shared" si="39"/>
        <v>ns</v>
      </c>
      <c r="AJ204" s="405" t="str">
        <f t="shared" si="40"/>
        <v>ns</v>
      </c>
      <c r="AK204" s="922" t="str">
        <f t="shared" si="41"/>
        <v>ns</v>
      </c>
      <c r="AL204" s="405" t="str">
        <f t="shared" si="41"/>
        <v>ns</v>
      </c>
      <c r="AM204" s="912" t="str">
        <f t="shared" si="42"/>
        <v>ns</v>
      </c>
      <c r="AN204" s="405" t="str">
        <f t="shared" si="43"/>
        <v>ns</v>
      </c>
      <c r="AO204" s="405" t="str">
        <f t="shared" si="44"/>
        <v>ns</v>
      </c>
      <c r="AP204" s="405" t="str">
        <f t="shared" si="45"/>
        <v>ns</v>
      </c>
      <c r="AQ204" s="547"/>
    </row>
    <row r="205" spans="1:212">
      <c r="A205" s="537">
        <v>205</v>
      </c>
      <c r="B205" s="537" t="s">
        <v>62</v>
      </c>
      <c r="C205" s="538">
        <v>342</v>
      </c>
      <c r="D205" s="537" t="s">
        <v>1483</v>
      </c>
      <c r="E205" s="537" t="s">
        <v>1484</v>
      </c>
      <c r="F205" s="537" t="s">
        <v>663</v>
      </c>
      <c r="G205" s="575" t="s">
        <v>475</v>
      </c>
      <c r="H205" s="539" t="s">
        <v>62</v>
      </c>
      <c r="I205" s="540" t="s">
        <v>1156</v>
      </c>
      <c r="J205" s="541" t="s">
        <v>1157</v>
      </c>
      <c r="K205" s="540" t="s">
        <v>197</v>
      </c>
      <c r="L205" s="550" t="s">
        <v>197</v>
      </c>
      <c r="M205" s="541" t="s">
        <v>197</v>
      </c>
      <c r="N205" s="543" t="s">
        <v>655</v>
      </c>
      <c r="O205" s="544" t="s">
        <v>1471</v>
      </c>
      <c r="P205" s="537" t="s">
        <v>1125</v>
      </c>
      <c r="Q205" s="544" t="s">
        <v>663</v>
      </c>
      <c r="R205" s="537" t="s">
        <v>662</v>
      </c>
      <c r="S205" s="537" t="s">
        <v>662</v>
      </c>
      <c r="T205" s="537" t="s">
        <v>663</v>
      </c>
      <c r="U205" s="537" t="s">
        <v>663</v>
      </c>
      <c r="V205" s="544" t="s">
        <v>663</v>
      </c>
      <c r="W205" s="544" t="s">
        <v>663</v>
      </c>
      <c r="X205" s="544" t="s">
        <v>663</v>
      </c>
      <c r="Y205" s="544" t="s">
        <v>663</v>
      </c>
      <c r="Z205" s="544" t="s">
        <v>663</v>
      </c>
      <c r="AA205" s="544" t="s">
        <v>663</v>
      </c>
      <c r="AB205" s="537" t="str">
        <f t="shared" si="36"/>
        <v>PHY</v>
      </c>
      <c r="AC205" s="537" t="s">
        <v>1206</v>
      </c>
      <c r="AD205" s="545" t="str" cm="1">
        <f t="array" ref="AD205">IF(SUMPRODUCT(ISNUMBER(SEARCH("y",R205:AA205))+0)=0,"",IF(AA205="y","400G",IF(Z205="y","100G",IF(X205="y","40G",IF(V205="y","10G",IF(S205="y","1G",IF(R205="y","100M",""))))))&amp;" "&amp;AB205&amp;" "&amp;AC205)</f>
        <v>1G PHY COMBO</v>
      </c>
      <c r="AE205" s="546" t="str">
        <f t="shared" si="47"/>
        <v/>
      </c>
      <c r="AF205" s="912" t="str">
        <f t="shared" si="37"/>
        <v>ns</v>
      </c>
      <c r="AG205" s="405" t="str">
        <f t="shared" si="38"/>
        <v>.</v>
      </c>
      <c r="AH205" s="405" t="str">
        <f t="shared" si="46"/>
        <v>.</v>
      </c>
      <c r="AI205" s="405" t="str">
        <f t="shared" si="39"/>
        <v>ns</v>
      </c>
      <c r="AJ205" s="405" t="str">
        <f t="shared" si="40"/>
        <v>ns</v>
      </c>
      <c r="AK205" s="922" t="str">
        <f t="shared" si="41"/>
        <v>ns</v>
      </c>
      <c r="AL205" s="405" t="str">
        <f t="shared" si="41"/>
        <v>ns</v>
      </c>
      <c r="AM205" s="912" t="str">
        <f t="shared" si="42"/>
        <v>ns</v>
      </c>
      <c r="AN205" s="405" t="str">
        <f t="shared" si="43"/>
        <v>ns</v>
      </c>
      <c r="AO205" s="405" t="str">
        <f t="shared" si="44"/>
        <v>ns</v>
      </c>
      <c r="AP205" s="405" t="str">
        <f t="shared" si="45"/>
        <v>ns</v>
      </c>
      <c r="AQ205" s="547"/>
    </row>
    <row r="206" spans="1:212">
      <c r="A206" s="537">
        <v>206</v>
      </c>
      <c r="B206" s="537" t="s">
        <v>62</v>
      </c>
      <c r="C206" s="538">
        <v>342</v>
      </c>
      <c r="D206" s="537" t="s">
        <v>1483</v>
      </c>
      <c r="E206" s="537" t="s">
        <v>1484</v>
      </c>
      <c r="F206" s="537" t="s">
        <v>663</v>
      </c>
      <c r="G206" s="575" t="s">
        <v>475</v>
      </c>
      <c r="H206" s="539" t="s">
        <v>62</v>
      </c>
      <c r="I206" s="540" t="s">
        <v>1156</v>
      </c>
      <c r="J206" s="541" t="s">
        <v>1159</v>
      </c>
      <c r="K206" s="540" t="s">
        <v>197</v>
      </c>
      <c r="L206" s="550" t="s">
        <v>197</v>
      </c>
      <c r="M206" s="541" t="s">
        <v>197</v>
      </c>
      <c r="N206" s="543" t="s">
        <v>1160</v>
      </c>
      <c r="O206" s="544" t="s">
        <v>1365</v>
      </c>
      <c r="P206" s="537" t="s">
        <v>1231</v>
      </c>
      <c r="Q206" s="544" t="s">
        <v>663</v>
      </c>
      <c r="R206" s="544" t="s">
        <v>663</v>
      </c>
      <c r="S206" s="544" t="s">
        <v>663</v>
      </c>
      <c r="T206" s="537" t="s">
        <v>663</v>
      </c>
      <c r="U206" s="537" t="s">
        <v>663</v>
      </c>
      <c r="V206" s="544" t="s">
        <v>662</v>
      </c>
      <c r="W206" s="544" t="s">
        <v>663</v>
      </c>
      <c r="X206" s="544" t="s">
        <v>663</v>
      </c>
      <c r="Y206" s="544" t="s">
        <v>663</v>
      </c>
      <c r="Z206" s="544" t="s">
        <v>663</v>
      </c>
      <c r="AA206" s="544" t="s">
        <v>663</v>
      </c>
      <c r="AB206" s="537" t="str">
        <f t="shared" si="36"/>
        <v>PHY</v>
      </c>
      <c r="AC206" s="537" t="s">
        <v>1192</v>
      </c>
      <c r="AD206" s="545" t="str" cm="1">
        <f t="array" ref="AD206">IF(SUMPRODUCT(ISNUMBER(SEARCH("y",R206:AA206))+0)=0,"",IF(AA206="y","400G",IF(Z206="y","100G",IF(X206="y","40G",IF(V206="y","10G",IF(S206="y","1G",IF(R206="y","100M",""))))))&amp;" "&amp;AB206&amp;" "&amp;AC206)</f>
        <v>10G PHY UPLINK</v>
      </c>
      <c r="AE206" s="546" t="str">
        <f t="shared" si="47"/>
        <v/>
      </c>
      <c r="AF206" s="912" t="str">
        <f t="shared" si="37"/>
        <v>ns</v>
      </c>
      <c r="AG206" s="405" t="str">
        <f t="shared" si="38"/>
        <v>ns</v>
      </c>
      <c r="AH206" s="405" t="str">
        <f t="shared" si="46"/>
        <v>ns</v>
      </c>
      <c r="AI206" s="405" t="str">
        <f t="shared" si="39"/>
        <v>ns</v>
      </c>
      <c r="AJ206" s="405" t="str">
        <f t="shared" si="40"/>
        <v>ns</v>
      </c>
      <c r="AK206" s="922" t="str">
        <f t="shared" si="41"/>
        <v>.</v>
      </c>
      <c r="AL206" s="405" t="str">
        <f t="shared" si="41"/>
        <v>ns</v>
      </c>
      <c r="AM206" s="912" t="str">
        <f t="shared" si="42"/>
        <v>ns</v>
      </c>
      <c r="AN206" s="405" t="str">
        <f t="shared" si="43"/>
        <v>ns</v>
      </c>
      <c r="AO206" s="405" t="str">
        <f t="shared" si="44"/>
        <v>ns</v>
      </c>
      <c r="AP206" s="405" t="str">
        <f t="shared" si="45"/>
        <v>ns</v>
      </c>
      <c r="AQ206" s="547"/>
    </row>
    <row r="207" spans="1:212" s="536" customFormat="1">
      <c r="A207" s="504">
        <v>207</v>
      </c>
      <c r="B207" s="525" t="s">
        <v>61</v>
      </c>
      <c r="C207" s="526">
        <v>281</v>
      </c>
      <c r="D207" s="537" t="s">
        <v>2313</v>
      </c>
      <c r="E207" s="525" t="s">
        <v>1486</v>
      </c>
      <c r="F207" s="525" t="s">
        <v>663</v>
      </c>
      <c r="G207" s="576" t="s">
        <v>475</v>
      </c>
      <c r="H207" s="527" t="s">
        <v>64</v>
      </c>
      <c r="I207" s="528" t="s">
        <v>818</v>
      </c>
      <c r="J207" s="529" t="s">
        <v>159</v>
      </c>
      <c r="K207" s="528" t="s">
        <v>2313</v>
      </c>
      <c r="L207" s="567" t="s">
        <v>752</v>
      </c>
      <c r="M207" s="568" t="s">
        <v>820</v>
      </c>
      <c r="N207" s="531" t="s">
        <v>159</v>
      </c>
      <c r="O207" s="525" t="s">
        <v>159</v>
      </c>
      <c r="P207" s="525" t="s">
        <v>197</v>
      </c>
      <c r="Q207" s="532" t="s">
        <v>663</v>
      </c>
      <c r="R207" s="532" t="s">
        <v>663</v>
      </c>
      <c r="S207" s="532" t="s">
        <v>663</v>
      </c>
      <c r="T207" s="525" t="s">
        <v>663</v>
      </c>
      <c r="U207" s="525" t="s">
        <v>663</v>
      </c>
      <c r="V207" s="532" t="s">
        <v>663</v>
      </c>
      <c r="W207" s="532" t="s">
        <v>663</v>
      </c>
      <c r="X207" s="532" t="s">
        <v>663</v>
      </c>
      <c r="Y207" s="532" t="s">
        <v>663</v>
      </c>
      <c r="Z207" s="532" t="s">
        <v>663</v>
      </c>
      <c r="AA207" s="532" t="s">
        <v>663</v>
      </c>
      <c r="AB207" s="525" t="str">
        <f t="shared" si="36"/>
        <v/>
      </c>
      <c r="AC207" s="525"/>
      <c r="AD207" s="533" t="str" cm="1">
        <f t="array" ref="AD207">IF(SUMPRODUCT(ISNUMBER(SEARCH("y",R207:AA207))+0)=0,"",IF(AA207="y","400G",IF(Z207="y","100G",IF(X207="y","40G",IF(V207="y","10G",IF(S207="y","1G",IF(R207="y","100M",""))))))&amp;" "&amp;AB207&amp;" "&amp;AC207)</f>
        <v/>
      </c>
      <c r="AE207" s="534" t="str">
        <f t="shared" si="47"/>
        <v xml:space="preserve">AT-SBx908 </v>
      </c>
      <c r="AF207" s="910" t="str">
        <f t="shared" si="37"/>
        <v>ns</v>
      </c>
      <c r="AG207" s="911" t="str">
        <f t="shared" si="38"/>
        <v>ns</v>
      </c>
      <c r="AH207" s="911" t="str">
        <f t="shared" si="46"/>
        <v>ns</v>
      </c>
      <c r="AI207" s="911" t="str">
        <f t="shared" si="39"/>
        <v>ns</v>
      </c>
      <c r="AJ207" s="911" t="str">
        <f t="shared" si="40"/>
        <v>ns</v>
      </c>
      <c r="AK207" s="921" t="str">
        <f t="shared" si="41"/>
        <v>ns</v>
      </c>
      <c r="AL207" s="908" t="str">
        <f t="shared" si="41"/>
        <v>ns</v>
      </c>
      <c r="AM207" s="909" t="str">
        <f t="shared" si="42"/>
        <v>ns</v>
      </c>
      <c r="AN207" s="908" t="str">
        <f t="shared" si="43"/>
        <v>ns</v>
      </c>
      <c r="AO207" s="908" t="str">
        <f t="shared" si="44"/>
        <v>ns</v>
      </c>
      <c r="AP207" s="908" t="str">
        <f t="shared" si="45"/>
        <v>ns</v>
      </c>
      <c r="AQ207" s="535"/>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row>
    <row r="208" spans="1:212" s="536" customFormat="1">
      <c r="A208" s="504">
        <v>208</v>
      </c>
      <c r="B208" s="525" t="s">
        <v>61</v>
      </c>
      <c r="C208" s="526">
        <v>273</v>
      </c>
      <c r="D208" s="537" t="s">
        <v>824</v>
      </c>
      <c r="E208" s="525" t="s">
        <v>1487</v>
      </c>
      <c r="F208" s="525" t="s">
        <v>663</v>
      </c>
      <c r="G208" s="576" t="s">
        <v>764</v>
      </c>
      <c r="H208" s="527" t="s">
        <v>64</v>
      </c>
      <c r="I208" s="528" t="s">
        <v>825</v>
      </c>
      <c r="J208" s="529" t="s">
        <v>826</v>
      </c>
      <c r="K208" s="528" t="s">
        <v>824</v>
      </c>
      <c r="L208" s="567" t="s">
        <v>829</v>
      </c>
      <c r="M208" s="568" t="s">
        <v>830</v>
      </c>
      <c r="N208" s="531" t="s">
        <v>827</v>
      </c>
      <c r="O208" s="525" t="s">
        <v>159</v>
      </c>
      <c r="P208" s="525" t="s">
        <v>197</v>
      </c>
      <c r="Q208" s="532" t="s">
        <v>663</v>
      </c>
      <c r="R208" s="532" t="s">
        <v>663</v>
      </c>
      <c r="S208" s="532" t="s">
        <v>663</v>
      </c>
      <c r="T208" s="525" t="s">
        <v>663</v>
      </c>
      <c r="U208" s="525" t="s">
        <v>663</v>
      </c>
      <c r="V208" s="532" t="s">
        <v>663</v>
      </c>
      <c r="W208" s="532" t="s">
        <v>663</v>
      </c>
      <c r="X208" s="532" t="s">
        <v>663</v>
      </c>
      <c r="Y208" s="532" t="s">
        <v>663</v>
      </c>
      <c r="Z208" s="532" t="s">
        <v>663</v>
      </c>
      <c r="AA208" s="532" t="s">
        <v>663</v>
      </c>
      <c r="AB208" s="525" t="str">
        <f t="shared" si="36"/>
        <v/>
      </c>
      <c r="AC208" s="525"/>
      <c r="AD208" s="533" t="str" cm="1">
        <f t="array" ref="AD208">IF(SUMPRODUCT(ISNUMBER(SEARCH("y",R208:AA208))+0)=0,"",IF(AA208="y","400G",IF(Z208="y","100G",IF(X208="y","40G",IF(V208="y","10G",IF(S208="y","1G",IF(R208="y","100M",""))))))&amp;" "&amp;AB208&amp;" "&amp;AC208)</f>
        <v/>
      </c>
      <c r="AE208" s="534" t="str">
        <f t="shared" si="47"/>
        <v xml:space="preserve">XEM-12S </v>
      </c>
      <c r="AF208" s="910" t="str">
        <f t="shared" si="37"/>
        <v>ns</v>
      </c>
      <c r="AG208" s="911" t="str">
        <f t="shared" si="38"/>
        <v>ns</v>
      </c>
      <c r="AH208" s="911" t="str">
        <f t="shared" si="46"/>
        <v>ns</v>
      </c>
      <c r="AI208" s="911" t="str">
        <f t="shared" si="39"/>
        <v>ns</v>
      </c>
      <c r="AJ208" s="911" t="str">
        <f t="shared" si="40"/>
        <v>ns</v>
      </c>
      <c r="AK208" s="921" t="str">
        <f t="shared" si="41"/>
        <v>ns</v>
      </c>
      <c r="AL208" s="908" t="str">
        <f t="shared" si="41"/>
        <v>ns</v>
      </c>
      <c r="AM208" s="909" t="str">
        <f t="shared" si="42"/>
        <v>ns</v>
      </c>
      <c r="AN208" s="908" t="str">
        <f t="shared" si="43"/>
        <v>ns</v>
      </c>
      <c r="AO208" s="908" t="str">
        <f t="shared" si="44"/>
        <v>ns</v>
      </c>
      <c r="AP208" s="908" t="str">
        <f t="shared" si="45"/>
        <v>ns</v>
      </c>
      <c r="AQ208" s="535"/>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row>
    <row r="209" spans="1:212" s="536" customFormat="1">
      <c r="A209" s="504">
        <v>209</v>
      </c>
      <c r="B209" s="525" t="s">
        <v>61</v>
      </c>
      <c r="C209" s="526">
        <v>305</v>
      </c>
      <c r="D209" s="537" t="s">
        <v>834</v>
      </c>
      <c r="E209" s="525" t="s">
        <v>1488</v>
      </c>
      <c r="F209" s="525" t="s">
        <v>663</v>
      </c>
      <c r="G209" s="576" t="s">
        <v>475</v>
      </c>
      <c r="H209" s="527" t="s">
        <v>64</v>
      </c>
      <c r="I209" s="528" t="s">
        <v>835</v>
      </c>
      <c r="J209" s="529" t="s">
        <v>836</v>
      </c>
      <c r="K209" s="528" t="s">
        <v>834</v>
      </c>
      <c r="L209" s="567" t="s">
        <v>840</v>
      </c>
      <c r="M209" s="568" t="s">
        <v>841</v>
      </c>
      <c r="N209" s="531" t="s">
        <v>837</v>
      </c>
      <c r="O209" s="532" t="s">
        <v>1489</v>
      </c>
      <c r="P209" s="525" t="s">
        <v>1231</v>
      </c>
      <c r="Q209" s="532" t="s">
        <v>663</v>
      </c>
      <c r="R209" s="532" t="s">
        <v>663</v>
      </c>
      <c r="S209" s="532" t="s">
        <v>663</v>
      </c>
      <c r="T209" s="525" t="s">
        <v>663</v>
      </c>
      <c r="U209" s="525" t="s">
        <v>663</v>
      </c>
      <c r="V209" s="532" t="s">
        <v>662</v>
      </c>
      <c r="W209" s="532" t="s">
        <v>663</v>
      </c>
      <c r="X209" s="532" t="s">
        <v>663</v>
      </c>
      <c r="Y209" s="532" t="s">
        <v>663</v>
      </c>
      <c r="Z209" s="532" t="s">
        <v>663</v>
      </c>
      <c r="AA209" s="532" t="s">
        <v>663</v>
      </c>
      <c r="AB209" s="525" t="str">
        <f t="shared" si="36"/>
        <v>PHY</v>
      </c>
      <c r="AC209" s="525" t="s">
        <v>1247</v>
      </c>
      <c r="AD209" s="533" t="str" cm="1">
        <f t="array" ref="AD209">IF(SUMPRODUCT(ISNUMBER(SEARCH("y",R209:AA209))+0)=0,"",IF(AA209="y","400G",IF(Z209="y","100G",IF(X209="y","40G",IF(V209="y","10G",IF(S209="y","1G",IF(R209="y","100M",""))))))&amp;" "&amp;AB209&amp;" "&amp;AC209)</f>
        <v>10G PHY SFP+</v>
      </c>
      <c r="AE209" s="534" t="str">
        <f t="shared" si="47"/>
        <v>XEM-2XP 10G PHY SFP+</v>
      </c>
      <c r="AF209" s="910" t="str">
        <f t="shared" si="37"/>
        <v>ns</v>
      </c>
      <c r="AG209" s="911" t="str">
        <f t="shared" si="38"/>
        <v>ns</v>
      </c>
      <c r="AH209" s="911" t="str">
        <f t="shared" si="46"/>
        <v>ns</v>
      </c>
      <c r="AI209" s="911" t="str">
        <f t="shared" si="39"/>
        <v>ns</v>
      </c>
      <c r="AJ209" s="911" t="str">
        <f t="shared" si="40"/>
        <v>ns</v>
      </c>
      <c r="AK209" s="921" t="str">
        <f t="shared" si="41"/>
        <v>.</v>
      </c>
      <c r="AL209" s="908" t="str">
        <f t="shared" si="41"/>
        <v>ns</v>
      </c>
      <c r="AM209" s="909" t="str">
        <f t="shared" si="42"/>
        <v>ns</v>
      </c>
      <c r="AN209" s="908" t="str">
        <f t="shared" si="43"/>
        <v>ns</v>
      </c>
      <c r="AO209" s="908" t="str">
        <f t="shared" si="44"/>
        <v>ns</v>
      </c>
      <c r="AP209" s="908" t="str">
        <f t="shared" si="45"/>
        <v>ns</v>
      </c>
      <c r="AQ209" s="535"/>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row>
    <row r="210" spans="1:212" s="536" customFormat="1">
      <c r="A210" s="504">
        <v>210</v>
      </c>
      <c r="B210" s="525" t="s">
        <v>61</v>
      </c>
      <c r="C210" s="577">
        <v>324</v>
      </c>
      <c r="D210" s="537" t="s">
        <v>842</v>
      </c>
      <c r="E210" s="525" t="s">
        <v>1490</v>
      </c>
      <c r="F210" s="525" t="s">
        <v>663</v>
      </c>
      <c r="G210" s="576" t="s">
        <v>475</v>
      </c>
      <c r="H210" s="527" t="s">
        <v>64</v>
      </c>
      <c r="I210" s="528" t="s">
        <v>835</v>
      </c>
      <c r="J210" s="529" t="s">
        <v>159</v>
      </c>
      <c r="K210" s="528" t="s">
        <v>197</v>
      </c>
      <c r="L210" s="567" t="s">
        <v>197</v>
      </c>
      <c r="M210" s="568" t="s">
        <v>197</v>
      </c>
      <c r="N210" s="531" t="s">
        <v>159</v>
      </c>
      <c r="O210" s="525" t="s">
        <v>159</v>
      </c>
      <c r="P210" s="525" t="s">
        <v>197</v>
      </c>
      <c r="Q210" s="532" t="s">
        <v>663</v>
      </c>
      <c r="R210" s="532" t="s">
        <v>663</v>
      </c>
      <c r="S210" s="532" t="s">
        <v>663</v>
      </c>
      <c r="T210" s="525" t="s">
        <v>663</v>
      </c>
      <c r="U210" s="525" t="s">
        <v>663</v>
      </c>
      <c r="V210" s="532" t="s">
        <v>663</v>
      </c>
      <c r="W210" s="532" t="s">
        <v>663</v>
      </c>
      <c r="X210" s="532" t="s">
        <v>663</v>
      </c>
      <c r="Y210" s="532" t="s">
        <v>663</v>
      </c>
      <c r="Z210" s="532" t="s">
        <v>663</v>
      </c>
      <c r="AA210" s="532" t="s">
        <v>663</v>
      </c>
      <c r="AB210" s="525" t="str">
        <f t="shared" si="36"/>
        <v/>
      </c>
      <c r="AC210" s="525"/>
      <c r="AD210" s="533" t="str" cm="1">
        <f t="array" ref="AD210">IF(SUMPRODUCT(ISNUMBER(SEARCH("y",R210:AA210))+0)=0,"",IF(AA210="y","400G",IF(Z210="y","100G",IF(X210="y","40G",IF(V210="y","10G",IF(S210="y","1G",IF(R210="y","100M",""))))))&amp;" "&amp;AB210&amp;" "&amp;AC210)</f>
        <v/>
      </c>
      <c r="AE210" s="534" t="str">
        <f t="shared" si="47"/>
        <v/>
      </c>
      <c r="AF210" s="910" t="str">
        <f t="shared" si="37"/>
        <v>ns</v>
      </c>
      <c r="AG210" s="911" t="str">
        <f t="shared" si="38"/>
        <v>ns</v>
      </c>
      <c r="AH210" s="911" t="str">
        <f t="shared" si="46"/>
        <v>ns</v>
      </c>
      <c r="AI210" s="911" t="str">
        <f t="shared" si="39"/>
        <v>ns</v>
      </c>
      <c r="AJ210" s="911" t="str">
        <f t="shared" si="40"/>
        <v>ns</v>
      </c>
      <c r="AK210" s="921" t="str">
        <f t="shared" si="41"/>
        <v>ns</v>
      </c>
      <c r="AL210" s="908" t="str">
        <f t="shared" si="41"/>
        <v>ns</v>
      </c>
      <c r="AM210" s="909" t="str">
        <f t="shared" si="42"/>
        <v>ns</v>
      </c>
      <c r="AN210" s="908" t="str">
        <f t="shared" si="43"/>
        <v>ns</v>
      </c>
      <c r="AO210" s="908" t="str">
        <f t="shared" si="44"/>
        <v>ns</v>
      </c>
      <c r="AP210" s="908" t="str">
        <f t="shared" si="45"/>
        <v>ns</v>
      </c>
      <c r="AQ210" s="535"/>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row>
    <row r="211" spans="1:212" s="536" customFormat="1">
      <c r="A211" s="504">
        <v>211</v>
      </c>
      <c r="B211" s="525" t="s">
        <v>61</v>
      </c>
      <c r="C211" s="572">
        <v>327</v>
      </c>
      <c r="D211" s="537" t="s">
        <v>842</v>
      </c>
      <c r="E211" s="525" t="s">
        <v>1491</v>
      </c>
      <c r="F211" s="525" t="s">
        <v>663</v>
      </c>
      <c r="G211" s="576" t="s">
        <v>475</v>
      </c>
      <c r="H211" s="527" t="s">
        <v>64</v>
      </c>
      <c r="I211" s="528" t="s">
        <v>835</v>
      </c>
      <c r="J211" s="529" t="s">
        <v>843</v>
      </c>
      <c r="K211" s="528" t="s">
        <v>197</v>
      </c>
      <c r="L211" s="567" t="s">
        <v>197</v>
      </c>
      <c r="M211" s="568" t="s">
        <v>197</v>
      </c>
      <c r="N211" s="531" t="s">
        <v>159</v>
      </c>
      <c r="O211" s="525" t="s">
        <v>159</v>
      </c>
      <c r="P211" s="525" t="s">
        <v>197</v>
      </c>
      <c r="Q211" s="532" t="s">
        <v>663</v>
      </c>
      <c r="R211" s="532" t="s">
        <v>663</v>
      </c>
      <c r="S211" s="532" t="s">
        <v>663</v>
      </c>
      <c r="T211" s="525" t="s">
        <v>663</v>
      </c>
      <c r="U211" s="525" t="s">
        <v>663</v>
      </c>
      <c r="V211" s="532" t="s">
        <v>663</v>
      </c>
      <c r="W211" s="532" t="s">
        <v>663</v>
      </c>
      <c r="X211" s="532" t="s">
        <v>663</v>
      </c>
      <c r="Y211" s="532" t="s">
        <v>663</v>
      </c>
      <c r="Z211" s="532" t="s">
        <v>663</v>
      </c>
      <c r="AA211" s="532" t="s">
        <v>663</v>
      </c>
      <c r="AB211" s="525" t="str">
        <f t="shared" si="36"/>
        <v/>
      </c>
      <c r="AC211" s="525"/>
      <c r="AD211" s="533" t="str" cm="1">
        <f t="array" ref="AD211">IF(SUMPRODUCT(ISNUMBER(SEARCH("y",R211:AA211))+0)=0,"",IF(AA211="y","400G",IF(Z211="y","100G",IF(X211="y","40G",IF(V211="y","10G",IF(S211="y","1G",IF(R211="y","100M",""))))))&amp;" "&amp;AB211&amp;" "&amp;AC211)</f>
        <v/>
      </c>
      <c r="AE211" s="534" t="str">
        <f t="shared" si="47"/>
        <v/>
      </c>
      <c r="AF211" s="910" t="str">
        <f t="shared" si="37"/>
        <v>ns</v>
      </c>
      <c r="AG211" s="911" t="str">
        <f t="shared" si="38"/>
        <v>ns</v>
      </c>
      <c r="AH211" s="911" t="str">
        <f t="shared" si="46"/>
        <v>ns</v>
      </c>
      <c r="AI211" s="911" t="str">
        <f t="shared" si="39"/>
        <v>ns</v>
      </c>
      <c r="AJ211" s="911" t="str">
        <f t="shared" si="40"/>
        <v>ns</v>
      </c>
      <c r="AK211" s="921" t="str">
        <f t="shared" si="41"/>
        <v>ns</v>
      </c>
      <c r="AL211" s="908" t="str">
        <f t="shared" si="41"/>
        <v>ns</v>
      </c>
      <c r="AM211" s="909" t="str">
        <f t="shared" si="42"/>
        <v>ns</v>
      </c>
      <c r="AN211" s="908" t="str">
        <f t="shared" si="43"/>
        <v>ns</v>
      </c>
      <c r="AO211" s="908" t="str">
        <f t="shared" si="44"/>
        <v>ns</v>
      </c>
      <c r="AP211" s="908" t="str">
        <f t="shared" si="45"/>
        <v>ns</v>
      </c>
      <c r="AQ211" s="535"/>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row>
    <row r="212" spans="1:212" s="536" customFormat="1">
      <c r="A212" s="504">
        <v>212</v>
      </c>
      <c r="B212" s="525" t="s">
        <v>61</v>
      </c>
      <c r="C212" s="526">
        <v>349</v>
      </c>
      <c r="D212" s="537" t="s">
        <v>844</v>
      </c>
      <c r="E212" s="525" t="s">
        <v>1492</v>
      </c>
      <c r="F212" s="525" t="s">
        <v>663</v>
      </c>
      <c r="G212" s="576" t="s">
        <v>475</v>
      </c>
      <c r="H212" s="527" t="s">
        <v>64</v>
      </c>
      <c r="I212" s="528" t="s">
        <v>835</v>
      </c>
      <c r="J212" s="529" t="s">
        <v>845</v>
      </c>
      <c r="K212" s="528" t="s">
        <v>844</v>
      </c>
      <c r="L212" s="567" t="s">
        <v>674</v>
      </c>
      <c r="M212" s="568" t="s">
        <v>847</v>
      </c>
      <c r="N212" s="531" t="s">
        <v>740</v>
      </c>
      <c r="O212" s="532" t="s">
        <v>1489</v>
      </c>
      <c r="P212" s="525" t="s">
        <v>1231</v>
      </c>
      <c r="Q212" s="532" t="s">
        <v>663</v>
      </c>
      <c r="R212" s="532" t="s">
        <v>663</v>
      </c>
      <c r="S212" s="532" t="s">
        <v>663</v>
      </c>
      <c r="T212" s="525" t="s">
        <v>663</v>
      </c>
      <c r="U212" s="525" t="s">
        <v>663</v>
      </c>
      <c r="V212" s="532" t="s">
        <v>662</v>
      </c>
      <c r="W212" s="532" t="s">
        <v>663</v>
      </c>
      <c r="X212" s="532" t="s">
        <v>663</v>
      </c>
      <c r="Y212" s="532" t="s">
        <v>663</v>
      </c>
      <c r="Z212" s="532" t="s">
        <v>663</v>
      </c>
      <c r="AA212" s="532" t="s">
        <v>663</v>
      </c>
      <c r="AB212" s="525" t="str">
        <f t="shared" si="36"/>
        <v>PHY</v>
      </c>
      <c r="AC212" s="525" t="s">
        <v>1247</v>
      </c>
      <c r="AD212" s="533" t="str" cm="1">
        <f t="array" ref="AD212">IF(SUMPRODUCT(ISNUMBER(SEARCH("y",R212:AA212))+0)=0,"",IF(AA212="y","400G",IF(Z212="y","100G",IF(X212="y","40G",IF(V212="y","10G",IF(S212="y","1G",IF(R212="y","100M",""))))))&amp;" "&amp;AB212&amp;" "&amp;AC212)</f>
        <v>10G PHY SFP+</v>
      </c>
      <c r="AE212" s="534" t="str">
        <f t="shared" si="47"/>
        <v>XEM-2XS 10G PHY SFP+</v>
      </c>
      <c r="AF212" s="910" t="str">
        <f t="shared" si="37"/>
        <v>ns</v>
      </c>
      <c r="AG212" s="911" t="str">
        <f t="shared" si="38"/>
        <v>ns</v>
      </c>
      <c r="AH212" s="911" t="str">
        <f t="shared" si="46"/>
        <v>ns</v>
      </c>
      <c r="AI212" s="911" t="str">
        <f t="shared" si="39"/>
        <v>ns</v>
      </c>
      <c r="AJ212" s="911" t="str">
        <f t="shared" si="40"/>
        <v>ns</v>
      </c>
      <c r="AK212" s="921" t="str">
        <f t="shared" si="41"/>
        <v>.</v>
      </c>
      <c r="AL212" s="908" t="str">
        <f t="shared" si="41"/>
        <v>ns</v>
      </c>
      <c r="AM212" s="909" t="str">
        <f t="shared" si="42"/>
        <v>ns</v>
      </c>
      <c r="AN212" s="908" t="str">
        <f t="shared" si="43"/>
        <v>ns</v>
      </c>
      <c r="AO212" s="908" t="str">
        <f t="shared" si="44"/>
        <v>ns</v>
      </c>
      <c r="AP212" s="908" t="str">
        <f t="shared" si="45"/>
        <v>ns</v>
      </c>
      <c r="AQ212" s="535"/>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row>
    <row r="213" spans="1:212" s="536" customFormat="1">
      <c r="A213" s="504">
        <v>213</v>
      </c>
      <c r="B213" s="525" t="s">
        <v>61</v>
      </c>
      <c r="C213" s="526">
        <v>355</v>
      </c>
      <c r="D213" s="537" t="s">
        <v>823</v>
      </c>
      <c r="E213" s="525" t="s">
        <v>1493</v>
      </c>
      <c r="F213" s="525" t="s">
        <v>663</v>
      </c>
      <c r="G213" s="576" t="s">
        <v>475</v>
      </c>
      <c r="H213" s="527" t="s">
        <v>64</v>
      </c>
      <c r="I213" s="528" t="s">
        <v>822</v>
      </c>
      <c r="J213" s="529" t="s">
        <v>654</v>
      </c>
      <c r="K213" s="528" t="s">
        <v>197</v>
      </c>
      <c r="L213" s="567" t="s">
        <v>197</v>
      </c>
      <c r="M213" s="568" t="s">
        <v>197</v>
      </c>
      <c r="N213" s="531" t="s">
        <v>159</v>
      </c>
      <c r="O213" s="525" t="s">
        <v>159</v>
      </c>
      <c r="P213" s="525" t="s">
        <v>197</v>
      </c>
      <c r="Q213" s="532" t="s">
        <v>663</v>
      </c>
      <c r="R213" s="532" t="s">
        <v>663</v>
      </c>
      <c r="S213" s="532" t="s">
        <v>663</v>
      </c>
      <c r="T213" s="525" t="s">
        <v>663</v>
      </c>
      <c r="U213" s="525" t="s">
        <v>663</v>
      </c>
      <c r="V213" s="532" t="s">
        <v>663</v>
      </c>
      <c r="W213" s="532" t="s">
        <v>663</v>
      </c>
      <c r="X213" s="532" t="s">
        <v>663</v>
      </c>
      <c r="Y213" s="532" t="s">
        <v>663</v>
      </c>
      <c r="Z213" s="532" t="s">
        <v>663</v>
      </c>
      <c r="AA213" s="532" t="s">
        <v>663</v>
      </c>
      <c r="AB213" s="525" t="str">
        <f t="shared" si="36"/>
        <v/>
      </c>
      <c r="AC213" s="525"/>
      <c r="AD213" s="533" t="str" cm="1">
        <f t="array" ref="AD213">IF(SUMPRODUCT(ISNUMBER(SEARCH("y",R213:AA213))+0)=0,"",IF(AA213="y","400G",IF(Z213="y","100G",IF(X213="y","40G",IF(V213="y","10G",IF(S213="y","1G",IF(R213="y","100M",""))))))&amp;" "&amp;AB213&amp;" "&amp;AC213)</f>
        <v/>
      </c>
      <c r="AE213" s="534" t="str">
        <f t="shared" si="47"/>
        <v/>
      </c>
      <c r="AF213" s="910" t="str">
        <f t="shared" si="37"/>
        <v>ns</v>
      </c>
      <c r="AG213" s="911" t="str">
        <f t="shared" si="38"/>
        <v>ns</v>
      </c>
      <c r="AH213" s="911" t="str">
        <f t="shared" si="46"/>
        <v>ns</v>
      </c>
      <c r="AI213" s="911" t="str">
        <f t="shared" si="39"/>
        <v>ns</v>
      </c>
      <c r="AJ213" s="911" t="str">
        <f t="shared" si="40"/>
        <v>ns</v>
      </c>
      <c r="AK213" s="921" t="str">
        <f t="shared" si="41"/>
        <v>ns</v>
      </c>
      <c r="AL213" s="908" t="str">
        <f t="shared" si="41"/>
        <v>ns</v>
      </c>
      <c r="AM213" s="909" t="str">
        <f t="shared" si="42"/>
        <v>ns</v>
      </c>
      <c r="AN213" s="908" t="str">
        <f t="shared" si="43"/>
        <v>ns</v>
      </c>
      <c r="AO213" s="908" t="str">
        <f t="shared" si="44"/>
        <v>ns</v>
      </c>
      <c r="AP213" s="908" t="str">
        <f t="shared" si="45"/>
        <v>ns</v>
      </c>
      <c r="AQ213" s="535"/>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row>
    <row r="214" spans="1:212" s="536" customFormat="1">
      <c r="A214" s="504">
        <v>214</v>
      </c>
      <c r="B214" s="525" t="s">
        <v>61</v>
      </c>
      <c r="C214" s="577">
        <v>357</v>
      </c>
      <c r="D214" s="537" t="s">
        <v>821</v>
      </c>
      <c r="E214" s="525" t="s">
        <v>1494</v>
      </c>
      <c r="F214" s="525" t="s">
        <v>663</v>
      </c>
      <c r="G214" s="576" t="s">
        <v>475</v>
      </c>
      <c r="H214" s="527" t="s">
        <v>64</v>
      </c>
      <c r="I214" s="528" t="s">
        <v>822</v>
      </c>
      <c r="J214" s="529" t="s">
        <v>654</v>
      </c>
      <c r="K214" s="528" t="s">
        <v>197</v>
      </c>
      <c r="L214" s="567" t="s">
        <v>197</v>
      </c>
      <c r="M214" s="568" t="s">
        <v>197</v>
      </c>
      <c r="N214" s="531" t="s">
        <v>159</v>
      </c>
      <c r="O214" s="525" t="s">
        <v>159</v>
      </c>
      <c r="P214" s="525" t="s">
        <v>197</v>
      </c>
      <c r="Q214" s="532" t="s">
        <v>663</v>
      </c>
      <c r="R214" s="532" t="s">
        <v>663</v>
      </c>
      <c r="S214" s="532" t="s">
        <v>663</v>
      </c>
      <c r="T214" s="525" t="s">
        <v>663</v>
      </c>
      <c r="U214" s="525" t="s">
        <v>663</v>
      </c>
      <c r="V214" s="532" t="s">
        <v>663</v>
      </c>
      <c r="W214" s="532" t="s">
        <v>663</v>
      </c>
      <c r="X214" s="532" t="s">
        <v>663</v>
      </c>
      <c r="Y214" s="532" t="s">
        <v>663</v>
      </c>
      <c r="Z214" s="532" t="s">
        <v>663</v>
      </c>
      <c r="AA214" s="532" t="s">
        <v>663</v>
      </c>
      <c r="AB214" s="525" t="str">
        <f t="shared" si="36"/>
        <v/>
      </c>
      <c r="AC214" s="525"/>
      <c r="AD214" s="533" t="str" cm="1">
        <f t="array" ref="AD214">IF(SUMPRODUCT(ISNUMBER(SEARCH("y",R214:AA214))+0)=0,"",IF(AA214="y","400G",IF(Z214="y","100G",IF(X214="y","40G",IF(V214="y","10G",IF(S214="y","1G",IF(R214="y","100M",""))))))&amp;" "&amp;AB214&amp;" "&amp;AC214)</f>
        <v/>
      </c>
      <c r="AE214" s="534" t="str">
        <f t="shared" si="47"/>
        <v/>
      </c>
      <c r="AF214" s="910" t="str">
        <f t="shared" si="37"/>
        <v>ns</v>
      </c>
      <c r="AG214" s="911" t="str">
        <f t="shared" si="38"/>
        <v>ns</v>
      </c>
      <c r="AH214" s="911" t="str">
        <f t="shared" si="46"/>
        <v>ns</v>
      </c>
      <c r="AI214" s="911" t="str">
        <f t="shared" si="39"/>
        <v>ns</v>
      </c>
      <c r="AJ214" s="911" t="str">
        <f t="shared" si="40"/>
        <v>ns</v>
      </c>
      <c r="AK214" s="921" t="str">
        <f t="shared" si="41"/>
        <v>ns</v>
      </c>
      <c r="AL214" s="908" t="str">
        <f t="shared" si="41"/>
        <v>ns</v>
      </c>
      <c r="AM214" s="909" t="str">
        <f t="shared" si="42"/>
        <v>ns</v>
      </c>
      <c r="AN214" s="908" t="str">
        <f t="shared" si="43"/>
        <v>ns</v>
      </c>
      <c r="AO214" s="908" t="str">
        <f t="shared" si="44"/>
        <v>ns</v>
      </c>
      <c r="AP214" s="908" t="str">
        <f t="shared" si="45"/>
        <v>ns</v>
      </c>
      <c r="AQ214" s="535"/>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row>
    <row r="215" spans="1:212" s="536" customFormat="1">
      <c r="A215" s="504">
        <v>215</v>
      </c>
      <c r="B215" s="525" t="s">
        <v>61</v>
      </c>
      <c r="C215" s="526">
        <v>358</v>
      </c>
      <c r="D215" s="537" t="s">
        <v>831</v>
      </c>
      <c r="E215" s="525" t="s">
        <v>1495</v>
      </c>
      <c r="F215" s="525" t="s">
        <v>663</v>
      </c>
      <c r="G215" s="576" t="s">
        <v>475</v>
      </c>
      <c r="H215" s="527" t="s">
        <v>64</v>
      </c>
      <c r="I215" s="528" t="s">
        <v>822</v>
      </c>
      <c r="J215" s="529" t="s">
        <v>688</v>
      </c>
      <c r="K215" s="528" t="s">
        <v>831</v>
      </c>
      <c r="L215" s="567" t="s">
        <v>674</v>
      </c>
      <c r="M215" s="568" t="s">
        <v>833</v>
      </c>
      <c r="N215" s="531" t="s">
        <v>827</v>
      </c>
      <c r="O215" s="532" t="s">
        <v>1275</v>
      </c>
      <c r="P215" s="525" t="s">
        <v>827</v>
      </c>
      <c r="Q215" s="532" t="s">
        <v>663</v>
      </c>
      <c r="R215" s="532" t="s">
        <v>663</v>
      </c>
      <c r="S215" s="525" t="s">
        <v>662</v>
      </c>
      <c r="T215" s="525" t="s">
        <v>663</v>
      </c>
      <c r="U215" s="525" t="s">
        <v>663</v>
      </c>
      <c r="V215" s="532" t="s">
        <v>663</v>
      </c>
      <c r="W215" s="532" t="s">
        <v>663</v>
      </c>
      <c r="X215" s="532" t="s">
        <v>663</v>
      </c>
      <c r="Y215" s="532" t="s">
        <v>663</v>
      </c>
      <c r="Z215" s="532" t="s">
        <v>663</v>
      </c>
      <c r="AA215" s="532" t="s">
        <v>663</v>
      </c>
      <c r="AB215" s="525" t="str">
        <f t="shared" si="36"/>
        <v>DC</v>
      </c>
      <c r="AC215" s="525" t="s">
        <v>1247</v>
      </c>
      <c r="AD215" s="533" t="str" cm="1">
        <f t="array" ref="AD215">IF(SUMPRODUCT(ISNUMBER(SEARCH("y",R215:AA215))+0)=0,"",IF(AA215="y","400G",IF(Z215="y","100G",IF(X215="y","40G",IF(V215="y","10G",IF(S215="y","1G",IF(R215="y","100M",""))))))&amp;" "&amp;AB215&amp;" "&amp;AC215)</f>
        <v>1G DC SFP+</v>
      </c>
      <c r="AE215" s="534" t="str">
        <f t="shared" si="47"/>
        <v>XEM-12Sv2 1G DC SFP+</v>
      </c>
      <c r="AF215" s="910" t="str">
        <f t="shared" si="37"/>
        <v>ns</v>
      </c>
      <c r="AG215" s="911" t="str">
        <f t="shared" si="38"/>
        <v>ns</v>
      </c>
      <c r="AH215" s="911" t="str">
        <f t="shared" si="46"/>
        <v>.</v>
      </c>
      <c r="AI215" s="911" t="str">
        <f t="shared" si="39"/>
        <v>ns</v>
      </c>
      <c r="AJ215" s="911" t="str">
        <f t="shared" si="40"/>
        <v>ns</v>
      </c>
      <c r="AK215" s="921" t="str">
        <f t="shared" si="41"/>
        <v>ns</v>
      </c>
      <c r="AL215" s="908" t="str">
        <f t="shared" si="41"/>
        <v>ns</v>
      </c>
      <c r="AM215" s="909" t="str">
        <f t="shared" si="42"/>
        <v>ns</v>
      </c>
      <c r="AN215" s="908" t="str">
        <f t="shared" si="43"/>
        <v>ns</v>
      </c>
      <c r="AO215" s="908" t="str">
        <f t="shared" si="44"/>
        <v>ns</v>
      </c>
      <c r="AP215" s="908" t="str">
        <f t="shared" si="45"/>
        <v>ns</v>
      </c>
      <c r="AQ215" s="53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row>
    <row r="216" spans="1:212" s="536" customFormat="1">
      <c r="A216" s="504">
        <v>216</v>
      </c>
      <c r="B216" s="525" t="s">
        <v>61</v>
      </c>
      <c r="C216" s="577">
        <v>494</v>
      </c>
      <c r="D216" s="537" t="s">
        <v>821</v>
      </c>
      <c r="E216" s="525" t="s">
        <v>1496</v>
      </c>
      <c r="F216" s="525" t="s">
        <v>663</v>
      </c>
      <c r="G216" s="576" t="s">
        <v>475</v>
      </c>
      <c r="H216" s="527" t="s">
        <v>64</v>
      </c>
      <c r="I216" s="528" t="s">
        <v>822</v>
      </c>
      <c r="J216" s="529" t="s">
        <v>654</v>
      </c>
      <c r="K216" s="528" t="s">
        <v>197</v>
      </c>
      <c r="L216" s="567" t="s">
        <v>197</v>
      </c>
      <c r="M216" s="568" t="s">
        <v>197</v>
      </c>
      <c r="N216" s="531" t="s">
        <v>159</v>
      </c>
      <c r="O216" s="525" t="s">
        <v>159</v>
      </c>
      <c r="P216" s="525" t="s">
        <v>197</v>
      </c>
      <c r="Q216" s="532" t="s">
        <v>663</v>
      </c>
      <c r="R216" s="532" t="s">
        <v>663</v>
      </c>
      <c r="S216" s="532" t="s">
        <v>663</v>
      </c>
      <c r="T216" s="525" t="s">
        <v>663</v>
      </c>
      <c r="U216" s="525" t="s">
        <v>663</v>
      </c>
      <c r="V216" s="532" t="s">
        <v>663</v>
      </c>
      <c r="W216" s="532" t="s">
        <v>663</v>
      </c>
      <c r="X216" s="532" t="s">
        <v>663</v>
      </c>
      <c r="Y216" s="532" t="s">
        <v>663</v>
      </c>
      <c r="Z216" s="532" t="s">
        <v>663</v>
      </c>
      <c r="AA216" s="532" t="s">
        <v>663</v>
      </c>
      <c r="AB216" s="525" t="str">
        <f t="shared" si="36"/>
        <v/>
      </c>
      <c r="AC216" s="525"/>
      <c r="AD216" s="533" t="str" cm="1">
        <f t="array" ref="AD216">IF(SUMPRODUCT(ISNUMBER(SEARCH("y",R216:AA216))+0)=0,"",IF(AA216="y","400G",IF(Z216="y","100G",IF(X216="y","40G",IF(V216="y","10G",IF(S216="y","1G",IF(R216="y","100M",""))))))&amp;" "&amp;AB216&amp;" "&amp;AC216)</f>
        <v/>
      </c>
      <c r="AE216" s="578" t="str">
        <f t="shared" si="47"/>
        <v/>
      </c>
      <c r="AF216" s="910" t="str">
        <f t="shared" si="37"/>
        <v>ns</v>
      </c>
      <c r="AG216" s="911" t="str">
        <f t="shared" si="38"/>
        <v>ns</v>
      </c>
      <c r="AH216" s="911" t="str">
        <f t="shared" si="46"/>
        <v>ns</v>
      </c>
      <c r="AI216" s="911" t="str">
        <f t="shared" si="39"/>
        <v>ns</v>
      </c>
      <c r="AJ216" s="911" t="str">
        <f t="shared" si="40"/>
        <v>ns</v>
      </c>
      <c r="AK216" s="921" t="str">
        <f t="shared" si="41"/>
        <v>ns</v>
      </c>
      <c r="AL216" s="908" t="str">
        <f t="shared" si="41"/>
        <v>ns</v>
      </c>
      <c r="AM216" s="909" t="str">
        <f t="shared" si="42"/>
        <v>ns</v>
      </c>
      <c r="AN216" s="908" t="str">
        <f t="shared" si="43"/>
        <v>ns</v>
      </c>
      <c r="AO216" s="908" t="str">
        <f t="shared" si="44"/>
        <v>ns</v>
      </c>
      <c r="AP216" s="908" t="str">
        <f t="shared" si="45"/>
        <v>ns</v>
      </c>
      <c r="AQ216" s="535"/>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row>
    <row r="217" spans="1:212">
      <c r="A217" s="537">
        <v>217</v>
      </c>
      <c r="B217" s="537" t="s">
        <v>51</v>
      </c>
      <c r="C217" s="538">
        <v>387</v>
      </c>
      <c r="D217" s="537" t="s">
        <v>1497</v>
      </c>
      <c r="E217" s="537" t="s">
        <v>1498</v>
      </c>
      <c r="F217" s="537" t="s">
        <v>663</v>
      </c>
      <c r="G217" s="537" t="s">
        <v>661</v>
      </c>
      <c r="H217" s="539" t="s">
        <v>51</v>
      </c>
      <c r="I217" s="540" t="s">
        <v>1499</v>
      </c>
      <c r="J217" s="541" t="s">
        <v>688</v>
      </c>
      <c r="K217" s="540" t="s">
        <v>197</v>
      </c>
      <c r="L217" s="550" t="s">
        <v>197</v>
      </c>
      <c r="M217" s="541" t="s">
        <v>197</v>
      </c>
      <c r="N217" s="543" t="s">
        <v>689</v>
      </c>
      <c r="O217" s="544" t="s">
        <v>889</v>
      </c>
      <c r="P217" s="537" t="s">
        <v>1393</v>
      </c>
      <c r="Q217" s="544" t="s">
        <v>663</v>
      </c>
      <c r="R217" s="544" t="s">
        <v>663</v>
      </c>
      <c r="S217" s="537" t="s">
        <v>662</v>
      </c>
      <c r="T217" s="537" t="s">
        <v>663</v>
      </c>
      <c r="U217" s="537" t="s">
        <v>663</v>
      </c>
      <c r="V217" s="544" t="s">
        <v>662</v>
      </c>
      <c r="W217" s="544" t="s">
        <v>663</v>
      </c>
      <c r="X217" s="544" t="s">
        <v>663</v>
      </c>
      <c r="Y217" s="544" t="s">
        <v>663</v>
      </c>
      <c r="Z217" s="544" t="s">
        <v>663</v>
      </c>
      <c r="AA217" s="544" t="s">
        <v>663</v>
      </c>
      <c r="AB217" s="537" t="str">
        <f t="shared" si="36"/>
        <v>DC</v>
      </c>
      <c r="AC217" s="537" t="s">
        <v>1192</v>
      </c>
      <c r="AD217" s="545" t="str" cm="1">
        <f t="array" ref="AD217">IF(SUMPRODUCT(ISNUMBER(SEARCH("y",R217:AA217))+0)=0,"",IF(AA217="y","400G",IF(Z217="y","100G",IF(X217="y","40G",IF(V217="y","10G",IF(S217="y","1G",IF(R217="y","100M",""))))))&amp;" "&amp;AB217&amp;" "&amp;AC217)</f>
        <v>10G DC UPLINK</v>
      </c>
      <c r="AE217" s="546" t="str">
        <f t="shared" si="47"/>
        <v/>
      </c>
      <c r="AF217" s="912" t="str">
        <f t="shared" si="37"/>
        <v>ns</v>
      </c>
      <c r="AG217" s="405" t="str">
        <f t="shared" si="38"/>
        <v>ns</v>
      </c>
      <c r="AH217" s="405" t="str">
        <f t="shared" si="46"/>
        <v>.</v>
      </c>
      <c r="AI217" s="405" t="str">
        <f t="shared" si="39"/>
        <v>ns</v>
      </c>
      <c r="AJ217" s="405" t="str">
        <f t="shared" si="40"/>
        <v>ns</v>
      </c>
      <c r="AK217" s="922" t="str">
        <f t="shared" si="41"/>
        <v>.</v>
      </c>
      <c r="AL217" s="405" t="str">
        <f t="shared" si="41"/>
        <v>ns</v>
      </c>
      <c r="AM217" s="912" t="str">
        <f t="shared" si="42"/>
        <v>ns</v>
      </c>
      <c r="AN217" s="405" t="str">
        <f t="shared" si="43"/>
        <v>ns</v>
      </c>
      <c r="AO217" s="405" t="str">
        <f t="shared" si="44"/>
        <v>ns</v>
      </c>
      <c r="AP217" s="405" t="str">
        <f t="shared" si="45"/>
        <v>ns</v>
      </c>
      <c r="AQ217" s="547"/>
    </row>
    <row r="218" spans="1:212">
      <c r="A218" s="537">
        <v>218</v>
      </c>
      <c r="B218" s="537" t="s">
        <v>51</v>
      </c>
      <c r="C218" s="538">
        <v>388</v>
      </c>
      <c r="D218" s="537" t="s">
        <v>1500</v>
      </c>
      <c r="E218" s="537" t="s">
        <v>1501</v>
      </c>
      <c r="F218" s="537" t="s">
        <v>663</v>
      </c>
      <c r="G218" s="537" t="s">
        <v>661</v>
      </c>
      <c r="H218" s="539" t="s">
        <v>51</v>
      </c>
      <c r="I218" s="540" t="s">
        <v>1499</v>
      </c>
      <c r="J218" s="541" t="s">
        <v>688</v>
      </c>
      <c r="K218" s="540" t="s">
        <v>197</v>
      </c>
      <c r="L218" s="550" t="s">
        <v>197</v>
      </c>
      <c r="M218" s="541" t="s">
        <v>197</v>
      </c>
      <c r="N218" s="543" t="s">
        <v>689</v>
      </c>
      <c r="O218" s="544" t="s">
        <v>889</v>
      </c>
      <c r="P218" s="537" t="s">
        <v>1393</v>
      </c>
      <c r="Q218" s="544" t="s">
        <v>663</v>
      </c>
      <c r="R218" s="544" t="s">
        <v>663</v>
      </c>
      <c r="S218" s="537" t="s">
        <v>662</v>
      </c>
      <c r="T218" s="537" t="s">
        <v>663</v>
      </c>
      <c r="U218" s="537" t="s">
        <v>663</v>
      </c>
      <c r="V218" s="544" t="s">
        <v>662</v>
      </c>
      <c r="W218" s="544" t="s">
        <v>663</v>
      </c>
      <c r="X218" s="544" t="s">
        <v>663</v>
      </c>
      <c r="Y218" s="544" t="s">
        <v>663</v>
      </c>
      <c r="Z218" s="544" t="s">
        <v>663</v>
      </c>
      <c r="AA218" s="544" t="s">
        <v>663</v>
      </c>
      <c r="AB218" s="537" t="str">
        <f t="shared" si="36"/>
        <v>DC</v>
      </c>
      <c r="AC218" s="537" t="s">
        <v>1192</v>
      </c>
      <c r="AD218" s="545" t="str" cm="1">
        <f t="array" ref="AD218">IF(SUMPRODUCT(ISNUMBER(SEARCH("y",R218:AA218))+0)=0,"",IF(AA218="y","400G",IF(Z218="y","100G",IF(X218="y","40G",IF(V218="y","10G",IF(S218="y","1G",IF(R218="y","100M",""))))))&amp;" "&amp;AB218&amp;" "&amp;AC218)</f>
        <v>10G DC UPLINK</v>
      </c>
      <c r="AE218" s="546" t="str">
        <f t="shared" si="47"/>
        <v/>
      </c>
      <c r="AF218" s="912" t="str">
        <f t="shared" si="37"/>
        <v>ns</v>
      </c>
      <c r="AG218" s="405" t="str">
        <f t="shared" si="38"/>
        <v>ns</v>
      </c>
      <c r="AH218" s="405" t="str">
        <f t="shared" si="46"/>
        <v>.</v>
      </c>
      <c r="AI218" s="405" t="str">
        <f t="shared" si="39"/>
        <v>ns</v>
      </c>
      <c r="AJ218" s="405" t="str">
        <f t="shared" si="40"/>
        <v>ns</v>
      </c>
      <c r="AK218" s="922" t="str">
        <f t="shared" si="41"/>
        <v>.</v>
      </c>
      <c r="AL218" s="405" t="str">
        <f t="shared" si="41"/>
        <v>ns</v>
      </c>
      <c r="AM218" s="912" t="str">
        <f t="shared" si="42"/>
        <v>ns</v>
      </c>
      <c r="AN218" s="405" t="str">
        <f t="shared" si="43"/>
        <v>ns</v>
      </c>
      <c r="AO218" s="405" t="str">
        <f t="shared" si="44"/>
        <v>ns</v>
      </c>
      <c r="AP218" s="405" t="str">
        <f t="shared" si="45"/>
        <v>ns</v>
      </c>
      <c r="AQ218" s="547"/>
    </row>
    <row r="219" spans="1:212">
      <c r="A219" s="537">
        <v>219</v>
      </c>
      <c r="B219" s="537" t="s">
        <v>51</v>
      </c>
      <c r="C219" s="538">
        <v>389</v>
      </c>
      <c r="D219" s="537" t="s">
        <v>1502</v>
      </c>
      <c r="E219" s="537" t="s">
        <v>1503</v>
      </c>
      <c r="F219" s="537" t="s">
        <v>663</v>
      </c>
      <c r="G219" s="537" t="s">
        <v>661</v>
      </c>
      <c r="H219" s="539" t="s">
        <v>51</v>
      </c>
      <c r="I219" s="540" t="s">
        <v>1499</v>
      </c>
      <c r="J219" s="541" t="s">
        <v>1061</v>
      </c>
      <c r="K219" s="540" t="s">
        <v>1502</v>
      </c>
      <c r="L219" s="550" t="s">
        <v>674</v>
      </c>
      <c r="M219" s="541" t="s">
        <v>1064</v>
      </c>
      <c r="N219" s="543" t="s">
        <v>671</v>
      </c>
      <c r="O219" s="544" t="s">
        <v>899</v>
      </c>
      <c r="P219" s="537" t="s">
        <v>1259</v>
      </c>
      <c r="Q219" s="544" t="s">
        <v>663</v>
      </c>
      <c r="R219" s="537" t="s">
        <v>662</v>
      </c>
      <c r="S219" s="537" t="s">
        <v>662</v>
      </c>
      <c r="T219" s="537" t="s">
        <v>663</v>
      </c>
      <c r="U219" s="537" t="s">
        <v>663</v>
      </c>
      <c r="V219" s="544" t="s">
        <v>663</v>
      </c>
      <c r="W219" s="544" t="s">
        <v>663</v>
      </c>
      <c r="X219" s="544" t="s">
        <v>663</v>
      </c>
      <c r="Y219" s="544" t="s">
        <v>663</v>
      </c>
      <c r="Z219" s="544" t="s">
        <v>663</v>
      </c>
      <c r="AA219" s="544" t="s">
        <v>663</v>
      </c>
      <c r="AB219" s="537" t="str">
        <f t="shared" si="36"/>
        <v>PHY</v>
      </c>
      <c r="AC219" s="537" t="s">
        <v>1201</v>
      </c>
      <c r="AD219" s="545" t="str" cm="1">
        <f t="array" ref="AD219">IF(SUMPRODUCT(ISNUMBER(SEARCH("y",R219:AA219))+0)=0,"",IF(AA219="y","400G",IF(Z219="y","100G",IF(X219="y","40G",IF(V219="y","10G",IF(S219="y","1G",IF(R219="y","100M",""))))))&amp;" "&amp;AB219&amp;" "&amp;AC219)</f>
        <v>1G PHY BASE</v>
      </c>
      <c r="AE219" s="546" t="str">
        <f t="shared" si="47"/>
        <v>AT-x930-28GSTX 1G PHY BASE</v>
      </c>
      <c r="AF219" s="912" t="str">
        <f t="shared" si="37"/>
        <v>ns</v>
      </c>
      <c r="AG219" s="405" t="str">
        <f t="shared" si="38"/>
        <v>.</v>
      </c>
      <c r="AH219" s="405" t="str">
        <f t="shared" si="46"/>
        <v>.</v>
      </c>
      <c r="AI219" s="405" t="str">
        <f t="shared" si="39"/>
        <v>ns</v>
      </c>
      <c r="AJ219" s="405" t="str">
        <f t="shared" si="40"/>
        <v>ns</v>
      </c>
      <c r="AK219" s="922" t="str">
        <f t="shared" si="41"/>
        <v>ns</v>
      </c>
      <c r="AL219" s="405" t="str">
        <f t="shared" si="41"/>
        <v>ns</v>
      </c>
      <c r="AM219" s="912" t="str">
        <f t="shared" si="42"/>
        <v>ns</v>
      </c>
      <c r="AN219" s="405" t="str">
        <f t="shared" si="43"/>
        <v>ns</v>
      </c>
      <c r="AO219" s="405" t="str">
        <f t="shared" si="44"/>
        <v>ns</v>
      </c>
      <c r="AP219" s="405" t="str">
        <f t="shared" si="45"/>
        <v>ns</v>
      </c>
      <c r="AQ219" s="547"/>
    </row>
    <row r="220" spans="1:212">
      <c r="A220" s="537">
        <v>220</v>
      </c>
      <c r="B220" s="537" t="s">
        <v>51</v>
      </c>
      <c r="C220" s="538">
        <v>389</v>
      </c>
      <c r="D220" s="537" t="s">
        <v>1502</v>
      </c>
      <c r="E220" s="537" t="s">
        <v>1503</v>
      </c>
      <c r="F220" s="537" t="s">
        <v>663</v>
      </c>
      <c r="G220" s="537" t="s">
        <v>661</v>
      </c>
      <c r="H220" s="539" t="s">
        <v>51</v>
      </c>
      <c r="I220" s="540" t="s">
        <v>1499</v>
      </c>
      <c r="J220" s="541" t="s">
        <v>688</v>
      </c>
      <c r="K220" s="540" t="s">
        <v>1502</v>
      </c>
      <c r="L220" s="550" t="s">
        <v>674</v>
      </c>
      <c r="M220" s="541" t="s">
        <v>1064</v>
      </c>
      <c r="N220" s="543" t="s">
        <v>689</v>
      </c>
      <c r="O220" s="544" t="s">
        <v>889</v>
      </c>
      <c r="P220" s="537" t="s">
        <v>1393</v>
      </c>
      <c r="Q220" s="544" t="s">
        <v>663</v>
      </c>
      <c r="R220" s="544" t="s">
        <v>663</v>
      </c>
      <c r="S220" s="537" t="s">
        <v>662</v>
      </c>
      <c r="T220" s="537" t="s">
        <v>663</v>
      </c>
      <c r="U220" s="537" t="s">
        <v>663</v>
      </c>
      <c r="V220" s="544" t="s">
        <v>662</v>
      </c>
      <c r="W220" s="544" t="s">
        <v>663</v>
      </c>
      <c r="X220" s="544" t="s">
        <v>663</v>
      </c>
      <c r="Y220" s="544" t="s">
        <v>663</v>
      </c>
      <c r="Z220" s="544" t="s">
        <v>663</v>
      </c>
      <c r="AA220" s="544" t="s">
        <v>663</v>
      </c>
      <c r="AB220" s="537" t="str">
        <f t="shared" ref="AB220:AB235" si="48">IF(O220="N/A","",IF(J220="DC","DC","PHY"))</f>
        <v>DC</v>
      </c>
      <c r="AC220" s="537" t="s">
        <v>1192</v>
      </c>
      <c r="AD220" s="545" t="str" cm="1">
        <f t="array" ref="AD220">IF(SUMPRODUCT(ISNUMBER(SEARCH("y",R220:AA220))+0)=0,"",IF(AA220="y","400G",IF(Z220="y","100G",IF(X220="y","40G",IF(V220="y","10G",IF(S220="y","1G",IF(R220="y","100M",""))))))&amp;" "&amp;AB220&amp;" "&amp;AC220)</f>
        <v>10G DC UPLINK</v>
      </c>
      <c r="AE220" s="546" t="str">
        <f t="shared" si="47"/>
        <v>AT-x930-28GSTX 10G DC UPLINK</v>
      </c>
      <c r="AF220" s="912" t="str">
        <f t="shared" si="37"/>
        <v>ns</v>
      </c>
      <c r="AG220" s="405" t="str">
        <f t="shared" si="38"/>
        <v>ns</v>
      </c>
      <c r="AH220" s="405" t="str">
        <f t="shared" si="46"/>
        <v>.</v>
      </c>
      <c r="AI220" s="405" t="str">
        <f t="shared" si="39"/>
        <v>ns</v>
      </c>
      <c r="AJ220" s="405" t="str">
        <f t="shared" si="40"/>
        <v>ns</v>
      </c>
      <c r="AK220" s="922" t="str">
        <f t="shared" si="41"/>
        <v>.</v>
      </c>
      <c r="AL220" s="405" t="str">
        <f t="shared" si="41"/>
        <v>ns</v>
      </c>
      <c r="AM220" s="912" t="str">
        <f t="shared" si="42"/>
        <v>ns</v>
      </c>
      <c r="AN220" s="405" t="str">
        <f t="shared" si="43"/>
        <v>ns</v>
      </c>
      <c r="AO220" s="405" t="str">
        <f t="shared" si="44"/>
        <v>ns</v>
      </c>
      <c r="AP220" s="405" t="str">
        <f t="shared" si="45"/>
        <v>ns</v>
      </c>
      <c r="AQ220" s="547"/>
    </row>
    <row r="221" spans="1:212">
      <c r="A221" s="537">
        <v>221</v>
      </c>
      <c r="B221" s="537" t="s">
        <v>51</v>
      </c>
      <c r="C221" s="538">
        <v>390</v>
      </c>
      <c r="D221" s="537" t="s">
        <v>1504</v>
      </c>
      <c r="E221" s="537" t="s">
        <v>1505</v>
      </c>
      <c r="F221" s="537" t="s">
        <v>663</v>
      </c>
      <c r="G221" s="537" t="s">
        <v>661</v>
      </c>
      <c r="H221" s="539" t="s">
        <v>51</v>
      </c>
      <c r="I221" s="540" t="s">
        <v>1506</v>
      </c>
      <c r="J221" s="541" t="s">
        <v>688</v>
      </c>
      <c r="K221" s="540" t="s">
        <v>197</v>
      </c>
      <c r="L221" s="550" t="s">
        <v>197</v>
      </c>
      <c r="M221" s="541" t="s">
        <v>197</v>
      </c>
      <c r="N221" s="543" t="s">
        <v>689</v>
      </c>
      <c r="O221" s="544" t="s">
        <v>1202</v>
      </c>
      <c r="P221" s="537" t="s">
        <v>1393</v>
      </c>
      <c r="Q221" s="544" t="s">
        <v>663</v>
      </c>
      <c r="R221" s="544" t="s">
        <v>663</v>
      </c>
      <c r="S221" s="537" t="s">
        <v>662</v>
      </c>
      <c r="T221" s="537" t="s">
        <v>663</v>
      </c>
      <c r="U221" s="537" t="s">
        <v>663</v>
      </c>
      <c r="V221" s="544" t="s">
        <v>662</v>
      </c>
      <c r="W221" s="544" t="s">
        <v>663</v>
      </c>
      <c r="X221" s="544" t="s">
        <v>663</v>
      </c>
      <c r="Y221" s="544" t="s">
        <v>663</v>
      </c>
      <c r="Z221" s="544" t="s">
        <v>663</v>
      </c>
      <c r="AA221" s="544" t="s">
        <v>663</v>
      </c>
      <c r="AB221" s="537" t="str">
        <f t="shared" si="48"/>
        <v>DC</v>
      </c>
      <c r="AC221" s="537" t="s">
        <v>1192</v>
      </c>
      <c r="AD221" s="545" t="str" cm="1">
        <f t="array" ref="AD221">IF(SUMPRODUCT(ISNUMBER(SEARCH("y",R221:AA221))+0)=0,"",IF(AA221="y","400G",IF(Z221="y","100G",IF(X221="y","40G",IF(V221="y","10G",IF(S221="y","1G",IF(R221="y","100M",""))))))&amp;" "&amp;AB221&amp;" "&amp;AC221)</f>
        <v>10G DC UPLINK</v>
      </c>
      <c r="AE221" s="546" t="str">
        <f t="shared" si="47"/>
        <v/>
      </c>
      <c r="AF221" s="912" t="str">
        <f t="shared" si="37"/>
        <v>ns</v>
      </c>
      <c r="AG221" s="405" t="str">
        <f t="shared" si="38"/>
        <v>ns</v>
      </c>
      <c r="AH221" s="405" t="str">
        <f t="shared" si="46"/>
        <v>.</v>
      </c>
      <c r="AI221" s="405" t="str">
        <f t="shared" si="39"/>
        <v>ns</v>
      </c>
      <c r="AJ221" s="405" t="str">
        <f t="shared" si="40"/>
        <v>ns</v>
      </c>
      <c r="AK221" s="922" t="str">
        <f t="shared" si="41"/>
        <v>.</v>
      </c>
      <c r="AL221" s="405" t="str">
        <f t="shared" si="41"/>
        <v>ns</v>
      </c>
      <c r="AM221" s="912" t="str">
        <f t="shared" si="42"/>
        <v>ns</v>
      </c>
      <c r="AN221" s="405" t="str">
        <f t="shared" si="43"/>
        <v>ns</v>
      </c>
      <c r="AO221" s="405" t="str">
        <f t="shared" si="44"/>
        <v>ns</v>
      </c>
      <c r="AP221" s="405" t="str">
        <f t="shared" si="45"/>
        <v>ns</v>
      </c>
      <c r="AQ221" s="547"/>
    </row>
    <row r="222" spans="1:212">
      <c r="A222" s="537">
        <v>222</v>
      </c>
      <c r="B222" s="537" t="s">
        <v>51</v>
      </c>
      <c r="C222" s="538">
        <v>391</v>
      </c>
      <c r="D222" s="537" t="s">
        <v>1507</v>
      </c>
      <c r="E222" s="537" t="s">
        <v>1508</v>
      </c>
      <c r="F222" s="537" t="s">
        <v>663</v>
      </c>
      <c r="G222" s="537" t="s">
        <v>661</v>
      </c>
      <c r="H222" s="539" t="s">
        <v>51</v>
      </c>
      <c r="I222" s="540" t="s">
        <v>1506</v>
      </c>
      <c r="J222" s="541" t="s">
        <v>688</v>
      </c>
      <c r="K222" s="540" t="s">
        <v>197</v>
      </c>
      <c r="L222" s="550" t="s">
        <v>197</v>
      </c>
      <c r="M222" s="541" t="s">
        <v>197</v>
      </c>
      <c r="N222" s="543" t="s">
        <v>689</v>
      </c>
      <c r="O222" s="544" t="s">
        <v>1202</v>
      </c>
      <c r="P222" s="537" t="s">
        <v>1393</v>
      </c>
      <c r="Q222" s="544" t="s">
        <v>663</v>
      </c>
      <c r="R222" s="544" t="s">
        <v>663</v>
      </c>
      <c r="S222" s="537" t="s">
        <v>662</v>
      </c>
      <c r="T222" s="537" t="s">
        <v>663</v>
      </c>
      <c r="U222" s="537" t="s">
        <v>663</v>
      </c>
      <c r="V222" s="544" t="s">
        <v>662</v>
      </c>
      <c r="W222" s="544" t="s">
        <v>663</v>
      </c>
      <c r="X222" s="544" t="s">
        <v>663</v>
      </c>
      <c r="Y222" s="544" t="s">
        <v>663</v>
      </c>
      <c r="Z222" s="544" t="s">
        <v>663</v>
      </c>
      <c r="AA222" s="544" t="s">
        <v>663</v>
      </c>
      <c r="AB222" s="537" t="str">
        <f t="shared" si="48"/>
        <v>DC</v>
      </c>
      <c r="AC222" s="537" t="s">
        <v>1192</v>
      </c>
      <c r="AD222" s="545" t="str" cm="1">
        <f t="array" ref="AD222">IF(SUMPRODUCT(ISNUMBER(SEARCH("y",R222:AA222))+0)=0,"",IF(AA222="y","400G",IF(Z222="y","100G",IF(X222="y","40G",IF(V222="y","10G",IF(S222="y","1G",IF(R222="y","100M",""))))))&amp;" "&amp;AB222&amp;" "&amp;AC222)</f>
        <v>10G DC UPLINK</v>
      </c>
      <c r="AE222" s="546" t="str">
        <f t="shared" si="47"/>
        <v/>
      </c>
      <c r="AF222" s="912" t="str">
        <f t="shared" si="37"/>
        <v>ns</v>
      </c>
      <c r="AG222" s="405" t="str">
        <f t="shared" si="38"/>
        <v>ns</v>
      </c>
      <c r="AH222" s="405" t="str">
        <f t="shared" si="46"/>
        <v>.</v>
      </c>
      <c r="AI222" s="405" t="str">
        <f t="shared" si="39"/>
        <v>ns</v>
      </c>
      <c r="AJ222" s="405" t="str">
        <f t="shared" si="40"/>
        <v>ns</v>
      </c>
      <c r="AK222" s="922" t="str">
        <f t="shared" si="41"/>
        <v>.</v>
      </c>
      <c r="AL222" s="405" t="str">
        <f t="shared" si="41"/>
        <v>ns</v>
      </c>
      <c r="AM222" s="912" t="str">
        <f t="shared" si="42"/>
        <v>ns</v>
      </c>
      <c r="AN222" s="405" t="str">
        <f t="shared" si="43"/>
        <v>ns</v>
      </c>
      <c r="AO222" s="405" t="str">
        <f t="shared" si="44"/>
        <v>ns</v>
      </c>
      <c r="AP222" s="405" t="str">
        <f t="shared" si="45"/>
        <v>ns</v>
      </c>
      <c r="AQ222" s="547"/>
    </row>
    <row r="223" spans="1:212">
      <c r="A223" s="537">
        <v>223</v>
      </c>
      <c r="B223" s="537" t="s">
        <v>51</v>
      </c>
      <c r="C223" s="538">
        <v>418</v>
      </c>
      <c r="D223" s="537" t="s">
        <v>1509</v>
      </c>
      <c r="E223" s="537" t="s">
        <v>1510</v>
      </c>
      <c r="F223" s="537" t="s">
        <v>663</v>
      </c>
      <c r="G223" s="537" t="s">
        <v>661</v>
      </c>
      <c r="H223" s="539" t="s">
        <v>51</v>
      </c>
      <c r="I223" s="540" t="s">
        <v>197</v>
      </c>
      <c r="J223" s="541" t="s">
        <v>688</v>
      </c>
      <c r="K223" s="540" t="s">
        <v>1509</v>
      </c>
      <c r="L223" s="550" t="s">
        <v>674</v>
      </c>
      <c r="M223" s="541" t="s">
        <v>1068</v>
      </c>
      <c r="N223" s="543" t="s">
        <v>863</v>
      </c>
      <c r="O223" s="544" t="s">
        <v>1511</v>
      </c>
      <c r="P223" s="537" t="s">
        <v>1203</v>
      </c>
      <c r="Q223" s="544" t="s">
        <v>663</v>
      </c>
      <c r="R223" s="544" t="s">
        <v>663</v>
      </c>
      <c r="S223" s="544" t="s">
        <v>663</v>
      </c>
      <c r="T223" s="537" t="s">
        <v>663</v>
      </c>
      <c r="U223" s="537" t="s">
        <v>663</v>
      </c>
      <c r="V223" s="544" t="s">
        <v>663</v>
      </c>
      <c r="W223" s="544" t="s">
        <v>663</v>
      </c>
      <c r="X223" s="544" t="s">
        <v>662</v>
      </c>
      <c r="Y223" s="544" t="s">
        <v>663</v>
      </c>
      <c r="Z223" s="544" t="s">
        <v>663</v>
      </c>
      <c r="AA223" s="544" t="s">
        <v>663</v>
      </c>
      <c r="AB223" s="537" t="str">
        <f t="shared" si="48"/>
        <v>DC</v>
      </c>
      <c r="AC223" s="537" t="s">
        <v>1192</v>
      </c>
      <c r="AD223" s="545" t="str" cm="1">
        <f t="array" ref="AD223">IF(SUMPRODUCT(ISNUMBER(SEARCH("y",R223:AA223))+0)=0,"",IF(AA223="y","400G",IF(Z223="y","100G",IF(X223="y","40G",IF(V223="y","10G",IF(S223="y","1G",IF(R223="y","100M",""))))))&amp;" "&amp;AB223&amp;" "&amp;AC223)</f>
        <v>40G DC UPLINK</v>
      </c>
      <c r="AE223" s="546" t="str">
        <f t="shared" si="47"/>
        <v>AT-StackQS 40G DC UPLINK</v>
      </c>
      <c r="AF223" s="912" t="str">
        <f t="shared" si="37"/>
        <v>ns</v>
      </c>
      <c r="AG223" s="405" t="str">
        <f t="shared" si="38"/>
        <v>ns</v>
      </c>
      <c r="AH223" s="405" t="str">
        <f t="shared" si="46"/>
        <v>ns</v>
      </c>
      <c r="AI223" s="405" t="str">
        <f t="shared" si="39"/>
        <v>ns</v>
      </c>
      <c r="AJ223" s="405" t="str">
        <f t="shared" si="40"/>
        <v>ns</v>
      </c>
      <c r="AK223" s="922" t="str">
        <f t="shared" si="41"/>
        <v>ns</v>
      </c>
      <c r="AL223" s="405" t="str">
        <f t="shared" si="41"/>
        <v>ns</v>
      </c>
      <c r="AM223" s="912" t="str">
        <f t="shared" si="42"/>
        <v>.</v>
      </c>
      <c r="AN223" s="405" t="str">
        <f t="shared" si="43"/>
        <v>ns</v>
      </c>
      <c r="AO223" s="405" t="str">
        <f t="shared" si="44"/>
        <v>ns</v>
      </c>
      <c r="AP223" s="405" t="str">
        <f t="shared" si="45"/>
        <v>ns</v>
      </c>
      <c r="AQ223" s="547"/>
    </row>
    <row r="224" spans="1:212">
      <c r="A224" s="537">
        <v>224</v>
      </c>
      <c r="B224" s="537" t="s">
        <v>51</v>
      </c>
      <c r="C224" s="538">
        <v>419</v>
      </c>
      <c r="D224" s="537" t="s">
        <v>1069</v>
      </c>
      <c r="E224" s="537" t="s">
        <v>1512</v>
      </c>
      <c r="F224" s="537" t="s">
        <v>663</v>
      </c>
      <c r="G224" s="537" t="s">
        <v>661</v>
      </c>
      <c r="H224" s="539" t="s">
        <v>51</v>
      </c>
      <c r="I224" s="540" t="s">
        <v>197</v>
      </c>
      <c r="J224" s="541" t="s">
        <v>1070</v>
      </c>
      <c r="K224" s="540" t="s">
        <v>1069</v>
      </c>
      <c r="L224" s="550"/>
      <c r="M224" s="541"/>
      <c r="N224" s="543"/>
      <c r="O224" s="537" t="s">
        <v>159</v>
      </c>
      <c r="P224" s="537" t="s">
        <v>197</v>
      </c>
      <c r="Q224" s="544" t="s">
        <v>663</v>
      </c>
      <c r="R224" s="544" t="s">
        <v>663</v>
      </c>
      <c r="S224" s="544" t="s">
        <v>663</v>
      </c>
      <c r="T224" s="537" t="s">
        <v>663</v>
      </c>
      <c r="U224" s="537" t="s">
        <v>663</v>
      </c>
      <c r="V224" s="544" t="s">
        <v>663</v>
      </c>
      <c r="W224" s="544" t="s">
        <v>663</v>
      </c>
      <c r="X224" s="544" t="s">
        <v>663</v>
      </c>
      <c r="Y224" s="544" t="s">
        <v>663</v>
      </c>
      <c r="Z224" s="544" t="s">
        <v>663</v>
      </c>
      <c r="AA224" s="544" t="s">
        <v>663</v>
      </c>
      <c r="AB224" s="537" t="str">
        <f t="shared" si="48"/>
        <v/>
      </c>
      <c r="AC224" s="537"/>
      <c r="AD224" s="545" t="str" cm="1">
        <f t="array" ref="AD224">IF(SUMPRODUCT(ISNUMBER(SEARCH("y",R224:AA224))+0)=0,"",IF(AA224="y","400G",IF(Z224="y","100G",IF(X224="y","40G",IF(V224="y","10G",IF(S224="y","1G",IF(R224="y","100M",""))))))&amp;" "&amp;AB224&amp;" "&amp;AC224)</f>
        <v/>
      </c>
      <c r="AE224" s="546" t="str">
        <f t="shared" si="47"/>
        <v xml:space="preserve">AT-x9EM/XT4 </v>
      </c>
      <c r="AF224" s="912" t="str">
        <f t="shared" si="37"/>
        <v>ns</v>
      </c>
      <c r="AG224" s="405" t="str">
        <f t="shared" si="38"/>
        <v>ns</v>
      </c>
      <c r="AH224" s="405" t="str">
        <f t="shared" si="46"/>
        <v>ns</v>
      </c>
      <c r="AI224" s="405" t="str">
        <f t="shared" si="39"/>
        <v>ns</v>
      </c>
      <c r="AJ224" s="405" t="str">
        <f t="shared" si="40"/>
        <v>ns</v>
      </c>
      <c r="AK224" s="922" t="str">
        <f t="shared" si="41"/>
        <v>ns</v>
      </c>
      <c r="AL224" s="405" t="str">
        <f t="shared" si="41"/>
        <v>ns</v>
      </c>
      <c r="AM224" s="912" t="str">
        <f t="shared" si="42"/>
        <v>ns</v>
      </c>
      <c r="AN224" s="405" t="str">
        <f t="shared" si="43"/>
        <v>ns</v>
      </c>
      <c r="AO224" s="405" t="str">
        <f t="shared" si="44"/>
        <v>ns</v>
      </c>
      <c r="AP224" s="405" t="str">
        <f t="shared" si="45"/>
        <v>ns</v>
      </c>
      <c r="AQ224" s="547"/>
    </row>
    <row r="225" spans="1:212" s="536" customFormat="1">
      <c r="A225" s="504">
        <v>225</v>
      </c>
      <c r="B225" s="525" t="s">
        <v>187</v>
      </c>
      <c r="C225" s="526">
        <v>455</v>
      </c>
      <c r="D225" s="537" t="s">
        <v>1084</v>
      </c>
      <c r="E225" s="525" t="s">
        <v>1513</v>
      </c>
      <c r="F225" s="525" t="s">
        <v>663</v>
      </c>
      <c r="G225" s="525" t="s">
        <v>661</v>
      </c>
      <c r="H225" s="527" t="s">
        <v>227</v>
      </c>
      <c r="I225" s="528" t="s">
        <v>1085</v>
      </c>
      <c r="J225" s="529" t="s">
        <v>688</v>
      </c>
      <c r="K225" s="528" t="s">
        <v>1084</v>
      </c>
      <c r="L225" s="530" t="s">
        <v>2333</v>
      </c>
      <c r="M225" s="529" t="s">
        <v>1087</v>
      </c>
      <c r="N225" s="531" t="s">
        <v>689</v>
      </c>
      <c r="O225" s="532" t="s">
        <v>1514</v>
      </c>
      <c r="P225" s="525" t="s">
        <v>1393</v>
      </c>
      <c r="Q225" s="532" t="s">
        <v>663</v>
      </c>
      <c r="R225" s="532" t="s">
        <v>663</v>
      </c>
      <c r="S225" s="532" t="s">
        <v>662</v>
      </c>
      <c r="T225" s="525" t="s">
        <v>663</v>
      </c>
      <c r="U225" s="525" t="s">
        <v>663</v>
      </c>
      <c r="V225" s="532" t="s">
        <v>662</v>
      </c>
      <c r="W225" s="532" t="s">
        <v>663</v>
      </c>
      <c r="X225" s="532" t="s">
        <v>663</v>
      </c>
      <c r="Y225" s="532" t="s">
        <v>663</v>
      </c>
      <c r="Z225" s="532" t="s">
        <v>663</v>
      </c>
      <c r="AA225" s="532" t="s">
        <v>663</v>
      </c>
      <c r="AB225" s="525" t="str">
        <f t="shared" si="48"/>
        <v>DC</v>
      </c>
      <c r="AC225" s="525" t="s">
        <v>1192</v>
      </c>
      <c r="AD225" s="533" t="str" cm="1">
        <f t="array" ref="AD225">IF(SUMPRODUCT(ISNUMBER(SEARCH("y",R225:AA225))+0)=0,"",IF(AA225="y","400G",IF(Z225="y","100G",IF(X225="y","40G",IF(V225="y","10G",IF(S225="y","1G",IF(R225="y","100M",""))))))&amp;" "&amp;AB225&amp;" "&amp;AC225)</f>
        <v>10G DC UPLINK</v>
      </c>
      <c r="AE225" s="534" t="str">
        <f t="shared" si="47"/>
        <v>AT-XS916MXT 10G DC UPLINK</v>
      </c>
      <c r="AF225" s="910" t="str">
        <f t="shared" si="37"/>
        <v>ns</v>
      </c>
      <c r="AG225" s="911" t="str">
        <f t="shared" si="38"/>
        <v>ns</v>
      </c>
      <c r="AH225" s="911" t="str">
        <f t="shared" si="46"/>
        <v>.</v>
      </c>
      <c r="AI225" s="911" t="str">
        <f t="shared" si="39"/>
        <v>ns</v>
      </c>
      <c r="AJ225" s="911" t="str">
        <f t="shared" si="40"/>
        <v>ns</v>
      </c>
      <c r="AK225" s="921" t="str">
        <f t="shared" si="41"/>
        <v>.</v>
      </c>
      <c r="AL225" s="908" t="str">
        <f t="shared" si="41"/>
        <v>ns</v>
      </c>
      <c r="AM225" s="909" t="str">
        <f t="shared" si="42"/>
        <v>ns</v>
      </c>
      <c r="AN225" s="908" t="str">
        <f t="shared" si="43"/>
        <v>ns</v>
      </c>
      <c r="AO225" s="908" t="str">
        <f t="shared" si="44"/>
        <v>ns</v>
      </c>
      <c r="AP225" s="908" t="str">
        <f t="shared" si="45"/>
        <v>ns</v>
      </c>
      <c r="AQ225" s="53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row>
    <row r="226" spans="1:212" s="536" customFormat="1">
      <c r="A226" s="504">
        <v>226</v>
      </c>
      <c r="B226" s="525" t="s">
        <v>187</v>
      </c>
      <c r="C226" s="526">
        <v>456</v>
      </c>
      <c r="D226" s="537" t="s">
        <v>1089</v>
      </c>
      <c r="E226" s="525" t="s">
        <v>1515</v>
      </c>
      <c r="F226" s="525" t="s">
        <v>663</v>
      </c>
      <c r="G226" s="525" t="s">
        <v>661</v>
      </c>
      <c r="H226" s="527" t="s">
        <v>227</v>
      </c>
      <c r="I226" s="528" t="s">
        <v>1085</v>
      </c>
      <c r="J226" s="529" t="s">
        <v>688</v>
      </c>
      <c r="K226" s="528"/>
      <c r="L226" s="530"/>
      <c r="M226" s="529"/>
      <c r="N226" s="531" t="s">
        <v>689</v>
      </c>
      <c r="O226" s="532" t="s">
        <v>1516</v>
      </c>
      <c r="P226" s="525" t="s">
        <v>1393</v>
      </c>
      <c r="Q226" s="532" t="s">
        <v>663</v>
      </c>
      <c r="R226" s="532" t="s">
        <v>663</v>
      </c>
      <c r="S226" s="532" t="s">
        <v>662</v>
      </c>
      <c r="T226" s="525" t="s">
        <v>663</v>
      </c>
      <c r="U226" s="525" t="s">
        <v>663</v>
      </c>
      <c r="V226" s="532" t="s">
        <v>662</v>
      </c>
      <c r="W226" s="532" t="s">
        <v>663</v>
      </c>
      <c r="X226" s="532" t="s">
        <v>663</v>
      </c>
      <c r="Y226" s="532" t="s">
        <v>663</v>
      </c>
      <c r="Z226" s="532" t="s">
        <v>663</v>
      </c>
      <c r="AA226" s="532" t="s">
        <v>663</v>
      </c>
      <c r="AB226" s="525" t="str">
        <f t="shared" si="48"/>
        <v>DC</v>
      </c>
      <c r="AC226" s="525" t="s">
        <v>1192</v>
      </c>
      <c r="AD226" s="533" t="str" cm="1">
        <f t="array" ref="AD226">IF(SUMPRODUCT(ISNUMBER(SEARCH("y",R226:AA226))+0)=0,"",IF(AA226="y","400G",IF(Z226="y","100G",IF(X226="y","40G",IF(V226="y","10G",IF(S226="y","1G",IF(R226="y","100M",""))))))&amp;" "&amp;AB226&amp;" "&amp;AC226)</f>
        <v>10G DC UPLINK</v>
      </c>
      <c r="AE226" s="534" t="str">
        <f t="shared" si="47"/>
        <v xml:space="preserve"> 10G DC UPLINK</v>
      </c>
      <c r="AF226" s="910" t="str">
        <f t="shared" si="37"/>
        <v>ns</v>
      </c>
      <c r="AG226" s="911" t="str">
        <f t="shared" si="38"/>
        <v>ns</v>
      </c>
      <c r="AH226" s="911" t="str">
        <f t="shared" si="46"/>
        <v>.</v>
      </c>
      <c r="AI226" s="911" t="str">
        <f t="shared" si="39"/>
        <v>ns</v>
      </c>
      <c r="AJ226" s="911" t="str">
        <f t="shared" si="40"/>
        <v>ns</v>
      </c>
      <c r="AK226" s="921" t="str">
        <f t="shared" si="41"/>
        <v>.</v>
      </c>
      <c r="AL226" s="908" t="str">
        <f t="shared" si="41"/>
        <v>ns</v>
      </c>
      <c r="AM226" s="909" t="str">
        <f t="shared" si="42"/>
        <v>ns</v>
      </c>
      <c r="AN226" s="908" t="str">
        <f t="shared" si="43"/>
        <v>ns</v>
      </c>
      <c r="AO226" s="908" t="str">
        <f t="shared" si="44"/>
        <v>ns</v>
      </c>
      <c r="AP226" s="908" t="str">
        <f t="shared" si="45"/>
        <v>ns</v>
      </c>
      <c r="AQ226" s="535"/>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row>
    <row r="227" spans="1:212" s="536" customFormat="1">
      <c r="A227" s="504">
        <v>227</v>
      </c>
      <c r="B227" s="579" t="s">
        <v>187</v>
      </c>
      <c r="C227" s="580">
        <v>457</v>
      </c>
      <c r="D227" s="537" t="s">
        <v>1088</v>
      </c>
      <c r="E227" s="579" t="s">
        <v>1517</v>
      </c>
      <c r="F227" s="579" t="s">
        <v>663</v>
      </c>
      <c r="G227" s="579" t="s">
        <v>661</v>
      </c>
      <c r="H227" s="581" t="s">
        <v>227</v>
      </c>
      <c r="I227" s="582" t="s">
        <v>1085</v>
      </c>
      <c r="J227" s="583" t="s">
        <v>688</v>
      </c>
      <c r="K227" s="582"/>
      <c r="L227" s="584"/>
      <c r="M227" s="583"/>
      <c r="N227" s="585" t="s">
        <v>689</v>
      </c>
      <c r="O227" s="586" t="s">
        <v>1514</v>
      </c>
      <c r="P227" s="579" t="s">
        <v>1393</v>
      </c>
      <c r="Q227" s="586" t="s">
        <v>663</v>
      </c>
      <c r="R227" s="586" t="s">
        <v>663</v>
      </c>
      <c r="S227" s="586" t="s">
        <v>662</v>
      </c>
      <c r="T227" s="579" t="s">
        <v>663</v>
      </c>
      <c r="U227" s="579" t="s">
        <v>663</v>
      </c>
      <c r="V227" s="586" t="s">
        <v>662</v>
      </c>
      <c r="W227" s="586" t="s">
        <v>663</v>
      </c>
      <c r="X227" s="586" t="s">
        <v>663</v>
      </c>
      <c r="Y227" s="586" t="s">
        <v>663</v>
      </c>
      <c r="Z227" s="586" t="s">
        <v>663</v>
      </c>
      <c r="AA227" s="586" t="s">
        <v>663</v>
      </c>
      <c r="AB227" s="579" t="str">
        <f t="shared" si="48"/>
        <v>DC</v>
      </c>
      <c r="AC227" s="579" t="s">
        <v>1192</v>
      </c>
      <c r="AD227" s="587" t="str" cm="1">
        <f t="array" ref="AD227">IF(SUMPRODUCT(ISNUMBER(SEARCH("y",R227:AA227))+0)=0,"",IF(AA227="y","400G",IF(Z227="y","100G",IF(X227="y","40G",IF(V227="y","10G",IF(S227="y","1G",IF(R227="y","100M",""))))))&amp;" "&amp;AB227&amp;" "&amp;AC227)</f>
        <v>10G DC UPLINK</v>
      </c>
      <c r="AE227" s="578" t="str">
        <f t="shared" si="47"/>
        <v xml:space="preserve"> 10G DC UPLINK</v>
      </c>
      <c r="AF227" s="913" t="str">
        <f t="shared" si="37"/>
        <v>ns</v>
      </c>
      <c r="AG227" s="914" t="str">
        <f t="shared" si="38"/>
        <v>ns</v>
      </c>
      <c r="AH227" s="914" t="str">
        <f t="shared" si="46"/>
        <v>.</v>
      </c>
      <c r="AI227" s="914" t="str">
        <f t="shared" si="39"/>
        <v>ns</v>
      </c>
      <c r="AJ227" s="914" t="str">
        <f t="shared" si="40"/>
        <v>ns</v>
      </c>
      <c r="AK227" s="923" t="str">
        <f t="shared" si="41"/>
        <v>.</v>
      </c>
      <c r="AL227" s="908" t="str">
        <f t="shared" si="41"/>
        <v>ns</v>
      </c>
      <c r="AM227" s="909" t="str">
        <f t="shared" si="42"/>
        <v>ns</v>
      </c>
      <c r="AN227" s="908" t="str">
        <f t="shared" si="43"/>
        <v>ns</v>
      </c>
      <c r="AO227" s="908" t="str">
        <f t="shared" si="44"/>
        <v>ns</v>
      </c>
      <c r="AP227" s="908" t="str">
        <f t="shared" si="45"/>
        <v>ns</v>
      </c>
      <c r="AQ227" s="588"/>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row>
    <row r="228" spans="1:212">
      <c r="A228" s="537">
        <v>228</v>
      </c>
      <c r="B228" s="537" t="s">
        <v>1518</v>
      </c>
      <c r="C228" s="538">
        <v>588</v>
      </c>
      <c r="D228" s="537" t="s">
        <v>1519</v>
      </c>
      <c r="E228" s="589" t="s">
        <v>1520</v>
      </c>
      <c r="F228" s="537" t="s">
        <v>663</v>
      </c>
      <c r="G228" s="537" t="s">
        <v>661</v>
      </c>
      <c r="H228" s="539" t="s">
        <v>1518</v>
      </c>
      <c r="I228" s="590" t="s">
        <v>1521</v>
      </c>
      <c r="J228" s="545" t="s">
        <v>688</v>
      </c>
      <c r="K228" s="942" t="s">
        <v>1522</v>
      </c>
      <c r="L228" s="943" t="s">
        <v>1523</v>
      </c>
      <c r="M228" s="944" t="s">
        <v>1524</v>
      </c>
      <c r="N228" s="543" t="s">
        <v>689</v>
      </c>
      <c r="O228" s="544" t="s">
        <v>1525</v>
      </c>
      <c r="P228" s="537" t="s">
        <v>1393</v>
      </c>
      <c r="Q228" s="544" t="s">
        <v>663</v>
      </c>
      <c r="R228" s="544" t="s">
        <v>663</v>
      </c>
      <c r="S228" s="544" t="s">
        <v>662</v>
      </c>
      <c r="T228" s="537" t="s">
        <v>662</v>
      </c>
      <c r="U228" s="537" t="s">
        <v>662</v>
      </c>
      <c r="V228" s="544" t="s">
        <v>662</v>
      </c>
      <c r="W228" s="544" t="s">
        <v>663</v>
      </c>
      <c r="X228" s="544" t="s">
        <v>663</v>
      </c>
      <c r="Y228" s="544" t="s">
        <v>663</v>
      </c>
      <c r="Z228" s="544" t="s">
        <v>663</v>
      </c>
      <c r="AA228" s="544" t="s">
        <v>663</v>
      </c>
      <c r="AB228" s="537" t="str">
        <f t="shared" si="48"/>
        <v>DC</v>
      </c>
      <c r="AC228" s="537" t="s">
        <v>1192</v>
      </c>
      <c r="AD228" s="545" t="str" cm="1">
        <f t="array" ref="AD228">IF(SUMPRODUCT(ISNUMBER(SEARCH("y",R228:AA228))+0)=0,"",IF(AA228="y","400G",IF(Z228="y","100G",IF(X228="y","40G",IF(V228="y","10G",IF(S228="y","1G",IF(R228="y","100M",""))))))&amp;" "&amp;AB228&amp;" "&amp;AC228)</f>
        <v>10G DC UPLINK</v>
      </c>
      <c r="AE228" s="592" t="str">
        <f t="shared" si="47"/>
        <v>AT-x330-10GTX  10G DC UPLINK</v>
      </c>
      <c r="AF228" s="877" t="str">
        <f t="shared" si="37"/>
        <v>ns</v>
      </c>
      <c r="AG228" s="162" t="str">
        <f t="shared" si="38"/>
        <v>ns</v>
      </c>
      <c r="AH228" s="162" t="str">
        <f t="shared" si="46"/>
        <v>.</v>
      </c>
      <c r="AI228" s="162" t="str">
        <f t="shared" si="39"/>
        <v>.</v>
      </c>
      <c r="AJ228" s="162" t="str">
        <f t="shared" si="40"/>
        <v>.</v>
      </c>
      <c r="AK228" s="875" t="str">
        <f t="shared" si="41"/>
        <v>.</v>
      </c>
      <c r="AL228" s="405" t="str">
        <f t="shared" si="41"/>
        <v>ns</v>
      </c>
      <c r="AM228" s="912" t="str">
        <f t="shared" si="42"/>
        <v>ns</v>
      </c>
      <c r="AN228" s="405" t="str">
        <f t="shared" si="43"/>
        <v>ns</v>
      </c>
      <c r="AO228" s="405" t="str">
        <f t="shared" si="44"/>
        <v>ns</v>
      </c>
      <c r="AP228" s="405" t="str">
        <f t="shared" si="45"/>
        <v>ns</v>
      </c>
      <c r="AQ228" s="593"/>
    </row>
    <row r="229" spans="1:212">
      <c r="A229" s="537">
        <v>229</v>
      </c>
      <c r="B229" s="594" t="s">
        <v>1518</v>
      </c>
      <c r="C229" s="538">
        <v>589</v>
      </c>
      <c r="D229" s="537" t="s">
        <v>1526</v>
      </c>
      <c r="E229" s="595" t="s">
        <v>1527</v>
      </c>
      <c r="F229" s="594" t="s">
        <v>663</v>
      </c>
      <c r="G229" s="537" t="s">
        <v>661</v>
      </c>
      <c r="H229" s="596" t="s">
        <v>1518</v>
      </c>
      <c r="I229" s="597" t="s">
        <v>1521</v>
      </c>
      <c r="J229" s="598" t="s">
        <v>688</v>
      </c>
      <c r="K229" s="597"/>
      <c r="L229" s="599"/>
      <c r="M229" s="600"/>
      <c r="N229" s="601" t="s">
        <v>689</v>
      </c>
      <c r="O229" s="602" t="s">
        <v>1528</v>
      </c>
      <c r="P229" s="594" t="s">
        <v>1393</v>
      </c>
      <c r="Q229" s="602" t="s">
        <v>663</v>
      </c>
      <c r="R229" s="602" t="s">
        <v>663</v>
      </c>
      <c r="S229" s="602" t="s">
        <v>662</v>
      </c>
      <c r="T229" s="594" t="s">
        <v>662</v>
      </c>
      <c r="U229" s="594" t="s">
        <v>662</v>
      </c>
      <c r="V229" s="602" t="s">
        <v>662</v>
      </c>
      <c r="W229" s="602" t="s">
        <v>663</v>
      </c>
      <c r="X229" s="602" t="s">
        <v>663</v>
      </c>
      <c r="Y229" s="602" t="s">
        <v>663</v>
      </c>
      <c r="Z229" s="602" t="s">
        <v>663</v>
      </c>
      <c r="AA229" s="602" t="s">
        <v>663</v>
      </c>
      <c r="AB229" s="594" t="str">
        <f t="shared" si="48"/>
        <v>DC</v>
      </c>
      <c r="AC229" s="594" t="s">
        <v>1192</v>
      </c>
      <c r="AD229" s="598" t="str" cm="1">
        <f t="array" ref="AD229">IF(SUMPRODUCT(ISNUMBER(SEARCH("y",R229:AA229))+0)=0,"",IF(AA229="y","400G",IF(Z229="y","100G",IF(X229="y","40G",IF(V229="y","10G",IF(S229="y","1G",IF(R229="y","100M",""))))))&amp;" "&amp;AB229&amp;" "&amp;AC229)</f>
        <v>10G DC UPLINK</v>
      </c>
      <c r="AE229" s="603" t="str">
        <f t="shared" si="47"/>
        <v xml:space="preserve"> 10G DC UPLINK</v>
      </c>
      <c r="AF229" s="915" t="str">
        <f t="shared" si="37"/>
        <v>ns</v>
      </c>
      <c r="AG229" s="146" t="str">
        <f t="shared" si="38"/>
        <v>ns</v>
      </c>
      <c r="AH229" s="146" t="str">
        <f t="shared" si="46"/>
        <v>.</v>
      </c>
      <c r="AI229" s="146" t="str">
        <f t="shared" si="39"/>
        <v>.</v>
      </c>
      <c r="AJ229" s="146" t="str">
        <f t="shared" si="40"/>
        <v>.</v>
      </c>
      <c r="AK229" s="924" t="str">
        <f t="shared" si="41"/>
        <v>.</v>
      </c>
      <c r="AL229" s="405" t="str">
        <f t="shared" si="41"/>
        <v>ns</v>
      </c>
      <c r="AM229" s="912" t="str">
        <f t="shared" si="42"/>
        <v>ns</v>
      </c>
      <c r="AN229" s="405" t="str">
        <f t="shared" si="43"/>
        <v>ns</v>
      </c>
      <c r="AO229" s="405" t="str">
        <f t="shared" si="44"/>
        <v>ns</v>
      </c>
      <c r="AP229" s="405" t="str">
        <f t="shared" si="45"/>
        <v>ns</v>
      </c>
      <c r="AQ229" s="604"/>
    </row>
    <row r="230" spans="1:212">
      <c r="A230" s="537">
        <v>230</v>
      </c>
      <c r="B230" s="537" t="s">
        <v>1518</v>
      </c>
      <c r="C230" s="538">
        <v>590</v>
      </c>
      <c r="D230" s="537" t="s">
        <v>1529</v>
      </c>
      <c r="E230" s="589" t="s">
        <v>1530</v>
      </c>
      <c r="F230" s="537" t="s">
        <v>663</v>
      </c>
      <c r="G230" s="537" t="s">
        <v>661</v>
      </c>
      <c r="H230" s="539" t="s">
        <v>1518</v>
      </c>
      <c r="I230" s="590" t="s">
        <v>1521</v>
      </c>
      <c r="J230" s="545" t="s">
        <v>688</v>
      </c>
      <c r="K230" s="590" t="s">
        <v>1529</v>
      </c>
      <c r="L230" s="250" t="s">
        <v>2333</v>
      </c>
      <c r="M230" s="591" t="s">
        <v>2346</v>
      </c>
      <c r="N230" s="543" t="s">
        <v>689</v>
      </c>
      <c r="O230" s="544" t="s">
        <v>1367</v>
      </c>
      <c r="P230" s="537" t="s">
        <v>1393</v>
      </c>
      <c r="Q230" s="544" t="s">
        <v>663</v>
      </c>
      <c r="R230" s="544" t="s">
        <v>663</v>
      </c>
      <c r="S230" s="544" t="s">
        <v>662</v>
      </c>
      <c r="T230" s="537" t="s">
        <v>662</v>
      </c>
      <c r="U230" s="537" t="s">
        <v>662</v>
      </c>
      <c r="V230" s="544" t="s">
        <v>662</v>
      </c>
      <c r="W230" s="544" t="s">
        <v>663</v>
      </c>
      <c r="X230" s="544" t="s">
        <v>663</v>
      </c>
      <c r="Y230" s="544" t="s">
        <v>663</v>
      </c>
      <c r="Z230" s="544" t="s">
        <v>663</v>
      </c>
      <c r="AA230" s="544" t="s">
        <v>663</v>
      </c>
      <c r="AB230" s="537" t="str">
        <f t="shared" si="48"/>
        <v>DC</v>
      </c>
      <c r="AC230" s="537" t="s">
        <v>1192</v>
      </c>
      <c r="AD230" s="545" t="str" cm="1">
        <f t="array" ref="AD230">IF(SUMPRODUCT(ISNUMBER(SEARCH("y",R230:AA230))+0)=0,"",IF(AA230="y","400G",IF(Z230="y","100G",IF(X230="y","40G",IF(V230="y","10G",IF(S230="y","1G",IF(R230="y","100M",""))))))&amp;" "&amp;AB230&amp;" "&amp;AC230)</f>
        <v>10G DC UPLINK</v>
      </c>
      <c r="AE230" s="592" t="str">
        <f t="shared" si="47"/>
        <v>AT-x330-28GTX 10G DC UPLINK</v>
      </c>
      <c r="AF230" s="877" t="str">
        <f t="shared" si="37"/>
        <v>ns</v>
      </c>
      <c r="AG230" s="162" t="str">
        <f t="shared" si="38"/>
        <v>ns</v>
      </c>
      <c r="AH230" s="162" t="str">
        <f t="shared" si="46"/>
        <v>.</v>
      </c>
      <c r="AI230" s="162" t="str">
        <f t="shared" si="39"/>
        <v>.</v>
      </c>
      <c r="AJ230" s="162" t="str">
        <f t="shared" si="40"/>
        <v>.</v>
      </c>
      <c r="AK230" s="875" t="str">
        <f t="shared" si="41"/>
        <v>.</v>
      </c>
      <c r="AL230" s="405" t="str">
        <f t="shared" si="41"/>
        <v>ns</v>
      </c>
      <c r="AM230" s="912" t="str">
        <f t="shared" si="42"/>
        <v>ns</v>
      </c>
      <c r="AN230" s="405" t="str">
        <f t="shared" si="43"/>
        <v>ns</v>
      </c>
      <c r="AO230" s="405" t="str">
        <f t="shared" si="44"/>
        <v>ns</v>
      </c>
      <c r="AP230" s="405" t="str">
        <f t="shared" si="45"/>
        <v>ns</v>
      </c>
      <c r="AQ230" s="593"/>
    </row>
    <row r="231" spans="1:212">
      <c r="A231" s="537">
        <v>231</v>
      </c>
      <c r="B231" s="537" t="s">
        <v>1518</v>
      </c>
      <c r="C231" s="538">
        <v>591</v>
      </c>
      <c r="D231" s="537" t="s">
        <v>1531</v>
      </c>
      <c r="E231" s="589" t="s">
        <v>1532</v>
      </c>
      <c r="F231" s="537" t="s">
        <v>663</v>
      </c>
      <c r="G231" s="537" t="s">
        <v>661</v>
      </c>
      <c r="H231" s="539" t="s">
        <v>1518</v>
      </c>
      <c r="I231" s="590" t="s">
        <v>1521</v>
      </c>
      <c r="J231" s="545" t="s">
        <v>688</v>
      </c>
      <c r="K231" s="590"/>
      <c r="L231" s="250"/>
      <c r="M231" s="591"/>
      <c r="N231" s="543" t="s">
        <v>689</v>
      </c>
      <c r="O231" s="544" t="s">
        <v>1371</v>
      </c>
      <c r="P231" s="537" t="s">
        <v>1393</v>
      </c>
      <c r="Q231" s="544" t="s">
        <v>663</v>
      </c>
      <c r="R231" s="544" t="s">
        <v>663</v>
      </c>
      <c r="S231" s="544" t="s">
        <v>662</v>
      </c>
      <c r="T231" s="537" t="s">
        <v>662</v>
      </c>
      <c r="U231" s="537" t="s">
        <v>662</v>
      </c>
      <c r="V231" s="544" t="s">
        <v>662</v>
      </c>
      <c r="W231" s="544" t="s">
        <v>663</v>
      </c>
      <c r="X231" s="544" t="s">
        <v>663</v>
      </c>
      <c r="Y231" s="544" t="s">
        <v>663</v>
      </c>
      <c r="Z231" s="544" t="s">
        <v>663</v>
      </c>
      <c r="AA231" s="544" t="s">
        <v>663</v>
      </c>
      <c r="AB231" s="537" t="str">
        <f t="shared" si="48"/>
        <v>DC</v>
      </c>
      <c r="AC231" s="537" t="s">
        <v>1192</v>
      </c>
      <c r="AD231" s="545" t="str" cm="1">
        <f t="array" ref="AD231">IF(SUMPRODUCT(ISNUMBER(SEARCH("y",R231:AA231))+0)=0,"",IF(AA231="y","400G",IF(Z231="y","100G",IF(X231="y","40G",IF(V231="y","10G",IF(S231="y","1G",IF(R231="y","100M",""))))))&amp;" "&amp;AB231&amp;" "&amp;AC231)</f>
        <v>10G DC UPLINK</v>
      </c>
      <c r="AE231" s="592" t="str">
        <f t="shared" si="47"/>
        <v xml:space="preserve"> 10G DC UPLINK</v>
      </c>
      <c r="AF231" s="877" t="str">
        <f t="shared" si="37"/>
        <v>ns</v>
      </c>
      <c r="AG231" s="162" t="str">
        <f t="shared" si="38"/>
        <v>ns</v>
      </c>
      <c r="AH231" s="162" t="str">
        <f t="shared" si="46"/>
        <v>.</v>
      </c>
      <c r="AI231" s="162" t="str">
        <f t="shared" si="39"/>
        <v>.</v>
      </c>
      <c r="AJ231" s="162" t="str">
        <f t="shared" si="40"/>
        <v>.</v>
      </c>
      <c r="AK231" s="875" t="str">
        <f t="shared" si="41"/>
        <v>.</v>
      </c>
      <c r="AL231" s="405" t="str">
        <f t="shared" si="41"/>
        <v>ns</v>
      </c>
      <c r="AM231" s="912" t="str">
        <f t="shared" si="42"/>
        <v>ns</v>
      </c>
      <c r="AN231" s="405" t="str">
        <f t="shared" si="43"/>
        <v>ns</v>
      </c>
      <c r="AO231" s="405" t="str">
        <f t="shared" si="44"/>
        <v>ns</v>
      </c>
      <c r="AP231" s="405" t="str">
        <f t="shared" si="45"/>
        <v>ns</v>
      </c>
      <c r="AQ231" s="593"/>
    </row>
    <row r="232" spans="1:212">
      <c r="A232" s="537">
        <v>232</v>
      </c>
      <c r="B232" s="537" t="s">
        <v>1518</v>
      </c>
      <c r="C232" s="538">
        <v>592</v>
      </c>
      <c r="D232" s="537" t="s">
        <v>1533</v>
      </c>
      <c r="E232" s="589" t="s">
        <v>1534</v>
      </c>
      <c r="F232" s="537" t="s">
        <v>663</v>
      </c>
      <c r="G232" s="537" t="s">
        <v>661</v>
      </c>
      <c r="H232" s="539" t="s">
        <v>1518</v>
      </c>
      <c r="I232" s="590" t="s">
        <v>1521</v>
      </c>
      <c r="J232" s="545" t="s">
        <v>688</v>
      </c>
      <c r="K232" s="590"/>
      <c r="L232" s="250"/>
      <c r="M232" s="591"/>
      <c r="N232" s="543" t="s">
        <v>689</v>
      </c>
      <c r="O232" s="544" t="s">
        <v>1525</v>
      </c>
      <c r="P232" s="537" t="s">
        <v>1393</v>
      </c>
      <c r="Q232" s="544" t="s">
        <v>663</v>
      </c>
      <c r="R232" s="544" t="s">
        <v>663</v>
      </c>
      <c r="S232" s="544" t="s">
        <v>662</v>
      </c>
      <c r="T232" s="537" t="s">
        <v>662</v>
      </c>
      <c r="U232" s="537" t="s">
        <v>662</v>
      </c>
      <c r="V232" s="544" t="s">
        <v>662</v>
      </c>
      <c r="W232" s="544" t="s">
        <v>663</v>
      </c>
      <c r="X232" s="544" t="s">
        <v>663</v>
      </c>
      <c r="Y232" s="544" t="s">
        <v>663</v>
      </c>
      <c r="Z232" s="544" t="s">
        <v>663</v>
      </c>
      <c r="AA232" s="544" t="s">
        <v>663</v>
      </c>
      <c r="AB232" s="537" t="str">
        <f t="shared" si="48"/>
        <v>DC</v>
      </c>
      <c r="AC232" s="537" t="s">
        <v>1192</v>
      </c>
      <c r="AD232" s="545" t="str" cm="1">
        <f t="array" ref="AD232">IF(SUMPRODUCT(ISNUMBER(SEARCH("y",R232:AA232))+0)=0,"",IF(AA232="y","400G",IF(Z232="y","100G",IF(X232="y","40G",IF(V232="y","10G",IF(S232="y","1G",IF(R232="y","100M",""))))))&amp;" "&amp;AB232&amp;" "&amp;AC232)</f>
        <v>10G DC UPLINK</v>
      </c>
      <c r="AE232" s="592" t="str">
        <f t="shared" si="47"/>
        <v xml:space="preserve"> 10G DC UPLINK</v>
      </c>
      <c r="AF232" s="877" t="str">
        <f t="shared" si="37"/>
        <v>ns</v>
      </c>
      <c r="AG232" s="162" t="str">
        <f t="shared" si="38"/>
        <v>ns</v>
      </c>
      <c r="AH232" s="162" t="str">
        <f t="shared" si="46"/>
        <v>.</v>
      </c>
      <c r="AI232" s="162" t="str">
        <f t="shared" si="39"/>
        <v>.</v>
      </c>
      <c r="AJ232" s="162" t="str">
        <f t="shared" si="40"/>
        <v>.</v>
      </c>
      <c r="AK232" s="875" t="str">
        <f t="shared" si="41"/>
        <v>.</v>
      </c>
      <c r="AL232" s="405" t="str">
        <f t="shared" si="41"/>
        <v>ns</v>
      </c>
      <c r="AM232" s="912" t="str">
        <f t="shared" si="42"/>
        <v>ns</v>
      </c>
      <c r="AN232" s="405" t="str">
        <f t="shared" si="43"/>
        <v>ns</v>
      </c>
      <c r="AO232" s="405" t="str">
        <f t="shared" si="44"/>
        <v>ns</v>
      </c>
      <c r="AP232" s="405" t="str">
        <f t="shared" si="45"/>
        <v>ns</v>
      </c>
      <c r="AQ232" s="593"/>
    </row>
    <row r="233" spans="1:212">
      <c r="A233" s="537">
        <v>233</v>
      </c>
      <c r="B233" s="537" t="s">
        <v>1518</v>
      </c>
      <c r="C233" s="538">
        <v>593</v>
      </c>
      <c r="D233" s="537" t="s">
        <v>1535</v>
      </c>
      <c r="E233" s="589" t="s">
        <v>1536</v>
      </c>
      <c r="F233" s="537" t="s">
        <v>663</v>
      </c>
      <c r="G233" s="537" t="s">
        <v>661</v>
      </c>
      <c r="H233" s="539" t="s">
        <v>1518</v>
      </c>
      <c r="I233" s="590" t="s">
        <v>1521</v>
      </c>
      <c r="J233" s="545" t="s">
        <v>688</v>
      </c>
      <c r="K233" s="590"/>
      <c r="L233" s="250"/>
      <c r="M233" s="591"/>
      <c r="N233" s="543" t="s">
        <v>689</v>
      </c>
      <c r="O233" s="544" t="s">
        <v>1528</v>
      </c>
      <c r="P233" s="537" t="s">
        <v>1393</v>
      </c>
      <c r="Q233" s="544" t="s">
        <v>663</v>
      </c>
      <c r="R233" s="544" t="s">
        <v>663</v>
      </c>
      <c r="S233" s="544" t="s">
        <v>662</v>
      </c>
      <c r="T233" s="537" t="s">
        <v>662</v>
      </c>
      <c r="U233" s="537" t="s">
        <v>662</v>
      </c>
      <c r="V233" s="544" t="s">
        <v>662</v>
      </c>
      <c r="W233" s="544" t="s">
        <v>663</v>
      </c>
      <c r="X233" s="544" t="s">
        <v>663</v>
      </c>
      <c r="Y233" s="544" t="s">
        <v>663</v>
      </c>
      <c r="Z233" s="544" t="s">
        <v>663</v>
      </c>
      <c r="AA233" s="544" t="s">
        <v>663</v>
      </c>
      <c r="AB233" s="537" t="str">
        <f t="shared" si="48"/>
        <v>DC</v>
      </c>
      <c r="AC233" s="537" t="s">
        <v>1192</v>
      </c>
      <c r="AD233" s="545" t="str" cm="1">
        <f t="array" ref="AD233">IF(SUMPRODUCT(ISNUMBER(SEARCH("y",R233:AA233))+0)=0,"",IF(AA233="y","400G",IF(Z233="y","100G",IF(X233="y","40G",IF(V233="y","10G",IF(S233="y","1G",IF(R233="y","100M",""))))))&amp;" "&amp;AB233&amp;" "&amp;AC233)</f>
        <v>10G DC UPLINK</v>
      </c>
      <c r="AE233" s="592" t="str">
        <f t="shared" si="47"/>
        <v xml:space="preserve"> 10G DC UPLINK</v>
      </c>
      <c r="AF233" s="877" t="str">
        <f t="shared" si="37"/>
        <v>ns</v>
      </c>
      <c r="AG233" s="162" t="str">
        <f t="shared" si="38"/>
        <v>ns</v>
      </c>
      <c r="AH233" s="162" t="str">
        <f t="shared" si="46"/>
        <v>.</v>
      </c>
      <c r="AI233" s="162" t="str">
        <f t="shared" si="39"/>
        <v>.</v>
      </c>
      <c r="AJ233" s="162" t="str">
        <f t="shared" si="40"/>
        <v>.</v>
      </c>
      <c r="AK233" s="875" t="str">
        <f t="shared" si="41"/>
        <v>.</v>
      </c>
      <c r="AL233" s="405" t="str">
        <f t="shared" si="41"/>
        <v>ns</v>
      </c>
      <c r="AM233" s="912" t="str">
        <f t="shared" si="42"/>
        <v>ns</v>
      </c>
      <c r="AN233" s="405" t="str">
        <f t="shared" si="43"/>
        <v>ns</v>
      </c>
      <c r="AO233" s="405" t="str">
        <f t="shared" si="44"/>
        <v>ns</v>
      </c>
      <c r="AP233" s="405" t="str">
        <f t="shared" si="45"/>
        <v>ns</v>
      </c>
      <c r="AQ233" s="593"/>
    </row>
    <row r="234" spans="1:212">
      <c r="A234" s="537">
        <v>234</v>
      </c>
      <c r="B234" s="537" t="s">
        <v>1518</v>
      </c>
      <c r="C234" s="538">
        <v>594</v>
      </c>
      <c r="D234" s="537" t="s">
        <v>1537</v>
      </c>
      <c r="E234" s="589" t="s">
        <v>1538</v>
      </c>
      <c r="F234" s="537" t="s">
        <v>663</v>
      </c>
      <c r="G234" s="537" t="s">
        <v>661</v>
      </c>
      <c r="H234" s="539" t="s">
        <v>1518</v>
      </c>
      <c r="I234" s="590" t="s">
        <v>1521</v>
      </c>
      <c r="J234" s="545" t="s">
        <v>688</v>
      </c>
      <c r="K234" s="590"/>
      <c r="L234" s="250"/>
      <c r="M234" s="591"/>
      <c r="N234" s="543" t="s">
        <v>689</v>
      </c>
      <c r="O234" s="544" t="s">
        <v>1367</v>
      </c>
      <c r="P234" s="537" t="s">
        <v>1393</v>
      </c>
      <c r="Q234" s="544" t="s">
        <v>663</v>
      </c>
      <c r="R234" s="544" t="s">
        <v>663</v>
      </c>
      <c r="S234" s="544" t="s">
        <v>662</v>
      </c>
      <c r="T234" s="537" t="s">
        <v>662</v>
      </c>
      <c r="U234" s="537" t="s">
        <v>662</v>
      </c>
      <c r="V234" s="544" t="s">
        <v>662</v>
      </c>
      <c r="W234" s="544" t="s">
        <v>663</v>
      </c>
      <c r="X234" s="544" t="s">
        <v>663</v>
      </c>
      <c r="Y234" s="544" t="s">
        <v>663</v>
      </c>
      <c r="Z234" s="544" t="s">
        <v>663</v>
      </c>
      <c r="AA234" s="544" t="s">
        <v>663</v>
      </c>
      <c r="AB234" s="537" t="str">
        <f t="shared" si="48"/>
        <v>DC</v>
      </c>
      <c r="AC234" s="537" t="s">
        <v>1192</v>
      </c>
      <c r="AD234" s="545" t="str" cm="1">
        <f t="array" ref="AD234">IF(SUMPRODUCT(ISNUMBER(SEARCH("y",R234:AA234))+0)=0,"",IF(AA234="y","400G",IF(Z234="y","100G",IF(X234="y","40G",IF(V234="y","10G",IF(S234="y","1G",IF(R234="y","100M",""))))))&amp;" "&amp;AB234&amp;" "&amp;AC234)</f>
        <v>10G DC UPLINK</v>
      </c>
      <c r="AE234" s="592" t="str">
        <f t="shared" si="47"/>
        <v xml:space="preserve"> 10G DC UPLINK</v>
      </c>
      <c r="AF234" s="877" t="str">
        <f t="shared" si="37"/>
        <v>ns</v>
      </c>
      <c r="AG234" s="162" t="str">
        <f t="shared" si="38"/>
        <v>ns</v>
      </c>
      <c r="AH234" s="162" t="str">
        <f t="shared" si="46"/>
        <v>.</v>
      </c>
      <c r="AI234" s="162" t="str">
        <f t="shared" si="39"/>
        <v>.</v>
      </c>
      <c r="AJ234" s="162" t="str">
        <f t="shared" si="40"/>
        <v>.</v>
      </c>
      <c r="AK234" s="875" t="str">
        <f t="shared" si="41"/>
        <v>.</v>
      </c>
      <c r="AL234" s="405" t="str">
        <f t="shared" si="41"/>
        <v>ns</v>
      </c>
      <c r="AM234" s="912" t="str">
        <f t="shared" si="42"/>
        <v>ns</v>
      </c>
      <c r="AN234" s="405" t="str">
        <f t="shared" si="43"/>
        <v>ns</v>
      </c>
      <c r="AO234" s="405" t="str">
        <f t="shared" si="44"/>
        <v>ns</v>
      </c>
      <c r="AP234" s="405" t="str">
        <f t="shared" si="45"/>
        <v>ns</v>
      </c>
      <c r="AQ234" s="593"/>
    </row>
    <row r="235" spans="1:212">
      <c r="A235" s="537">
        <v>235</v>
      </c>
      <c r="B235" s="537" t="s">
        <v>1518</v>
      </c>
      <c r="C235" s="538">
        <v>595</v>
      </c>
      <c r="D235" s="537" t="s">
        <v>1539</v>
      </c>
      <c r="E235" s="537" t="s">
        <v>1540</v>
      </c>
      <c r="F235" s="537" t="s">
        <v>663</v>
      </c>
      <c r="G235" s="537" t="s">
        <v>661</v>
      </c>
      <c r="H235" s="539" t="s">
        <v>1518</v>
      </c>
      <c r="I235" s="590" t="s">
        <v>1521</v>
      </c>
      <c r="J235" s="545" t="s">
        <v>688</v>
      </c>
      <c r="K235" s="590"/>
      <c r="L235" s="250"/>
      <c r="M235" s="591"/>
      <c r="N235" s="543" t="s">
        <v>689</v>
      </c>
      <c r="O235" s="544" t="s">
        <v>1371</v>
      </c>
      <c r="P235" s="544" t="s">
        <v>1393</v>
      </c>
      <c r="Q235" s="544" t="s">
        <v>663</v>
      </c>
      <c r="R235" s="544" t="s">
        <v>663</v>
      </c>
      <c r="S235" s="544" t="s">
        <v>662</v>
      </c>
      <c r="T235" s="544" t="s">
        <v>662</v>
      </c>
      <c r="U235" s="544" t="s">
        <v>662</v>
      </c>
      <c r="V235" s="544" t="s">
        <v>662</v>
      </c>
      <c r="W235" s="544" t="s">
        <v>663</v>
      </c>
      <c r="X235" s="544" t="s">
        <v>663</v>
      </c>
      <c r="Y235" s="544" t="s">
        <v>663</v>
      </c>
      <c r="Z235" s="544" t="s">
        <v>663</v>
      </c>
      <c r="AA235" s="544" t="s">
        <v>663</v>
      </c>
      <c r="AB235" s="544" t="str">
        <f t="shared" si="48"/>
        <v>DC</v>
      </c>
      <c r="AC235" s="544" t="s">
        <v>1192</v>
      </c>
      <c r="AD235" s="544" t="str" cm="1">
        <f t="array" ref="AD235">IF(SUMPRODUCT(ISNUMBER(SEARCH("y",R235:AA235))+0)=0,"",IF(AA235="y","400G",IF(Z235="y","100G",IF(X235="y","40G",IF(V235="y","10G",IF(S235="y","1G",IF(R235="y","100M",""))))))&amp;" "&amp;AB235&amp;" "&amp;AC235)</f>
        <v>10G DC UPLINK</v>
      </c>
      <c r="AE235" s="592" t="str">
        <f t="shared" si="47"/>
        <v xml:space="preserve"> 10G DC UPLINK</v>
      </c>
      <c r="AF235" s="877" t="str">
        <f t="shared" si="37"/>
        <v>ns</v>
      </c>
      <c r="AG235" s="162" t="str">
        <f t="shared" si="38"/>
        <v>ns</v>
      </c>
      <c r="AH235" s="162" t="str">
        <f t="shared" si="46"/>
        <v>.</v>
      </c>
      <c r="AI235" s="162" t="str">
        <f t="shared" si="39"/>
        <v>.</v>
      </c>
      <c r="AJ235" s="162" t="str">
        <f t="shared" si="40"/>
        <v>.</v>
      </c>
      <c r="AK235" s="875" t="str">
        <f t="shared" si="41"/>
        <v>.</v>
      </c>
      <c r="AL235" s="405" t="str">
        <f t="shared" si="41"/>
        <v>ns</v>
      </c>
      <c r="AM235" s="912" t="str">
        <f t="shared" si="42"/>
        <v>ns</v>
      </c>
      <c r="AN235" s="405" t="str">
        <f t="shared" si="43"/>
        <v>ns</v>
      </c>
      <c r="AO235" s="405" t="str">
        <f t="shared" si="44"/>
        <v>ns</v>
      </c>
      <c r="AP235" s="405" t="str">
        <f t="shared" si="45"/>
        <v>ns</v>
      </c>
      <c r="AQ235" s="593"/>
    </row>
    <row r="236" spans="1:212">
      <c r="A236" s="537">
        <v>236</v>
      </c>
      <c r="B236" s="537" t="s">
        <v>1541</v>
      </c>
      <c r="C236" s="538">
        <v>606</v>
      </c>
      <c r="D236" s="537" t="s">
        <v>2150</v>
      </c>
      <c r="E236" s="537" t="s">
        <v>1542</v>
      </c>
      <c r="F236" s="537" t="s">
        <v>663</v>
      </c>
      <c r="G236" s="537" t="s">
        <v>661</v>
      </c>
      <c r="H236" s="539" t="s">
        <v>1541</v>
      </c>
      <c r="I236" s="590" t="s">
        <v>1521</v>
      </c>
      <c r="J236" s="545" t="s">
        <v>688</v>
      </c>
      <c r="K236" s="590" t="s">
        <v>2339</v>
      </c>
      <c r="L236" s="250" t="s">
        <v>2340</v>
      </c>
      <c r="M236" s="591" t="s">
        <v>2341</v>
      </c>
      <c r="N236" s="543" t="s">
        <v>689</v>
      </c>
      <c r="O236" s="544" t="s">
        <v>2055</v>
      </c>
      <c r="P236" s="544" t="s">
        <v>1393</v>
      </c>
      <c r="Q236" s="544" t="s">
        <v>663</v>
      </c>
      <c r="R236" s="544" t="s">
        <v>663</v>
      </c>
      <c r="S236" s="544" t="s">
        <v>662</v>
      </c>
      <c r="T236" s="544" t="s">
        <v>663</v>
      </c>
      <c r="U236" s="544" t="s">
        <v>663</v>
      </c>
      <c r="V236" s="544" t="s">
        <v>662</v>
      </c>
      <c r="W236" s="544" t="s">
        <v>663</v>
      </c>
      <c r="X236" s="544" t="s">
        <v>663</v>
      </c>
      <c r="Y236" s="544" t="s">
        <v>663</v>
      </c>
      <c r="Z236" s="544" t="s">
        <v>663</v>
      </c>
      <c r="AA236" s="544" t="s">
        <v>663</v>
      </c>
      <c r="AB236" s="544" t="s">
        <v>688</v>
      </c>
      <c r="AC236" s="544" t="s">
        <v>1192</v>
      </c>
      <c r="AD236" s="544" t="str" cm="1">
        <f t="array" ref="AD236">IF(SUMPRODUCT(ISNUMBER(SEARCH("y",R236:AA236))+0)=0,"",IF(AA236="y","400G",IF(Z236="y","100G",IF(X236="y","40G",IF(V236="y","10G",IF(S236="y","1G",IF(R236="y","100M",""))))))&amp;" "&amp;AB236&amp;" "&amp;AC236)</f>
        <v>10G DC UPLINK</v>
      </c>
      <c r="AE236" s="592" t="str">
        <f t="shared" si="47"/>
        <v>IE220-6GHX  10G DC UPLINK</v>
      </c>
      <c r="AF236" s="877" t="str">
        <f t="shared" si="37"/>
        <v>ns</v>
      </c>
      <c r="AG236" s="162" t="str">
        <f t="shared" si="38"/>
        <v>ns</v>
      </c>
      <c r="AH236" s="162" t="str">
        <f t="shared" si="46"/>
        <v>.</v>
      </c>
      <c r="AI236" s="162" t="str">
        <f t="shared" si="39"/>
        <v>ns</v>
      </c>
      <c r="AJ236" s="162" t="str">
        <f t="shared" si="40"/>
        <v>ns</v>
      </c>
      <c r="AK236" s="875" t="str">
        <f t="shared" si="41"/>
        <v>.</v>
      </c>
      <c r="AL236" s="405" t="str">
        <f t="shared" si="41"/>
        <v>ns</v>
      </c>
      <c r="AM236" s="912" t="str">
        <f t="shared" si="42"/>
        <v>ns</v>
      </c>
      <c r="AN236" s="405" t="str">
        <f t="shared" si="43"/>
        <v>ns</v>
      </c>
      <c r="AO236" s="405" t="str">
        <f t="shared" si="44"/>
        <v>ns</v>
      </c>
      <c r="AP236" s="405" t="str">
        <f t="shared" si="45"/>
        <v>ns</v>
      </c>
      <c r="AQ236" s="593"/>
    </row>
    <row r="237" spans="1:212">
      <c r="A237" s="537">
        <v>237</v>
      </c>
      <c r="B237" s="537" t="s">
        <v>1541</v>
      </c>
      <c r="C237" s="538">
        <v>607</v>
      </c>
      <c r="D237" s="537" t="s">
        <v>2151</v>
      </c>
      <c r="E237" s="537" t="s">
        <v>1543</v>
      </c>
      <c r="F237" s="537" t="s">
        <v>663</v>
      </c>
      <c r="G237" s="537" t="s">
        <v>661</v>
      </c>
      <c r="H237" s="539" t="s">
        <v>1541</v>
      </c>
      <c r="I237" s="590" t="s">
        <v>1521</v>
      </c>
      <c r="J237" s="545" t="s">
        <v>688</v>
      </c>
      <c r="K237" s="590"/>
      <c r="L237" s="250"/>
      <c r="M237" s="591"/>
      <c r="N237" s="543" t="s">
        <v>689</v>
      </c>
      <c r="O237" s="544" t="s">
        <v>969</v>
      </c>
      <c r="P237" s="544" t="s">
        <v>1393</v>
      </c>
      <c r="Q237" s="544" t="s">
        <v>663</v>
      </c>
      <c r="R237" s="544" t="s">
        <v>663</v>
      </c>
      <c r="S237" s="544" t="s">
        <v>662</v>
      </c>
      <c r="T237" s="544" t="s">
        <v>663</v>
      </c>
      <c r="U237" s="544" t="s">
        <v>663</v>
      </c>
      <c r="V237" s="544" t="s">
        <v>662</v>
      </c>
      <c r="W237" s="544" t="s">
        <v>663</v>
      </c>
      <c r="X237" s="544" t="s">
        <v>663</v>
      </c>
      <c r="Y237" s="544" t="s">
        <v>663</v>
      </c>
      <c r="Z237" s="544" t="s">
        <v>663</v>
      </c>
      <c r="AA237" s="544" t="s">
        <v>663</v>
      </c>
      <c r="AB237" s="544" t="str">
        <f>IF(O237="N/A","",IF(J237="DC","DC","PHY"))</f>
        <v>DC</v>
      </c>
      <c r="AC237" s="544" t="s">
        <v>1192</v>
      </c>
      <c r="AD237" s="544" t="str" cm="1">
        <f t="array" ref="AD237">IF(SUMPRODUCT(ISNUMBER(SEARCH("y",R237:AA237))+0)=0,"",IF(AA237="y","400G",IF(Z237="y","100G",IF(X237="y","40G",IF(V237="y","10G",IF(S237="y","1G",IF(R237="y","100M",""))))))&amp;" "&amp;AB237&amp;" "&amp;AC237)</f>
        <v>10G DC UPLINK</v>
      </c>
      <c r="AE237" s="592" t="str">
        <f t="shared" si="47"/>
        <v xml:space="preserve"> 10G DC UPLINK</v>
      </c>
      <c r="AF237" s="877" t="str">
        <f t="shared" si="37"/>
        <v>ns</v>
      </c>
      <c r="AG237" s="162" t="str">
        <f t="shared" si="38"/>
        <v>ns</v>
      </c>
      <c r="AH237" s="162" t="str">
        <f t="shared" si="46"/>
        <v>.</v>
      </c>
      <c r="AI237" s="162" t="str">
        <f t="shared" si="39"/>
        <v>ns</v>
      </c>
      <c r="AJ237" s="162" t="str">
        <f t="shared" si="40"/>
        <v>ns</v>
      </c>
      <c r="AK237" s="875" t="str">
        <f t="shared" si="41"/>
        <v>.</v>
      </c>
      <c r="AL237" s="405" t="str">
        <f t="shared" si="41"/>
        <v>ns</v>
      </c>
      <c r="AM237" s="912" t="str">
        <f t="shared" si="42"/>
        <v>ns</v>
      </c>
      <c r="AN237" s="405" t="str">
        <f t="shared" si="43"/>
        <v>ns</v>
      </c>
      <c r="AO237" s="405" t="str">
        <f t="shared" si="44"/>
        <v>ns</v>
      </c>
      <c r="AP237" s="405" t="str">
        <f t="shared" si="45"/>
        <v>ns</v>
      </c>
      <c r="AQ237" s="593"/>
    </row>
    <row r="238" spans="1:212">
      <c r="A238" s="537">
        <v>238</v>
      </c>
      <c r="B238" s="537" t="s">
        <v>2062</v>
      </c>
      <c r="C238" s="538">
        <v>627</v>
      </c>
      <c r="D238" s="537" t="s">
        <v>2075</v>
      </c>
      <c r="E238" s="561" t="s">
        <v>2063</v>
      </c>
      <c r="F238" s="537" t="s">
        <v>663</v>
      </c>
      <c r="G238" s="537" t="s">
        <v>661</v>
      </c>
      <c r="H238" s="539" t="s">
        <v>2062</v>
      </c>
      <c r="I238" s="590" t="s">
        <v>2068</v>
      </c>
      <c r="J238" s="545" t="s">
        <v>688</v>
      </c>
      <c r="K238" s="540" t="s">
        <v>2075</v>
      </c>
      <c r="L238" s="562" t="s">
        <v>2230</v>
      </c>
      <c r="M238" s="563" t="s">
        <v>2202</v>
      </c>
      <c r="N238" s="543" t="s">
        <v>689</v>
      </c>
      <c r="O238" s="544" t="s">
        <v>969</v>
      </c>
      <c r="P238" s="544" t="s">
        <v>1393</v>
      </c>
      <c r="Q238" s="544" t="s">
        <v>663</v>
      </c>
      <c r="R238" s="544" t="s">
        <v>663</v>
      </c>
      <c r="S238" s="544" t="s">
        <v>662</v>
      </c>
      <c r="T238" s="865" t="s">
        <v>663</v>
      </c>
      <c r="U238" s="865" t="s">
        <v>663</v>
      </c>
      <c r="V238" s="544" t="s">
        <v>662</v>
      </c>
      <c r="W238" s="544" t="s">
        <v>663</v>
      </c>
      <c r="X238" s="544" t="s">
        <v>663</v>
      </c>
      <c r="Y238" s="544" t="s">
        <v>663</v>
      </c>
      <c r="Z238" s="544" t="s">
        <v>663</v>
      </c>
      <c r="AA238" s="544" t="s">
        <v>663</v>
      </c>
      <c r="AB238" s="544" t="str">
        <f t="shared" ref="AB238:AB245" si="49">IF(O238="N/A","",IF(J238="DC","DC","PHY"))</f>
        <v>DC</v>
      </c>
      <c r="AC238" s="544" t="s">
        <v>1192</v>
      </c>
      <c r="AD238" s="544" t="str" cm="1">
        <f t="array" ref="AD238">IF(SUMPRODUCT(ISNUMBER(SEARCH("y",R238:AA238))+0)=0,"",IF(AA238="y","400G",IF(Z238="y","100G",IF(X238="y","40G",IF(V238="y","10G",IF(S238="y","1G",IF(R238="y","100M",""))))))&amp;" "&amp;AB238&amp;" "&amp;AC238)</f>
        <v>10G DC UPLINK</v>
      </c>
      <c r="AE238" s="592" t="str">
        <f>IF(K238="-","",_xlfn.CONCAT(K238," ",AD238))</f>
        <v>AT-x240-10GHXm 10G DC UPLINK</v>
      </c>
      <c r="AF238" s="912" t="str">
        <f t="shared" si="37"/>
        <v>ns</v>
      </c>
      <c r="AG238" s="405" t="str">
        <f t="shared" si="38"/>
        <v>ns</v>
      </c>
      <c r="AH238" s="405" t="str">
        <f t="shared" si="46"/>
        <v>.</v>
      </c>
      <c r="AI238" s="405" t="str">
        <f t="shared" si="39"/>
        <v>ns</v>
      </c>
      <c r="AJ238" s="405" t="str">
        <f t="shared" si="40"/>
        <v>ns</v>
      </c>
      <c r="AK238" s="922" t="str">
        <f t="shared" si="41"/>
        <v>.</v>
      </c>
      <c r="AL238" s="405" t="str">
        <f t="shared" si="41"/>
        <v>ns</v>
      </c>
      <c r="AM238" s="912" t="str">
        <f t="shared" si="42"/>
        <v>ns</v>
      </c>
      <c r="AN238" s="405" t="str">
        <f t="shared" si="43"/>
        <v>ns</v>
      </c>
      <c r="AO238" s="405" t="str">
        <f t="shared" si="44"/>
        <v>ns</v>
      </c>
      <c r="AP238" s="405" t="str">
        <f t="shared" si="45"/>
        <v>ns</v>
      </c>
      <c r="AQ238" s="593"/>
    </row>
    <row r="239" spans="1:212">
      <c r="A239" s="537">
        <v>239</v>
      </c>
      <c r="B239" s="537" t="s">
        <v>2062</v>
      </c>
      <c r="C239" s="538"/>
      <c r="D239" s="537" t="s">
        <v>2107</v>
      </c>
      <c r="E239" s="561" t="s">
        <v>2064</v>
      </c>
      <c r="F239" s="537" t="s">
        <v>663</v>
      </c>
      <c r="G239" s="537" t="s">
        <v>661</v>
      </c>
      <c r="H239" s="539" t="s">
        <v>2062</v>
      </c>
      <c r="I239" s="590" t="s">
        <v>2068</v>
      </c>
      <c r="J239" s="545" t="s">
        <v>688</v>
      </c>
      <c r="K239" s="540" t="s">
        <v>197</v>
      </c>
      <c r="L239" s="562" t="s">
        <v>197</v>
      </c>
      <c r="M239" s="563" t="s">
        <v>197</v>
      </c>
      <c r="N239" s="543" t="s">
        <v>689</v>
      </c>
      <c r="O239" s="544" t="s">
        <v>1030</v>
      </c>
      <c r="P239" s="544" t="s">
        <v>1393</v>
      </c>
      <c r="Q239" s="544" t="s">
        <v>663</v>
      </c>
      <c r="R239" s="544" t="s">
        <v>663</v>
      </c>
      <c r="S239" s="544" t="s">
        <v>662</v>
      </c>
      <c r="T239" s="865" t="s">
        <v>663</v>
      </c>
      <c r="U239" s="865" t="s">
        <v>663</v>
      </c>
      <c r="V239" s="544" t="s">
        <v>662</v>
      </c>
      <c r="W239" s="544" t="s">
        <v>663</v>
      </c>
      <c r="X239" s="544" t="s">
        <v>663</v>
      </c>
      <c r="Y239" s="544" t="s">
        <v>663</v>
      </c>
      <c r="Z239" s="544" t="s">
        <v>663</v>
      </c>
      <c r="AA239" s="544" t="s">
        <v>663</v>
      </c>
      <c r="AB239" s="544" t="str">
        <f t="shared" si="49"/>
        <v>DC</v>
      </c>
      <c r="AC239" s="544" t="s">
        <v>1192</v>
      </c>
      <c r="AD239" s="544" t="str" cm="1">
        <f t="array" ref="AD239">IF(SUMPRODUCT(ISNUMBER(SEARCH("y",R239:AA239))+0)=0,"",IF(AA239="y","400G",IF(Z239="y","100G",IF(X239="y","40G",IF(V239="y","10G",IF(S239="y","1G",IF(R239="y","100M",""))))))&amp;" "&amp;AB239&amp;" "&amp;AC239)</f>
        <v>10G DC UPLINK</v>
      </c>
      <c r="AE239" s="546" t="str">
        <f t="shared" ref="AE239:AE292" si="50">IF(K239="-","",_xlfn.CONCAT(K239," ",AD239))</f>
        <v/>
      </c>
      <c r="AF239" s="912" t="str">
        <f t="shared" si="37"/>
        <v>ns</v>
      </c>
      <c r="AG239" s="405" t="str">
        <f t="shared" si="38"/>
        <v>ns</v>
      </c>
      <c r="AH239" s="405" t="str">
        <f t="shared" si="46"/>
        <v>.</v>
      </c>
      <c r="AI239" s="405" t="str">
        <f t="shared" si="39"/>
        <v>ns</v>
      </c>
      <c r="AJ239" s="405" t="str">
        <f t="shared" si="40"/>
        <v>ns</v>
      </c>
      <c r="AK239" s="922" t="str">
        <f t="shared" si="41"/>
        <v>.</v>
      </c>
      <c r="AL239" s="405" t="str">
        <f t="shared" si="41"/>
        <v>ns</v>
      </c>
      <c r="AM239" s="912" t="str">
        <f t="shared" si="42"/>
        <v>ns</v>
      </c>
      <c r="AN239" s="405" t="str">
        <f t="shared" si="43"/>
        <v>ns</v>
      </c>
      <c r="AO239" s="405" t="str">
        <f t="shared" si="44"/>
        <v>ns</v>
      </c>
      <c r="AP239" s="405" t="str">
        <f t="shared" si="45"/>
        <v>ns</v>
      </c>
      <c r="AQ239" s="593"/>
    </row>
    <row r="240" spans="1:212">
      <c r="A240" s="537">
        <v>240</v>
      </c>
      <c r="B240" s="537" t="s">
        <v>2062</v>
      </c>
      <c r="C240" s="538">
        <v>637</v>
      </c>
      <c r="D240" s="537" t="s">
        <v>2108</v>
      </c>
      <c r="E240" s="561" t="s">
        <v>2065</v>
      </c>
      <c r="F240" s="537" t="s">
        <v>663</v>
      </c>
      <c r="G240" s="537" t="s">
        <v>661</v>
      </c>
      <c r="H240" s="539" t="s">
        <v>2062</v>
      </c>
      <c r="I240" s="590" t="s">
        <v>2068</v>
      </c>
      <c r="J240" s="545" t="s">
        <v>688</v>
      </c>
      <c r="K240" s="540" t="s">
        <v>2227</v>
      </c>
      <c r="L240" s="562" t="s">
        <v>734</v>
      </c>
      <c r="M240" s="563" t="s">
        <v>2228</v>
      </c>
      <c r="N240" s="543" t="s">
        <v>689</v>
      </c>
      <c r="O240" s="544" t="s">
        <v>1365</v>
      </c>
      <c r="P240" s="544" t="s">
        <v>1393</v>
      </c>
      <c r="Q240" s="544" t="s">
        <v>663</v>
      </c>
      <c r="R240" s="544" t="s">
        <v>663</v>
      </c>
      <c r="S240" s="544" t="s">
        <v>662</v>
      </c>
      <c r="T240" s="865" t="s">
        <v>663</v>
      </c>
      <c r="U240" s="865" t="s">
        <v>663</v>
      </c>
      <c r="V240" s="544" t="s">
        <v>662</v>
      </c>
      <c r="W240" s="544" t="s">
        <v>663</v>
      </c>
      <c r="X240" s="544" t="s">
        <v>663</v>
      </c>
      <c r="Y240" s="544" t="s">
        <v>663</v>
      </c>
      <c r="Z240" s="544" t="s">
        <v>663</v>
      </c>
      <c r="AA240" s="544" t="s">
        <v>663</v>
      </c>
      <c r="AB240" s="544" t="str">
        <f t="shared" si="49"/>
        <v>DC</v>
      </c>
      <c r="AC240" s="544" t="s">
        <v>1192</v>
      </c>
      <c r="AD240" s="544" t="str" cm="1">
        <f t="array" ref="AD240">IF(SUMPRODUCT(ISNUMBER(SEARCH("y",R240:AA240))+0)=0,"",IF(AA240="y","400G",IF(Z240="y","100G",IF(X240="y","40G",IF(V240="y","10G",IF(S240="y","1G",IF(R240="y","100M",""))))))&amp;" "&amp;AB240&amp;" "&amp;AC240)</f>
        <v>10G DC UPLINK</v>
      </c>
      <c r="AE240" s="546" t="str">
        <f t="shared" si="50"/>
        <v>AT-x240-26GHXm  10G DC UPLINK</v>
      </c>
      <c r="AF240" s="912" t="str">
        <f t="shared" si="37"/>
        <v>ns</v>
      </c>
      <c r="AG240" s="405" t="str">
        <f t="shared" si="38"/>
        <v>ns</v>
      </c>
      <c r="AH240" s="405" t="str">
        <f t="shared" si="46"/>
        <v>.</v>
      </c>
      <c r="AI240" s="405" t="str">
        <f t="shared" si="39"/>
        <v>ns</v>
      </c>
      <c r="AJ240" s="405" t="str">
        <f t="shared" si="40"/>
        <v>ns</v>
      </c>
      <c r="AK240" s="922" t="str">
        <f t="shared" si="41"/>
        <v>.</v>
      </c>
      <c r="AL240" s="405" t="str">
        <f t="shared" si="41"/>
        <v>ns</v>
      </c>
      <c r="AM240" s="912" t="str">
        <f t="shared" si="42"/>
        <v>ns</v>
      </c>
      <c r="AN240" s="405" t="str">
        <f t="shared" si="43"/>
        <v>ns</v>
      </c>
      <c r="AO240" s="405" t="str">
        <f t="shared" si="44"/>
        <v>ns</v>
      </c>
      <c r="AP240" s="405" t="str">
        <f t="shared" si="45"/>
        <v>ns</v>
      </c>
      <c r="AQ240" s="593"/>
    </row>
    <row r="241" spans="1:43">
      <c r="A241" s="537">
        <v>241</v>
      </c>
      <c r="B241" s="537" t="s">
        <v>2062</v>
      </c>
      <c r="C241" s="538">
        <v>660</v>
      </c>
      <c r="D241" s="537" t="s">
        <v>2109</v>
      </c>
      <c r="E241" s="561" t="s">
        <v>2066</v>
      </c>
      <c r="F241" s="537" t="s">
        <v>663</v>
      </c>
      <c r="G241" s="537" t="s">
        <v>661</v>
      </c>
      <c r="H241" s="539" t="s">
        <v>2062</v>
      </c>
      <c r="I241" s="590" t="s">
        <v>2381</v>
      </c>
      <c r="J241" s="545" t="s">
        <v>688</v>
      </c>
      <c r="K241" s="540" t="s">
        <v>197</v>
      </c>
      <c r="L241" s="562" t="s">
        <v>197</v>
      </c>
      <c r="M241" s="563" t="s">
        <v>197</v>
      </c>
      <c r="N241" s="543" t="s">
        <v>689</v>
      </c>
      <c r="O241" s="544" t="s">
        <v>1202</v>
      </c>
      <c r="P241" s="544" t="s">
        <v>1393</v>
      </c>
      <c r="Q241" s="544" t="s">
        <v>663</v>
      </c>
      <c r="R241" s="544" t="s">
        <v>663</v>
      </c>
      <c r="S241" s="544" t="s">
        <v>662</v>
      </c>
      <c r="T241" s="865" t="s">
        <v>663</v>
      </c>
      <c r="U241" s="865" t="s">
        <v>663</v>
      </c>
      <c r="V241" s="544" t="s">
        <v>662</v>
      </c>
      <c r="W241" s="544" t="s">
        <v>663</v>
      </c>
      <c r="X241" s="544" t="s">
        <v>663</v>
      </c>
      <c r="Y241" s="544" t="s">
        <v>663</v>
      </c>
      <c r="Z241" s="544" t="s">
        <v>663</v>
      </c>
      <c r="AA241" s="544" t="s">
        <v>663</v>
      </c>
      <c r="AB241" s="544" t="str">
        <f t="shared" si="49"/>
        <v>DC</v>
      </c>
      <c r="AC241" s="544" t="s">
        <v>1192</v>
      </c>
      <c r="AD241" s="544" t="str" cm="1">
        <f t="array" ref="AD241">IF(SUMPRODUCT(ISNUMBER(SEARCH("y",R241:AA241))+0)=0,"",IF(AA241="y","400G",IF(Z241="y","100G",IF(X241="y","40G",IF(V241="y","10G",IF(S241="y","1G",IF(R241="y","100M",""))))))&amp;" "&amp;AB241&amp;" "&amp;AC241)</f>
        <v>10G DC UPLINK</v>
      </c>
      <c r="AE241" s="546" t="str">
        <f t="shared" si="50"/>
        <v/>
      </c>
      <c r="AF241" s="912" t="str">
        <f t="shared" si="37"/>
        <v>ns</v>
      </c>
      <c r="AG241" s="405" t="str">
        <f t="shared" si="38"/>
        <v>ns</v>
      </c>
      <c r="AH241" s="405" t="str">
        <f t="shared" si="46"/>
        <v>.</v>
      </c>
      <c r="AI241" s="405" t="str">
        <f t="shared" si="39"/>
        <v>ns</v>
      </c>
      <c r="AJ241" s="405" t="str">
        <f t="shared" si="40"/>
        <v>ns</v>
      </c>
      <c r="AK241" s="922" t="str">
        <f t="shared" si="41"/>
        <v>.</v>
      </c>
      <c r="AL241" s="405" t="str">
        <f t="shared" si="41"/>
        <v>ns</v>
      </c>
      <c r="AM241" s="912" t="str">
        <f t="shared" si="42"/>
        <v>ns</v>
      </c>
      <c r="AN241" s="405" t="str">
        <f t="shared" si="43"/>
        <v>ns</v>
      </c>
      <c r="AO241" s="405" t="str">
        <f t="shared" si="44"/>
        <v>ns</v>
      </c>
      <c r="AP241" s="405" t="str">
        <f t="shared" si="45"/>
        <v>ns</v>
      </c>
      <c r="AQ241" s="593"/>
    </row>
    <row r="242" spans="1:43">
      <c r="A242" s="537">
        <v>242</v>
      </c>
      <c r="B242" s="537" t="s">
        <v>2062</v>
      </c>
      <c r="C242" s="538">
        <v>626</v>
      </c>
      <c r="D242" s="537" t="s">
        <v>2110</v>
      </c>
      <c r="E242" s="561" t="s">
        <v>2077</v>
      </c>
      <c r="F242" s="537" t="s">
        <v>663</v>
      </c>
      <c r="G242" s="537" t="s">
        <v>661</v>
      </c>
      <c r="H242" s="539" t="s">
        <v>2062</v>
      </c>
      <c r="I242" s="590" t="s">
        <v>2068</v>
      </c>
      <c r="J242" s="545" t="s">
        <v>688</v>
      </c>
      <c r="K242" s="540" t="s">
        <v>197</v>
      </c>
      <c r="L242" s="562" t="s">
        <v>197</v>
      </c>
      <c r="M242" s="563" t="s">
        <v>197</v>
      </c>
      <c r="N242" s="543" t="s">
        <v>689</v>
      </c>
      <c r="O242" s="544" t="s">
        <v>969</v>
      </c>
      <c r="P242" s="544" t="s">
        <v>1393</v>
      </c>
      <c r="Q242" s="544" t="s">
        <v>663</v>
      </c>
      <c r="R242" s="544" t="s">
        <v>663</v>
      </c>
      <c r="S242" s="544" t="s">
        <v>662</v>
      </c>
      <c r="T242" s="865" t="s">
        <v>663</v>
      </c>
      <c r="U242" s="865" t="s">
        <v>663</v>
      </c>
      <c r="V242" s="544" t="s">
        <v>662</v>
      </c>
      <c r="W242" s="544" t="s">
        <v>663</v>
      </c>
      <c r="X242" s="544" t="s">
        <v>663</v>
      </c>
      <c r="Y242" s="544" t="s">
        <v>663</v>
      </c>
      <c r="Z242" s="544" t="s">
        <v>663</v>
      </c>
      <c r="AA242" s="544" t="s">
        <v>663</v>
      </c>
      <c r="AB242" s="544" t="str">
        <f t="shared" si="49"/>
        <v>DC</v>
      </c>
      <c r="AC242" s="544" t="s">
        <v>1192</v>
      </c>
      <c r="AD242" s="544" t="str" cm="1">
        <f t="array" ref="AD242">IF(SUMPRODUCT(ISNUMBER(SEARCH("y",R242:AA242))+0)=0,"",IF(AA242="y","400G",IF(Z242="y","100G",IF(X242="y","40G",IF(V242="y","10G",IF(S242="y","1G",IF(R242="y","100M",""))))))&amp;" "&amp;AB242&amp;" "&amp;AC242)</f>
        <v>10G DC UPLINK</v>
      </c>
      <c r="AE242" s="546" t="str">
        <f t="shared" si="50"/>
        <v/>
      </c>
      <c r="AF242" s="912" t="str">
        <f t="shared" si="37"/>
        <v>ns</v>
      </c>
      <c r="AG242" s="405" t="str">
        <f t="shared" si="38"/>
        <v>ns</v>
      </c>
      <c r="AH242" s="405" t="str">
        <f t="shared" si="46"/>
        <v>.</v>
      </c>
      <c r="AI242" s="405" t="str">
        <f t="shared" si="39"/>
        <v>ns</v>
      </c>
      <c r="AJ242" s="405" t="str">
        <f t="shared" si="40"/>
        <v>ns</v>
      </c>
      <c r="AK242" s="922" t="str">
        <f t="shared" si="41"/>
        <v>.</v>
      </c>
      <c r="AL242" s="405" t="str">
        <f t="shared" si="41"/>
        <v>ns</v>
      </c>
      <c r="AM242" s="912" t="str">
        <f t="shared" si="42"/>
        <v>ns</v>
      </c>
      <c r="AN242" s="405" t="str">
        <f t="shared" si="43"/>
        <v>ns</v>
      </c>
      <c r="AO242" s="405" t="str">
        <f t="shared" si="44"/>
        <v>ns</v>
      </c>
      <c r="AP242" s="405" t="str">
        <f t="shared" si="45"/>
        <v>ns</v>
      </c>
      <c r="AQ242" s="593"/>
    </row>
    <row r="243" spans="1:43">
      <c r="A243" s="537">
        <v>243</v>
      </c>
      <c r="B243" s="537" t="s">
        <v>2062</v>
      </c>
      <c r="C243" s="538"/>
      <c r="D243" s="537" t="s">
        <v>2111</v>
      </c>
      <c r="E243" s="561" t="s">
        <v>2078</v>
      </c>
      <c r="F243" s="537" t="s">
        <v>663</v>
      </c>
      <c r="G243" s="537" t="s">
        <v>661</v>
      </c>
      <c r="H243" s="539" t="s">
        <v>2062</v>
      </c>
      <c r="I243" s="590" t="s">
        <v>2068</v>
      </c>
      <c r="J243" s="545" t="s">
        <v>688</v>
      </c>
      <c r="K243" s="540" t="s">
        <v>197</v>
      </c>
      <c r="L243" s="562" t="s">
        <v>197</v>
      </c>
      <c r="M243" s="563" t="s">
        <v>197</v>
      </c>
      <c r="N243" s="543" t="s">
        <v>689</v>
      </c>
      <c r="O243" s="544" t="s">
        <v>1030</v>
      </c>
      <c r="P243" s="544" t="s">
        <v>1393</v>
      </c>
      <c r="Q243" s="544" t="s">
        <v>663</v>
      </c>
      <c r="R243" s="544" t="s">
        <v>663</v>
      </c>
      <c r="S243" s="544" t="s">
        <v>662</v>
      </c>
      <c r="T243" s="865" t="s">
        <v>663</v>
      </c>
      <c r="U243" s="865" t="s">
        <v>663</v>
      </c>
      <c r="V243" s="544" t="s">
        <v>662</v>
      </c>
      <c r="W243" s="544" t="s">
        <v>663</v>
      </c>
      <c r="X243" s="544" t="s">
        <v>663</v>
      </c>
      <c r="Y243" s="544" t="s">
        <v>663</v>
      </c>
      <c r="Z243" s="544" t="s">
        <v>663</v>
      </c>
      <c r="AA243" s="544" t="s">
        <v>663</v>
      </c>
      <c r="AB243" s="544" t="str">
        <f t="shared" si="49"/>
        <v>DC</v>
      </c>
      <c r="AC243" s="544" t="s">
        <v>1192</v>
      </c>
      <c r="AD243" s="544" t="str" cm="1">
        <f t="array" ref="AD243">IF(SUMPRODUCT(ISNUMBER(SEARCH("y",R243:AA243))+0)=0,"",IF(AA243="y","400G",IF(Z243="y","100G",IF(X243="y","40G",IF(V243="y","10G",IF(S243="y","1G",IF(R243="y","100M",""))))))&amp;" "&amp;AB243&amp;" "&amp;AC243)</f>
        <v>10G DC UPLINK</v>
      </c>
      <c r="AE243" s="546" t="str">
        <f t="shared" si="50"/>
        <v/>
      </c>
      <c r="AF243" s="912" t="str">
        <f t="shared" si="37"/>
        <v>ns</v>
      </c>
      <c r="AG243" s="405" t="str">
        <f t="shared" si="38"/>
        <v>ns</v>
      </c>
      <c r="AH243" s="405" t="str">
        <f t="shared" si="46"/>
        <v>.</v>
      </c>
      <c r="AI243" s="405" t="str">
        <f t="shared" si="39"/>
        <v>ns</v>
      </c>
      <c r="AJ243" s="405" t="str">
        <f t="shared" si="40"/>
        <v>ns</v>
      </c>
      <c r="AK243" s="922" t="str">
        <f t="shared" si="41"/>
        <v>.</v>
      </c>
      <c r="AL243" s="405" t="str">
        <f t="shared" si="41"/>
        <v>ns</v>
      </c>
      <c r="AM243" s="912" t="str">
        <f t="shared" si="42"/>
        <v>ns</v>
      </c>
      <c r="AN243" s="405" t="str">
        <f t="shared" si="43"/>
        <v>ns</v>
      </c>
      <c r="AO243" s="405" t="str">
        <f t="shared" si="44"/>
        <v>ns</v>
      </c>
      <c r="AP243" s="405" t="str">
        <f t="shared" si="45"/>
        <v>ns</v>
      </c>
      <c r="AQ243" s="593"/>
    </row>
    <row r="244" spans="1:43">
      <c r="A244" s="537">
        <v>244</v>
      </c>
      <c r="B244" s="537" t="s">
        <v>2062</v>
      </c>
      <c r="C244" s="538">
        <v>636</v>
      </c>
      <c r="D244" s="537" t="s">
        <v>2112</v>
      </c>
      <c r="E244" s="561" t="s">
        <v>2079</v>
      </c>
      <c r="F244" s="537" t="s">
        <v>663</v>
      </c>
      <c r="G244" s="537" t="s">
        <v>661</v>
      </c>
      <c r="H244" s="539" t="s">
        <v>2062</v>
      </c>
      <c r="I244" s="590" t="s">
        <v>2068</v>
      </c>
      <c r="J244" s="545" t="s">
        <v>688</v>
      </c>
      <c r="K244" s="540" t="s">
        <v>197</v>
      </c>
      <c r="L244" s="562" t="s">
        <v>197</v>
      </c>
      <c r="M244" s="563" t="s">
        <v>197</v>
      </c>
      <c r="N244" s="543" t="s">
        <v>689</v>
      </c>
      <c r="O244" s="544" t="s">
        <v>1365</v>
      </c>
      <c r="P244" s="544" t="s">
        <v>1393</v>
      </c>
      <c r="Q244" s="544" t="s">
        <v>663</v>
      </c>
      <c r="R244" s="544" t="s">
        <v>663</v>
      </c>
      <c r="S244" s="544" t="s">
        <v>662</v>
      </c>
      <c r="T244" s="865" t="s">
        <v>663</v>
      </c>
      <c r="U244" s="865" t="s">
        <v>663</v>
      </c>
      <c r="V244" s="544" t="s">
        <v>662</v>
      </c>
      <c r="W244" s="544" t="s">
        <v>663</v>
      </c>
      <c r="X244" s="544" t="s">
        <v>663</v>
      </c>
      <c r="Y244" s="544" t="s">
        <v>663</v>
      </c>
      <c r="Z244" s="544" t="s">
        <v>663</v>
      </c>
      <c r="AA244" s="544" t="s">
        <v>663</v>
      </c>
      <c r="AB244" s="544" t="str">
        <f t="shared" si="49"/>
        <v>DC</v>
      </c>
      <c r="AC244" s="544" t="s">
        <v>1192</v>
      </c>
      <c r="AD244" s="544" t="str" cm="1">
        <f t="array" ref="AD244">IF(SUMPRODUCT(ISNUMBER(SEARCH("y",R244:AA244))+0)=0,"",IF(AA244="y","400G",IF(Z244="y","100G",IF(X244="y","40G",IF(V244="y","10G",IF(S244="y","1G",IF(R244="y","100M",""))))))&amp;" "&amp;AB244&amp;" "&amp;AC244)</f>
        <v>10G DC UPLINK</v>
      </c>
      <c r="AE244" s="546" t="str">
        <f t="shared" si="50"/>
        <v/>
      </c>
      <c r="AF244" s="912" t="str">
        <f t="shared" si="37"/>
        <v>ns</v>
      </c>
      <c r="AG244" s="405" t="str">
        <f t="shared" si="38"/>
        <v>ns</v>
      </c>
      <c r="AH244" s="405" t="str">
        <f t="shared" si="46"/>
        <v>.</v>
      </c>
      <c r="AI244" s="405" t="str">
        <f t="shared" si="39"/>
        <v>ns</v>
      </c>
      <c r="AJ244" s="405" t="str">
        <f t="shared" si="40"/>
        <v>ns</v>
      </c>
      <c r="AK244" s="922" t="str">
        <f t="shared" si="41"/>
        <v>.</v>
      </c>
      <c r="AL244" s="405" t="str">
        <f t="shared" si="41"/>
        <v>ns</v>
      </c>
      <c r="AM244" s="912" t="str">
        <f t="shared" si="42"/>
        <v>ns</v>
      </c>
      <c r="AN244" s="405" t="str">
        <f t="shared" si="43"/>
        <v>ns</v>
      </c>
      <c r="AO244" s="405" t="str">
        <f t="shared" si="44"/>
        <v>ns</v>
      </c>
      <c r="AP244" s="405" t="str">
        <f t="shared" si="45"/>
        <v>ns</v>
      </c>
      <c r="AQ244" s="593"/>
    </row>
    <row r="245" spans="1:43">
      <c r="A245" s="537">
        <v>245</v>
      </c>
      <c r="B245" s="537" t="s">
        <v>2062</v>
      </c>
      <c r="C245" s="538">
        <v>659</v>
      </c>
      <c r="D245" s="537" t="s">
        <v>2113</v>
      </c>
      <c r="E245" s="561" t="s">
        <v>2067</v>
      </c>
      <c r="F245" s="537" t="s">
        <v>663</v>
      </c>
      <c r="G245" s="537" t="s">
        <v>661</v>
      </c>
      <c r="H245" s="539" t="s">
        <v>2062</v>
      </c>
      <c r="I245" s="590" t="s">
        <v>2381</v>
      </c>
      <c r="J245" s="545" t="s">
        <v>688</v>
      </c>
      <c r="K245" s="540" t="s">
        <v>197</v>
      </c>
      <c r="L245" s="562" t="s">
        <v>197</v>
      </c>
      <c r="M245" s="563" t="s">
        <v>197</v>
      </c>
      <c r="N245" s="543" t="s">
        <v>689</v>
      </c>
      <c r="O245" s="544" t="s">
        <v>1202</v>
      </c>
      <c r="P245" s="544" t="s">
        <v>1393</v>
      </c>
      <c r="Q245" s="544" t="s">
        <v>663</v>
      </c>
      <c r="R245" s="544" t="s">
        <v>663</v>
      </c>
      <c r="S245" s="544" t="s">
        <v>662</v>
      </c>
      <c r="T245" s="865" t="s">
        <v>663</v>
      </c>
      <c r="U245" s="865" t="s">
        <v>663</v>
      </c>
      <c r="V245" s="544" t="s">
        <v>662</v>
      </c>
      <c r="W245" s="544" t="s">
        <v>663</v>
      </c>
      <c r="X245" s="544" t="s">
        <v>663</v>
      </c>
      <c r="Y245" s="544" t="s">
        <v>663</v>
      </c>
      <c r="Z245" s="544" t="s">
        <v>663</v>
      </c>
      <c r="AA245" s="544" t="s">
        <v>663</v>
      </c>
      <c r="AB245" s="544" t="str">
        <f t="shared" si="49"/>
        <v>DC</v>
      </c>
      <c r="AC245" s="544" t="s">
        <v>1192</v>
      </c>
      <c r="AD245" s="544" t="str" cm="1">
        <f t="array" ref="AD245">IF(SUMPRODUCT(ISNUMBER(SEARCH("y",R245:AA245))+0)=0,"",IF(AA245="y","400G",IF(Z245="y","100G",IF(X245="y","40G",IF(V245="y","10G",IF(S245="y","1G",IF(R245="y","100M",""))))))&amp;" "&amp;AB245&amp;" "&amp;AC245)</f>
        <v>10G DC UPLINK</v>
      </c>
      <c r="AE245" s="546" t="str">
        <f t="shared" si="50"/>
        <v/>
      </c>
      <c r="AF245" s="912" t="str">
        <f t="shared" si="37"/>
        <v>ns</v>
      </c>
      <c r="AG245" s="405" t="str">
        <f t="shared" si="38"/>
        <v>ns</v>
      </c>
      <c r="AH245" s="405" t="str">
        <f t="shared" si="46"/>
        <v>.</v>
      </c>
      <c r="AI245" s="405" t="str">
        <f t="shared" si="39"/>
        <v>ns</v>
      </c>
      <c r="AJ245" s="405" t="str">
        <f t="shared" si="40"/>
        <v>ns</v>
      </c>
      <c r="AK245" s="922" t="str">
        <f t="shared" si="41"/>
        <v>.</v>
      </c>
      <c r="AL245" s="405" t="str">
        <f t="shared" si="41"/>
        <v>ns</v>
      </c>
      <c r="AM245" s="912" t="str">
        <f t="shared" si="42"/>
        <v>ns</v>
      </c>
      <c r="AN245" s="405" t="str">
        <f t="shared" si="43"/>
        <v>ns</v>
      </c>
      <c r="AO245" s="405" t="str">
        <f t="shared" si="44"/>
        <v>ns</v>
      </c>
      <c r="AP245" s="405" t="str">
        <f t="shared" si="45"/>
        <v>ns</v>
      </c>
      <c r="AQ245" s="593"/>
    </row>
    <row r="246" spans="1:43">
      <c r="A246" s="537">
        <v>246</v>
      </c>
      <c r="B246" s="537" t="s">
        <v>2074</v>
      </c>
      <c r="C246" s="538">
        <v>629</v>
      </c>
      <c r="D246" s="537" t="s">
        <v>2152</v>
      </c>
      <c r="E246" s="561" t="s">
        <v>2387</v>
      </c>
      <c r="F246" s="537" t="s">
        <v>663</v>
      </c>
      <c r="G246" s="556" t="s">
        <v>739</v>
      </c>
      <c r="H246" s="539" t="s">
        <v>2074</v>
      </c>
      <c r="I246" s="590" t="s">
        <v>2068</v>
      </c>
      <c r="J246" s="545" t="s">
        <v>688</v>
      </c>
      <c r="K246" s="540" t="s">
        <v>197</v>
      </c>
      <c r="L246" s="562" t="s">
        <v>197</v>
      </c>
      <c r="M246" s="563" t="s">
        <v>197</v>
      </c>
      <c r="N246" s="543" t="s">
        <v>689</v>
      </c>
      <c r="O246" s="544" t="s">
        <v>969</v>
      </c>
      <c r="P246" s="544" t="s">
        <v>1393</v>
      </c>
      <c r="Q246" s="544" t="s">
        <v>663</v>
      </c>
      <c r="R246" s="544" t="s">
        <v>663</v>
      </c>
      <c r="S246" s="544" t="s">
        <v>662</v>
      </c>
      <c r="T246" s="865" t="s">
        <v>663</v>
      </c>
      <c r="U246" s="865" t="s">
        <v>663</v>
      </c>
      <c r="V246" s="544" t="s">
        <v>662</v>
      </c>
      <c r="W246" s="544" t="s">
        <v>663</v>
      </c>
      <c r="X246" s="544" t="s">
        <v>663</v>
      </c>
      <c r="Y246" s="544" t="s">
        <v>663</v>
      </c>
      <c r="Z246" s="544" t="s">
        <v>663</v>
      </c>
      <c r="AA246" s="544" t="s">
        <v>663</v>
      </c>
      <c r="AB246" s="544" t="str">
        <f t="shared" ref="AB246:AB289" si="51">IF(O246="N/A","",IF(J246="DC","DC","PHY"))</f>
        <v>DC</v>
      </c>
      <c r="AC246" s="544" t="s">
        <v>1192</v>
      </c>
      <c r="AD246" s="544" t="str" cm="1">
        <f t="array" ref="AD246">IF(SUMPRODUCT(ISNUMBER(SEARCH("y",R246:AA246))+0)=0,"",IF(AA246="y","400G",IF(Z246="y","100G",IF(X246="y","40G",IF(V246="y","10G",IF(S246="y","1G",IF(R246="y","100M",""))))))&amp;" "&amp;AB246&amp;" "&amp;AC246)</f>
        <v>10G DC UPLINK</v>
      </c>
      <c r="AE246" s="546" t="str">
        <f t="shared" si="50"/>
        <v/>
      </c>
      <c r="AF246" s="912" t="str">
        <f t="shared" si="37"/>
        <v>ns</v>
      </c>
      <c r="AG246" s="405" t="str">
        <f t="shared" si="38"/>
        <v>ns</v>
      </c>
      <c r="AH246" s="405" t="str">
        <f t="shared" si="46"/>
        <v>.</v>
      </c>
      <c r="AI246" s="405" t="str">
        <f t="shared" si="39"/>
        <v>ns</v>
      </c>
      <c r="AJ246" s="405" t="str">
        <f t="shared" si="40"/>
        <v>ns</v>
      </c>
      <c r="AK246" s="922" t="str">
        <f t="shared" si="41"/>
        <v>.</v>
      </c>
      <c r="AL246" s="405" t="str">
        <f t="shared" si="41"/>
        <v>ns</v>
      </c>
      <c r="AM246" s="912" t="str">
        <f t="shared" si="42"/>
        <v>ns</v>
      </c>
      <c r="AN246" s="405" t="str">
        <f t="shared" si="43"/>
        <v>ns</v>
      </c>
      <c r="AO246" s="405" t="str">
        <f t="shared" si="44"/>
        <v>ns</v>
      </c>
      <c r="AP246" s="405" t="str">
        <f t="shared" si="45"/>
        <v>ns</v>
      </c>
      <c r="AQ246" s="593"/>
    </row>
    <row r="247" spans="1:43">
      <c r="A247" s="537">
        <v>247</v>
      </c>
      <c r="B247" s="537" t="s">
        <v>2074</v>
      </c>
      <c r="C247" s="538"/>
      <c r="D247" s="537" t="s">
        <v>2153</v>
      </c>
      <c r="E247" s="561" t="s">
        <v>2386</v>
      </c>
      <c r="F247" s="537" t="s">
        <v>663</v>
      </c>
      <c r="G247" s="556" t="s">
        <v>739</v>
      </c>
      <c r="H247" s="539" t="s">
        <v>2074</v>
      </c>
      <c r="I247" s="590" t="s">
        <v>2068</v>
      </c>
      <c r="J247" s="545" t="s">
        <v>688</v>
      </c>
      <c r="K247" s="540" t="s">
        <v>197</v>
      </c>
      <c r="L247" s="562" t="s">
        <v>197</v>
      </c>
      <c r="M247" s="563" t="s">
        <v>197</v>
      </c>
      <c r="N247" s="543" t="s">
        <v>689</v>
      </c>
      <c r="O247" s="544" t="s">
        <v>1030</v>
      </c>
      <c r="P247" s="544" t="s">
        <v>1393</v>
      </c>
      <c r="Q247" s="544" t="s">
        <v>663</v>
      </c>
      <c r="R247" s="544" t="s">
        <v>663</v>
      </c>
      <c r="S247" s="544" t="s">
        <v>662</v>
      </c>
      <c r="T247" s="865" t="s">
        <v>663</v>
      </c>
      <c r="U247" s="865" t="s">
        <v>663</v>
      </c>
      <c r="V247" s="544" t="s">
        <v>662</v>
      </c>
      <c r="W247" s="544" t="s">
        <v>663</v>
      </c>
      <c r="X247" s="544" t="s">
        <v>663</v>
      </c>
      <c r="Y247" s="544" t="s">
        <v>663</v>
      </c>
      <c r="Z247" s="544" t="s">
        <v>663</v>
      </c>
      <c r="AA247" s="544" t="s">
        <v>663</v>
      </c>
      <c r="AB247" s="544" t="str">
        <f t="shared" si="51"/>
        <v>DC</v>
      </c>
      <c r="AC247" s="544" t="s">
        <v>1192</v>
      </c>
      <c r="AD247" s="544" t="str" cm="1">
        <f t="array" ref="AD247">IF(SUMPRODUCT(ISNUMBER(SEARCH("y",R247:AA247))+0)=0,"",IF(AA247="y","400G",IF(Z247="y","100G",IF(X247="y","40G",IF(V247="y","10G",IF(S247="y","1G",IF(R247="y","100M",""))))))&amp;" "&amp;AB247&amp;" "&amp;AC247)</f>
        <v>10G DC UPLINK</v>
      </c>
      <c r="AE247" s="546" t="str">
        <f t="shared" si="50"/>
        <v/>
      </c>
      <c r="AF247" s="912" t="str">
        <f t="shared" si="37"/>
        <v>ns</v>
      </c>
      <c r="AG247" s="405" t="str">
        <f t="shared" si="38"/>
        <v>ns</v>
      </c>
      <c r="AH247" s="405" t="str">
        <f t="shared" si="46"/>
        <v>.</v>
      </c>
      <c r="AI247" s="405" t="str">
        <f t="shared" si="39"/>
        <v>ns</v>
      </c>
      <c r="AJ247" s="405" t="str">
        <f t="shared" si="40"/>
        <v>ns</v>
      </c>
      <c r="AK247" s="922" t="str">
        <f t="shared" si="41"/>
        <v>.</v>
      </c>
      <c r="AL247" s="405" t="str">
        <f t="shared" si="41"/>
        <v>ns</v>
      </c>
      <c r="AM247" s="912" t="str">
        <f t="shared" si="42"/>
        <v>ns</v>
      </c>
      <c r="AN247" s="405" t="str">
        <f t="shared" si="43"/>
        <v>ns</v>
      </c>
      <c r="AO247" s="405" t="str">
        <f t="shared" si="44"/>
        <v>ns</v>
      </c>
      <c r="AP247" s="405" t="str">
        <f t="shared" si="45"/>
        <v>ns</v>
      </c>
      <c r="AQ247" s="593"/>
    </row>
    <row r="248" spans="1:43">
      <c r="A248" s="537">
        <v>248</v>
      </c>
      <c r="B248" s="537" t="s">
        <v>2074</v>
      </c>
      <c r="C248" s="538">
        <v>639</v>
      </c>
      <c r="D248" s="537" t="s">
        <v>2154</v>
      </c>
      <c r="E248" s="561" t="s">
        <v>2385</v>
      </c>
      <c r="F248" s="537" t="s">
        <v>663</v>
      </c>
      <c r="G248" s="556" t="s">
        <v>739</v>
      </c>
      <c r="H248" s="539" t="s">
        <v>2074</v>
      </c>
      <c r="I248" s="590" t="s">
        <v>2068</v>
      </c>
      <c r="J248" s="545" t="s">
        <v>688</v>
      </c>
      <c r="K248" s="540" t="s">
        <v>197</v>
      </c>
      <c r="L248" s="562" t="s">
        <v>197</v>
      </c>
      <c r="M248" s="563" t="s">
        <v>197</v>
      </c>
      <c r="N248" s="543" t="s">
        <v>689</v>
      </c>
      <c r="O248" s="544" t="s">
        <v>1365</v>
      </c>
      <c r="P248" s="544" t="s">
        <v>1393</v>
      </c>
      <c r="Q248" s="544" t="s">
        <v>663</v>
      </c>
      <c r="R248" s="544" t="s">
        <v>663</v>
      </c>
      <c r="S248" s="544" t="s">
        <v>662</v>
      </c>
      <c r="T248" s="865" t="s">
        <v>663</v>
      </c>
      <c r="U248" s="865" t="s">
        <v>663</v>
      </c>
      <c r="V248" s="544" t="s">
        <v>662</v>
      </c>
      <c r="W248" s="544" t="s">
        <v>663</v>
      </c>
      <c r="X248" s="544" t="s">
        <v>663</v>
      </c>
      <c r="Y248" s="544" t="s">
        <v>663</v>
      </c>
      <c r="Z248" s="544" t="s">
        <v>663</v>
      </c>
      <c r="AA248" s="544" t="s">
        <v>663</v>
      </c>
      <c r="AB248" s="544" t="str">
        <f t="shared" si="51"/>
        <v>DC</v>
      </c>
      <c r="AC248" s="544" t="s">
        <v>1192</v>
      </c>
      <c r="AD248" s="544" t="str" cm="1">
        <f t="array" ref="AD248">IF(SUMPRODUCT(ISNUMBER(SEARCH("y",R248:AA248))+0)=0,"",IF(AA248="y","400G",IF(Z248="y","100G",IF(X248="y","40G",IF(V248="y","10G",IF(S248="y","1G",IF(R248="y","100M",""))))))&amp;" "&amp;AB248&amp;" "&amp;AC248)</f>
        <v>10G DC UPLINK</v>
      </c>
      <c r="AE248" s="546" t="str">
        <f t="shared" si="50"/>
        <v/>
      </c>
      <c r="AF248" s="912" t="str">
        <f t="shared" si="37"/>
        <v>ns</v>
      </c>
      <c r="AG248" s="405" t="str">
        <f t="shared" si="38"/>
        <v>ns</v>
      </c>
      <c r="AH248" s="405" t="str">
        <f t="shared" si="46"/>
        <v>.</v>
      </c>
      <c r="AI248" s="405" t="str">
        <f t="shared" si="39"/>
        <v>ns</v>
      </c>
      <c r="AJ248" s="405" t="str">
        <f t="shared" si="40"/>
        <v>ns</v>
      </c>
      <c r="AK248" s="922" t="str">
        <f t="shared" si="41"/>
        <v>.</v>
      </c>
      <c r="AL248" s="405" t="str">
        <f t="shared" si="41"/>
        <v>ns</v>
      </c>
      <c r="AM248" s="912" t="str">
        <f t="shared" si="42"/>
        <v>ns</v>
      </c>
      <c r="AN248" s="405" t="str">
        <f t="shared" si="43"/>
        <v>ns</v>
      </c>
      <c r="AO248" s="405" t="str">
        <f t="shared" si="44"/>
        <v>ns</v>
      </c>
      <c r="AP248" s="405" t="str">
        <f t="shared" si="45"/>
        <v>ns</v>
      </c>
      <c r="AQ248" s="593"/>
    </row>
    <row r="249" spans="1:43">
      <c r="A249" s="537">
        <v>249</v>
      </c>
      <c r="B249" s="537" t="s">
        <v>2074</v>
      </c>
      <c r="C249" s="538">
        <v>662</v>
      </c>
      <c r="D249" s="537" t="s">
        <v>2155</v>
      </c>
      <c r="E249" s="561" t="s">
        <v>2384</v>
      </c>
      <c r="F249" s="537" t="s">
        <v>663</v>
      </c>
      <c r="G249" s="556" t="s">
        <v>739</v>
      </c>
      <c r="H249" s="539" t="s">
        <v>2074</v>
      </c>
      <c r="I249" s="590" t="s">
        <v>2068</v>
      </c>
      <c r="J249" s="545" t="s">
        <v>688</v>
      </c>
      <c r="K249" s="540" t="s">
        <v>197</v>
      </c>
      <c r="L249" s="562" t="s">
        <v>197</v>
      </c>
      <c r="M249" s="563" t="s">
        <v>197</v>
      </c>
      <c r="N249" s="543" t="s">
        <v>689</v>
      </c>
      <c r="O249" s="544" t="s">
        <v>1202</v>
      </c>
      <c r="P249" s="544" t="s">
        <v>1393</v>
      </c>
      <c r="Q249" s="544" t="s">
        <v>663</v>
      </c>
      <c r="R249" s="544" t="s">
        <v>663</v>
      </c>
      <c r="S249" s="544" t="s">
        <v>662</v>
      </c>
      <c r="T249" s="865" t="s">
        <v>663</v>
      </c>
      <c r="U249" s="865" t="s">
        <v>663</v>
      </c>
      <c r="V249" s="544" t="s">
        <v>662</v>
      </c>
      <c r="W249" s="544" t="s">
        <v>663</v>
      </c>
      <c r="X249" s="544" t="s">
        <v>663</v>
      </c>
      <c r="Y249" s="544" t="s">
        <v>663</v>
      </c>
      <c r="Z249" s="544" t="s">
        <v>663</v>
      </c>
      <c r="AA249" s="544" t="s">
        <v>663</v>
      </c>
      <c r="AB249" s="544" t="str">
        <f t="shared" si="51"/>
        <v>DC</v>
      </c>
      <c r="AC249" s="544" t="s">
        <v>1192</v>
      </c>
      <c r="AD249" s="544" t="str" cm="1">
        <f t="array" ref="AD249">IF(SUMPRODUCT(ISNUMBER(SEARCH("y",R249:AA249))+0)=0,"",IF(AA249="y","400G",IF(Z249="y","100G",IF(X249="y","40G",IF(V249="y","10G",IF(S249="y","1G",IF(R249="y","100M",""))))))&amp;" "&amp;AB249&amp;" "&amp;AC249)</f>
        <v>10G DC UPLINK</v>
      </c>
      <c r="AE249" s="546" t="str">
        <f t="shared" si="50"/>
        <v/>
      </c>
      <c r="AF249" s="912" t="str">
        <f t="shared" si="37"/>
        <v>ns</v>
      </c>
      <c r="AG249" s="405" t="str">
        <f t="shared" si="38"/>
        <v>ns</v>
      </c>
      <c r="AH249" s="405" t="str">
        <f t="shared" si="46"/>
        <v>.</v>
      </c>
      <c r="AI249" s="405" t="str">
        <f t="shared" si="39"/>
        <v>ns</v>
      </c>
      <c r="AJ249" s="405" t="str">
        <f t="shared" si="40"/>
        <v>ns</v>
      </c>
      <c r="AK249" s="922" t="str">
        <f t="shared" si="41"/>
        <v>.</v>
      </c>
      <c r="AL249" s="405" t="str">
        <f t="shared" si="41"/>
        <v>ns</v>
      </c>
      <c r="AM249" s="912" t="str">
        <f t="shared" si="42"/>
        <v>ns</v>
      </c>
      <c r="AN249" s="405" t="str">
        <f t="shared" si="43"/>
        <v>ns</v>
      </c>
      <c r="AO249" s="405" t="str">
        <f t="shared" si="44"/>
        <v>ns</v>
      </c>
      <c r="AP249" s="405" t="str">
        <f t="shared" si="45"/>
        <v>ns</v>
      </c>
      <c r="AQ249" s="593"/>
    </row>
    <row r="250" spans="1:43">
      <c r="A250" s="537">
        <v>250</v>
      </c>
      <c r="B250" s="537" t="s">
        <v>2074</v>
      </c>
      <c r="C250" s="538">
        <v>628</v>
      </c>
      <c r="D250" s="537" t="s">
        <v>2156</v>
      </c>
      <c r="E250" s="561" t="s">
        <v>2388</v>
      </c>
      <c r="F250" s="537" t="s">
        <v>663</v>
      </c>
      <c r="G250" s="556" t="s">
        <v>739</v>
      </c>
      <c r="H250" s="539" t="s">
        <v>2074</v>
      </c>
      <c r="I250" s="590" t="s">
        <v>2068</v>
      </c>
      <c r="J250" s="545" t="s">
        <v>688</v>
      </c>
      <c r="K250" s="540" t="s">
        <v>197</v>
      </c>
      <c r="L250" s="562" t="s">
        <v>197</v>
      </c>
      <c r="M250" s="563" t="s">
        <v>197</v>
      </c>
      <c r="N250" s="543" t="s">
        <v>689</v>
      </c>
      <c r="O250" s="544" t="s">
        <v>969</v>
      </c>
      <c r="P250" s="544" t="s">
        <v>1393</v>
      </c>
      <c r="Q250" s="544" t="s">
        <v>663</v>
      </c>
      <c r="R250" s="544" t="s">
        <v>663</v>
      </c>
      <c r="S250" s="544" t="s">
        <v>662</v>
      </c>
      <c r="T250" s="865" t="s">
        <v>663</v>
      </c>
      <c r="U250" s="865" t="s">
        <v>663</v>
      </c>
      <c r="V250" s="544" t="s">
        <v>662</v>
      </c>
      <c r="W250" s="544" t="s">
        <v>663</v>
      </c>
      <c r="X250" s="544" t="s">
        <v>663</v>
      </c>
      <c r="Y250" s="544" t="s">
        <v>663</v>
      </c>
      <c r="Z250" s="544" t="s">
        <v>663</v>
      </c>
      <c r="AA250" s="544" t="s">
        <v>663</v>
      </c>
      <c r="AB250" s="544" t="str">
        <f t="shared" si="51"/>
        <v>DC</v>
      </c>
      <c r="AC250" s="544" t="s">
        <v>1192</v>
      </c>
      <c r="AD250" s="544" t="str" cm="1">
        <f t="array" ref="AD250">IF(SUMPRODUCT(ISNUMBER(SEARCH("y",R250:AA250))+0)=0,"",IF(AA250="y","400G",IF(Z250="y","100G",IF(X250="y","40G",IF(V250="y","10G",IF(S250="y","1G",IF(R250="y","100M",""))))))&amp;" "&amp;AB250&amp;" "&amp;AC250)</f>
        <v>10G DC UPLINK</v>
      </c>
      <c r="AE250" s="546" t="str">
        <f t="shared" si="50"/>
        <v/>
      </c>
      <c r="AF250" s="912" t="str">
        <f t="shared" si="37"/>
        <v>ns</v>
      </c>
      <c r="AG250" s="405" t="str">
        <f t="shared" si="38"/>
        <v>ns</v>
      </c>
      <c r="AH250" s="405" t="str">
        <f t="shared" si="46"/>
        <v>.</v>
      </c>
      <c r="AI250" s="405" t="str">
        <f t="shared" si="39"/>
        <v>ns</v>
      </c>
      <c r="AJ250" s="405" t="str">
        <f t="shared" si="40"/>
        <v>ns</v>
      </c>
      <c r="AK250" s="922" t="str">
        <f t="shared" si="41"/>
        <v>.</v>
      </c>
      <c r="AL250" s="405" t="str">
        <f t="shared" si="41"/>
        <v>ns</v>
      </c>
      <c r="AM250" s="912" t="str">
        <f t="shared" si="42"/>
        <v>ns</v>
      </c>
      <c r="AN250" s="405" t="str">
        <f t="shared" si="43"/>
        <v>ns</v>
      </c>
      <c r="AO250" s="405" t="str">
        <f t="shared" si="44"/>
        <v>ns</v>
      </c>
      <c r="AP250" s="405" t="str">
        <f t="shared" si="45"/>
        <v>ns</v>
      </c>
      <c r="AQ250" s="593"/>
    </row>
    <row r="251" spans="1:43">
      <c r="A251" s="537">
        <v>251</v>
      </c>
      <c r="B251" s="537" t="s">
        <v>2074</v>
      </c>
      <c r="C251" s="538"/>
      <c r="D251" s="537" t="s">
        <v>2157</v>
      </c>
      <c r="E251" s="561" t="s">
        <v>2389</v>
      </c>
      <c r="F251" s="537" t="s">
        <v>663</v>
      </c>
      <c r="G251" s="556" t="s">
        <v>739</v>
      </c>
      <c r="H251" s="539" t="s">
        <v>2074</v>
      </c>
      <c r="I251" s="590" t="s">
        <v>2068</v>
      </c>
      <c r="J251" s="545" t="s">
        <v>688</v>
      </c>
      <c r="K251" s="540" t="s">
        <v>197</v>
      </c>
      <c r="L251" s="562" t="s">
        <v>197</v>
      </c>
      <c r="M251" s="563" t="s">
        <v>197</v>
      </c>
      <c r="N251" s="543" t="s">
        <v>689</v>
      </c>
      <c r="O251" s="544" t="s">
        <v>1030</v>
      </c>
      <c r="P251" s="544" t="s">
        <v>1393</v>
      </c>
      <c r="Q251" s="544" t="s">
        <v>663</v>
      </c>
      <c r="R251" s="544" t="s">
        <v>663</v>
      </c>
      <c r="S251" s="544" t="s">
        <v>662</v>
      </c>
      <c r="T251" s="865" t="s">
        <v>663</v>
      </c>
      <c r="U251" s="865" t="s">
        <v>663</v>
      </c>
      <c r="V251" s="544" t="s">
        <v>662</v>
      </c>
      <c r="W251" s="544" t="s">
        <v>663</v>
      </c>
      <c r="X251" s="544" t="s">
        <v>663</v>
      </c>
      <c r="Y251" s="544" t="s">
        <v>663</v>
      </c>
      <c r="Z251" s="544" t="s">
        <v>663</v>
      </c>
      <c r="AA251" s="544" t="s">
        <v>663</v>
      </c>
      <c r="AB251" s="544" t="str">
        <f t="shared" si="51"/>
        <v>DC</v>
      </c>
      <c r="AC251" s="544" t="s">
        <v>1192</v>
      </c>
      <c r="AD251" s="544" t="str" cm="1">
        <f t="array" ref="AD251">IF(SUMPRODUCT(ISNUMBER(SEARCH("y",R251:AA251))+0)=0,"",IF(AA251="y","400G",IF(Z251="y","100G",IF(X251="y","40G",IF(V251="y","10G",IF(S251="y","1G",IF(R251="y","100M",""))))))&amp;" "&amp;AB251&amp;" "&amp;AC251)</f>
        <v>10G DC UPLINK</v>
      </c>
      <c r="AE251" s="546" t="str">
        <f t="shared" si="50"/>
        <v/>
      </c>
      <c r="AF251" s="912" t="str">
        <f t="shared" si="37"/>
        <v>ns</v>
      </c>
      <c r="AG251" s="405" t="str">
        <f t="shared" si="38"/>
        <v>ns</v>
      </c>
      <c r="AH251" s="405" t="str">
        <f t="shared" si="46"/>
        <v>.</v>
      </c>
      <c r="AI251" s="405" t="str">
        <f t="shared" si="39"/>
        <v>ns</v>
      </c>
      <c r="AJ251" s="405" t="str">
        <f t="shared" si="40"/>
        <v>ns</v>
      </c>
      <c r="AK251" s="922" t="str">
        <f t="shared" si="41"/>
        <v>.</v>
      </c>
      <c r="AL251" s="405" t="str">
        <f t="shared" si="41"/>
        <v>ns</v>
      </c>
      <c r="AM251" s="912" t="str">
        <f t="shared" si="42"/>
        <v>ns</v>
      </c>
      <c r="AN251" s="405" t="str">
        <f t="shared" si="43"/>
        <v>ns</v>
      </c>
      <c r="AO251" s="405" t="str">
        <f t="shared" si="44"/>
        <v>ns</v>
      </c>
      <c r="AP251" s="405" t="str">
        <f t="shared" si="45"/>
        <v>ns</v>
      </c>
      <c r="AQ251" s="593"/>
    </row>
    <row r="252" spans="1:43">
      <c r="A252" s="537">
        <v>252</v>
      </c>
      <c r="B252" s="537" t="s">
        <v>2074</v>
      </c>
      <c r="C252" s="538">
        <v>638</v>
      </c>
      <c r="D252" s="537" t="s">
        <v>2158</v>
      </c>
      <c r="E252" s="561" t="s">
        <v>2390</v>
      </c>
      <c r="F252" s="537" t="s">
        <v>663</v>
      </c>
      <c r="G252" s="556" t="s">
        <v>739</v>
      </c>
      <c r="H252" s="539" t="s">
        <v>2074</v>
      </c>
      <c r="I252" s="590" t="s">
        <v>2068</v>
      </c>
      <c r="J252" s="545" t="s">
        <v>688</v>
      </c>
      <c r="K252" s="540" t="s">
        <v>197</v>
      </c>
      <c r="L252" s="562" t="s">
        <v>197</v>
      </c>
      <c r="M252" s="563" t="s">
        <v>197</v>
      </c>
      <c r="N252" s="543" t="s">
        <v>689</v>
      </c>
      <c r="O252" s="544" t="s">
        <v>1365</v>
      </c>
      <c r="P252" s="544" t="s">
        <v>1393</v>
      </c>
      <c r="Q252" s="544" t="s">
        <v>663</v>
      </c>
      <c r="R252" s="544" t="s">
        <v>663</v>
      </c>
      <c r="S252" s="544" t="s">
        <v>662</v>
      </c>
      <c r="T252" s="865" t="s">
        <v>663</v>
      </c>
      <c r="U252" s="865" t="s">
        <v>663</v>
      </c>
      <c r="V252" s="544" t="s">
        <v>662</v>
      </c>
      <c r="W252" s="544" t="s">
        <v>663</v>
      </c>
      <c r="X252" s="544" t="s">
        <v>663</v>
      </c>
      <c r="Y252" s="544" t="s">
        <v>663</v>
      </c>
      <c r="Z252" s="544" t="s">
        <v>663</v>
      </c>
      <c r="AA252" s="544" t="s">
        <v>663</v>
      </c>
      <c r="AB252" s="544" t="str">
        <f t="shared" si="51"/>
        <v>DC</v>
      </c>
      <c r="AC252" s="544" t="s">
        <v>1192</v>
      </c>
      <c r="AD252" s="544" t="str" cm="1">
        <f t="array" ref="AD252">IF(SUMPRODUCT(ISNUMBER(SEARCH("y",R252:AA252))+0)=0,"",IF(AA252="y","400G",IF(Z252="y","100G",IF(X252="y","40G",IF(V252="y","10G",IF(S252="y","1G",IF(R252="y","100M",""))))))&amp;" "&amp;AB252&amp;" "&amp;AC252)</f>
        <v>10G DC UPLINK</v>
      </c>
      <c r="AE252" s="546" t="str">
        <f t="shared" si="50"/>
        <v/>
      </c>
      <c r="AF252" s="912" t="str">
        <f t="shared" si="37"/>
        <v>ns</v>
      </c>
      <c r="AG252" s="405" t="str">
        <f t="shared" si="38"/>
        <v>ns</v>
      </c>
      <c r="AH252" s="405" t="str">
        <f t="shared" si="46"/>
        <v>.</v>
      </c>
      <c r="AI252" s="405" t="str">
        <f t="shared" si="39"/>
        <v>ns</v>
      </c>
      <c r="AJ252" s="405" t="str">
        <f t="shared" si="40"/>
        <v>ns</v>
      </c>
      <c r="AK252" s="922" t="str">
        <f t="shared" si="41"/>
        <v>.</v>
      </c>
      <c r="AL252" s="405" t="str">
        <f t="shared" si="41"/>
        <v>ns</v>
      </c>
      <c r="AM252" s="912" t="str">
        <f t="shared" si="42"/>
        <v>ns</v>
      </c>
      <c r="AN252" s="405" t="str">
        <f t="shared" si="43"/>
        <v>ns</v>
      </c>
      <c r="AO252" s="405" t="str">
        <f t="shared" si="44"/>
        <v>ns</v>
      </c>
      <c r="AP252" s="405" t="str">
        <f t="shared" si="45"/>
        <v>ns</v>
      </c>
      <c r="AQ252" s="593"/>
    </row>
    <row r="253" spans="1:43">
      <c r="A253" s="537">
        <v>253</v>
      </c>
      <c r="B253" s="537" t="s">
        <v>2074</v>
      </c>
      <c r="C253" s="538">
        <v>661</v>
      </c>
      <c r="D253" s="537" t="s">
        <v>2159</v>
      </c>
      <c r="E253" s="561" t="s">
        <v>2391</v>
      </c>
      <c r="F253" s="537" t="s">
        <v>663</v>
      </c>
      <c r="G253" s="556" t="s">
        <v>739</v>
      </c>
      <c r="H253" s="539" t="s">
        <v>2074</v>
      </c>
      <c r="I253" s="590" t="s">
        <v>2068</v>
      </c>
      <c r="J253" s="545" t="s">
        <v>688</v>
      </c>
      <c r="K253" s="540" t="s">
        <v>197</v>
      </c>
      <c r="L253" s="562" t="s">
        <v>197</v>
      </c>
      <c r="M253" s="563" t="s">
        <v>197</v>
      </c>
      <c r="N253" s="543" t="s">
        <v>689</v>
      </c>
      <c r="O253" s="544" t="s">
        <v>1202</v>
      </c>
      <c r="P253" s="544" t="s">
        <v>1393</v>
      </c>
      <c r="Q253" s="544" t="s">
        <v>663</v>
      </c>
      <c r="R253" s="544" t="s">
        <v>663</v>
      </c>
      <c r="S253" s="544" t="s">
        <v>662</v>
      </c>
      <c r="T253" s="865" t="s">
        <v>663</v>
      </c>
      <c r="U253" s="865" t="s">
        <v>663</v>
      </c>
      <c r="V253" s="544" t="s">
        <v>662</v>
      </c>
      <c r="W253" s="544" t="s">
        <v>663</v>
      </c>
      <c r="X253" s="544" t="s">
        <v>663</v>
      </c>
      <c r="Y253" s="544" t="s">
        <v>663</v>
      </c>
      <c r="Z253" s="544" t="s">
        <v>663</v>
      </c>
      <c r="AA253" s="544" t="s">
        <v>663</v>
      </c>
      <c r="AB253" s="544" t="str">
        <f t="shared" si="51"/>
        <v>DC</v>
      </c>
      <c r="AC253" s="544" t="s">
        <v>1192</v>
      </c>
      <c r="AD253" s="544" t="str" cm="1">
        <f t="array" ref="AD253">IF(SUMPRODUCT(ISNUMBER(SEARCH("y",R253:AA253))+0)=0,"",IF(AA253="y","400G",IF(Z253="y","100G",IF(X253="y","40G",IF(V253="y","10G",IF(S253="y","1G",IF(R253="y","100M",""))))))&amp;" "&amp;AB253&amp;" "&amp;AC253)</f>
        <v>10G DC UPLINK</v>
      </c>
      <c r="AE253" s="546" t="str">
        <f t="shared" si="50"/>
        <v/>
      </c>
      <c r="AF253" s="912" t="str">
        <f t="shared" si="37"/>
        <v>ns</v>
      </c>
      <c r="AG253" s="405" t="str">
        <f t="shared" si="38"/>
        <v>ns</v>
      </c>
      <c r="AH253" s="405" t="str">
        <f t="shared" si="46"/>
        <v>.</v>
      </c>
      <c r="AI253" s="405" t="str">
        <f t="shared" si="39"/>
        <v>ns</v>
      </c>
      <c r="AJ253" s="405" t="str">
        <f t="shared" si="40"/>
        <v>ns</v>
      </c>
      <c r="AK253" s="922" t="str">
        <f t="shared" si="41"/>
        <v>.</v>
      </c>
      <c r="AL253" s="405" t="str">
        <f t="shared" si="41"/>
        <v>ns</v>
      </c>
      <c r="AM253" s="912" t="str">
        <f t="shared" si="42"/>
        <v>ns</v>
      </c>
      <c r="AN253" s="405" t="str">
        <f t="shared" si="43"/>
        <v>ns</v>
      </c>
      <c r="AO253" s="405" t="str">
        <f t="shared" si="44"/>
        <v>ns</v>
      </c>
      <c r="AP253" s="405" t="str">
        <f t="shared" si="45"/>
        <v>ns</v>
      </c>
      <c r="AQ253" s="593"/>
    </row>
    <row r="254" spans="1:43">
      <c r="A254" s="537">
        <v>254</v>
      </c>
      <c r="B254" s="537" t="s">
        <v>2086</v>
      </c>
      <c r="D254" s="537" t="s">
        <v>2114</v>
      </c>
      <c r="E254" s="537" t="s">
        <v>2103</v>
      </c>
      <c r="F254" s="537" t="s">
        <v>663</v>
      </c>
      <c r="G254" s="556" t="s">
        <v>739</v>
      </c>
      <c r="H254" s="537" t="s">
        <v>598</v>
      </c>
      <c r="I254" s="537"/>
      <c r="J254" s="545"/>
      <c r="K254" s="537"/>
      <c r="L254" s="537"/>
      <c r="M254" s="537"/>
      <c r="N254" s="537"/>
      <c r="O254" s="537"/>
      <c r="P254" s="537"/>
      <c r="Q254" s="537" t="s">
        <v>663</v>
      </c>
      <c r="R254" s="537" t="s">
        <v>663</v>
      </c>
      <c r="S254" s="537"/>
      <c r="T254" s="537"/>
      <c r="U254" s="537"/>
      <c r="V254" s="537"/>
      <c r="W254" s="537" t="s">
        <v>663</v>
      </c>
      <c r="X254" s="537"/>
      <c r="Y254" s="537"/>
      <c r="Z254" s="537"/>
      <c r="AA254" s="537"/>
      <c r="AB254" s="544" t="str">
        <f t="shared" si="51"/>
        <v>PHY</v>
      </c>
      <c r="AC254" s="537"/>
      <c r="AD254" s="544" t="str" cm="1">
        <f t="array" ref="AD254">IF(SUMPRODUCT(ISNUMBER(SEARCH("y",R254:AA254))+0)=0,"",IF(AA254="y","400G",IF(Z254="y","100G",IF(X254="y","40G",IF(V254="y","10G",IF(S254="y","1G",IF(R254="y","100M",""))))))&amp;" "&amp;AB254&amp;" "&amp;AC254)</f>
        <v/>
      </c>
      <c r="AE254" s="546" t="str">
        <f t="shared" si="50"/>
        <v xml:space="preserve"> </v>
      </c>
      <c r="AF254" s="425" t="str">
        <f t="shared" si="37"/>
        <v>ns</v>
      </c>
      <c r="AG254" s="425" t="str">
        <f t="shared" si="38"/>
        <v>ns</v>
      </c>
      <c r="AH254" s="425" t="str">
        <f t="shared" si="46"/>
        <v>.</v>
      </c>
      <c r="AI254" s="425" t="str">
        <f t="shared" si="39"/>
        <v>.</v>
      </c>
      <c r="AJ254" s="425" t="str">
        <f t="shared" si="40"/>
        <v>.</v>
      </c>
      <c r="AK254" s="925" t="str">
        <f t="shared" si="41"/>
        <v>.</v>
      </c>
      <c r="AL254" s="405" t="str">
        <f t="shared" si="41"/>
        <v>ns</v>
      </c>
      <c r="AM254" s="912" t="str">
        <f t="shared" si="42"/>
        <v>.</v>
      </c>
      <c r="AN254" s="405" t="str">
        <f t="shared" si="43"/>
        <v>.</v>
      </c>
      <c r="AO254" s="405" t="str">
        <f t="shared" si="44"/>
        <v>.</v>
      </c>
      <c r="AP254" s="405" t="str">
        <f t="shared" si="45"/>
        <v>.</v>
      </c>
      <c r="AQ254" s="593"/>
    </row>
    <row r="255" spans="1:43">
      <c r="A255" s="537">
        <v>255</v>
      </c>
      <c r="B255" s="537" t="s">
        <v>2086</v>
      </c>
      <c r="C255" s="538"/>
      <c r="D255" s="537" t="s">
        <v>2115</v>
      </c>
      <c r="E255" s="537" t="s">
        <v>2088</v>
      </c>
      <c r="F255" s="537" t="s">
        <v>663</v>
      </c>
      <c r="G255" s="556" t="s">
        <v>739</v>
      </c>
      <c r="H255" s="537" t="s">
        <v>598</v>
      </c>
      <c r="I255" s="537"/>
      <c r="J255" s="545"/>
      <c r="K255" s="537"/>
      <c r="L255" s="537"/>
      <c r="M255" s="537"/>
      <c r="N255" s="537"/>
      <c r="O255" s="537"/>
      <c r="P255" s="537"/>
      <c r="Q255" s="537"/>
      <c r="R255" s="537"/>
      <c r="S255" s="537"/>
      <c r="T255" s="537"/>
      <c r="U255" s="537"/>
      <c r="V255" s="537"/>
      <c r="W255" s="537" t="s">
        <v>663</v>
      </c>
      <c r="X255" s="537"/>
      <c r="Y255" s="537"/>
      <c r="Z255" s="537"/>
      <c r="AA255" s="537"/>
      <c r="AB255" s="544" t="str">
        <f t="shared" si="51"/>
        <v>PHY</v>
      </c>
      <c r="AC255" s="537"/>
      <c r="AD255" s="544" t="str" cm="1">
        <f t="array" ref="AD255">IF(SUMPRODUCT(ISNUMBER(SEARCH("y",R255:AA255))+0)=0,"",IF(AA255="y","400G",IF(Z255="y","100G",IF(X255="y","40G",IF(V255="y","10G",IF(S255="y","1G",IF(R255="y","100M",""))))))&amp;" "&amp;AB255&amp;" "&amp;AC255)</f>
        <v/>
      </c>
      <c r="AE255" s="546" t="str">
        <f t="shared" si="50"/>
        <v xml:space="preserve"> </v>
      </c>
      <c r="AF255" s="425" t="str">
        <f t="shared" si="37"/>
        <v>.</v>
      </c>
      <c r="AG255" s="425" t="str">
        <f t="shared" si="38"/>
        <v>.</v>
      </c>
      <c r="AH255" s="425" t="str">
        <f t="shared" si="46"/>
        <v>.</v>
      </c>
      <c r="AI255" s="425" t="str">
        <f t="shared" si="39"/>
        <v>.</v>
      </c>
      <c r="AJ255" s="425" t="str">
        <f t="shared" si="40"/>
        <v>.</v>
      </c>
      <c r="AK255" s="925" t="str">
        <f t="shared" si="41"/>
        <v>.</v>
      </c>
      <c r="AL255" s="405" t="str">
        <f t="shared" si="41"/>
        <v>ns</v>
      </c>
      <c r="AM255" s="912" t="str">
        <f t="shared" si="42"/>
        <v>.</v>
      </c>
      <c r="AN255" s="405" t="str">
        <f t="shared" si="43"/>
        <v>.</v>
      </c>
      <c r="AO255" s="405" t="str">
        <f t="shared" si="44"/>
        <v>.</v>
      </c>
      <c r="AP255" s="405" t="str">
        <f t="shared" si="45"/>
        <v>.</v>
      </c>
      <c r="AQ255" s="593"/>
    </row>
    <row r="256" spans="1:43">
      <c r="A256" s="537">
        <v>256</v>
      </c>
      <c r="B256" s="537" t="s">
        <v>2086</v>
      </c>
      <c r="C256" s="538"/>
      <c r="D256" s="537" t="s">
        <v>2116</v>
      </c>
      <c r="E256" s="537" t="s">
        <v>2089</v>
      </c>
      <c r="F256" s="537" t="s">
        <v>663</v>
      </c>
      <c r="G256" s="556" t="s">
        <v>739</v>
      </c>
      <c r="H256" s="537" t="s">
        <v>598</v>
      </c>
      <c r="I256" s="537"/>
      <c r="J256" s="545"/>
      <c r="K256" s="537"/>
      <c r="L256" s="537"/>
      <c r="M256" s="537"/>
      <c r="N256" s="537"/>
      <c r="O256" s="537"/>
      <c r="P256" s="537"/>
      <c r="Q256" s="537"/>
      <c r="R256" s="537"/>
      <c r="S256" s="537"/>
      <c r="T256" s="537"/>
      <c r="U256" s="537"/>
      <c r="V256" s="537"/>
      <c r="W256" s="537" t="s">
        <v>663</v>
      </c>
      <c r="X256" s="537"/>
      <c r="Y256" s="537"/>
      <c r="Z256" s="537"/>
      <c r="AA256" s="537"/>
      <c r="AB256" s="544" t="str">
        <f t="shared" si="51"/>
        <v>PHY</v>
      </c>
      <c r="AC256" s="537"/>
      <c r="AD256" s="544" t="str" cm="1">
        <f t="array" ref="AD256">IF(SUMPRODUCT(ISNUMBER(SEARCH("y",R256:AA256))+0)=0,"",IF(AA256="y","400G",IF(Z256="y","100G",IF(X256="y","40G",IF(V256="y","10G",IF(S256="y","1G",IF(R256="y","100M",""))))))&amp;" "&amp;AB256&amp;" "&amp;AC256)</f>
        <v/>
      </c>
      <c r="AE256" s="546" t="str">
        <f t="shared" si="50"/>
        <v xml:space="preserve"> </v>
      </c>
      <c r="AF256" s="425" t="str">
        <f t="shared" si="37"/>
        <v>.</v>
      </c>
      <c r="AG256" s="425" t="str">
        <f t="shared" si="38"/>
        <v>.</v>
      </c>
      <c r="AH256" s="425" t="str">
        <f t="shared" si="46"/>
        <v>.</v>
      </c>
      <c r="AI256" s="425" t="str">
        <f t="shared" si="39"/>
        <v>.</v>
      </c>
      <c r="AJ256" s="425" t="str">
        <f t="shared" si="40"/>
        <v>.</v>
      </c>
      <c r="AK256" s="925" t="str">
        <f t="shared" si="41"/>
        <v>.</v>
      </c>
      <c r="AL256" s="405" t="str">
        <f t="shared" si="41"/>
        <v>ns</v>
      </c>
      <c r="AM256" s="912" t="str">
        <f t="shared" si="42"/>
        <v>.</v>
      </c>
      <c r="AN256" s="405" t="str">
        <f t="shared" si="43"/>
        <v>.</v>
      </c>
      <c r="AO256" s="405" t="str">
        <f t="shared" si="44"/>
        <v>.</v>
      </c>
      <c r="AP256" s="405" t="str">
        <f t="shared" si="45"/>
        <v>.</v>
      </c>
      <c r="AQ256" s="593"/>
    </row>
    <row r="257" spans="1:43">
      <c r="A257" s="537">
        <v>257</v>
      </c>
      <c r="B257" s="537" t="s">
        <v>2086</v>
      </c>
      <c r="C257" s="538"/>
      <c r="D257" s="537" t="s">
        <v>2117</v>
      </c>
      <c r="E257" s="537" t="s">
        <v>2090</v>
      </c>
      <c r="F257" s="537" t="s">
        <v>663</v>
      </c>
      <c r="G257" s="556" t="s">
        <v>739</v>
      </c>
      <c r="H257" s="537" t="s">
        <v>598</v>
      </c>
      <c r="I257" s="537"/>
      <c r="J257" s="545"/>
      <c r="K257" s="537"/>
      <c r="L257" s="537"/>
      <c r="M257" s="537"/>
      <c r="N257" s="537"/>
      <c r="O257" s="537"/>
      <c r="P257" s="537"/>
      <c r="Q257" s="537"/>
      <c r="R257" s="537"/>
      <c r="S257" s="537"/>
      <c r="T257" s="537"/>
      <c r="U257" s="537"/>
      <c r="V257" s="537"/>
      <c r="W257" s="537" t="s">
        <v>663</v>
      </c>
      <c r="X257" s="537"/>
      <c r="Y257" s="537"/>
      <c r="Z257" s="537"/>
      <c r="AA257" s="537"/>
      <c r="AB257" s="544" t="str">
        <f t="shared" si="51"/>
        <v>PHY</v>
      </c>
      <c r="AC257" s="537"/>
      <c r="AD257" s="544" t="str" cm="1">
        <f t="array" ref="AD257">IF(SUMPRODUCT(ISNUMBER(SEARCH("y",R257:AA257))+0)=0,"",IF(AA257="y","400G",IF(Z257="y","100G",IF(X257="y","40G",IF(V257="y","10G",IF(S257="y","1G",IF(R257="y","100M",""))))))&amp;" "&amp;AB257&amp;" "&amp;AC257)</f>
        <v/>
      </c>
      <c r="AE257" s="546" t="str">
        <f t="shared" si="50"/>
        <v xml:space="preserve"> </v>
      </c>
      <c r="AF257" s="425" t="str">
        <f t="shared" si="37"/>
        <v>.</v>
      </c>
      <c r="AG257" s="425" t="str">
        <f t="shared" si="38"/>
        <v>.</v>
      </c>
      <c r="AH257" s="425" t="str">
        <f t="shared" si="46"/>
        <v>.</v>
      </c>
      <c r="AI257" s="425" t="str">
        <f t="shared" si="39"/>
        <v>.</v>
      </c>
      <c r="AJ257" s="425" t="str">
        <f t="shared" si="40"/>
        <v>.</v>
      </c>
      <c r="AK257" s="925" t="str">
        <f t="shared" si="41"/>
        <v>.</v>
      </c>
      <c r="AL257" s="405" t="str">
        <f t="shared" si="41"/>
        <v>ns</v>
      </c>
      <c r="AM257" s="912" t="str">
        <f t="shared" si="42"/>
        <v>.</v>
      </c>
      <c r="AN257" s="405" t="str">
        <f t="shared" si="43"/>
        <v>.</v>
      </c>
      <c r="AO257" s="405" t="str">
        <f t="shared" si="44"/>
        <v>.</v>
      </c>
      <c r="AP257" s="405" t="str">
        <f t="shared" si="45"/>
        <v>.</v>
      </c>
      <c r="AQ257" s="593"/>
    </row>
    <row r="258" spans="1:43">
      <c r="A258" s="537">
        <v>258</v>
      </c>
      <c r="B258" s="537" t="s">
        <v>2086</v>
      </c>
      <c r="C258" s="538"/>
      <c r="D258" s="537" t="s">
        <v>2118</v>
      </c>
      <c r="E258" s="537" t="s">
        <v>2091</v>
      </c>
      <c r="F258" s="537" t="s">
        <v>663</v>
      </c>
      <c r="G258" s="556" t="s">
        <v>739</v>
      </c>
      <c r="H258" s="537"/>
      <c r="I258" s="537"/>
      <c r="J258" s="545"/>
      <c r="K258" s="537"/>
      <c r="L258" s="537"/>
      <c r="M258" s="537"/>
      <c r="N258" s="537"/>
      <c r="O258" s="537"/>
      <c r="P258" s="537"/>
      <c r="Q258" s="544"/>
      <c r="R258" s="544"/>
      <c r="S258" s="544"/>
      <c r="T258" s="865"/>
      <c r="U258" s="865"/>
      <c r="V258" s="544"/>
      <c r="W258" s="544" t="s">
        <v>663</v>
      </c>
      <c r="X258" s="544"/>
      <c r="Y258" s="544"/>
      <c r="Z258" s="544"/>
      <c r="AA258" s="544"/>
      <c r="AB258" s="544" t="str">
        <f t="shared" si="51"/>
        <v>PHY</v>
      </c>
      <c r="AC258" s="537"/>
      <c r="AD258" s="544" t="str" cm="1">
        <f t="array" ref="AD258">IF(SUMPRODUCT(ISNUMBER(SEARCH("y",R258:AA258))+0)=0,"",IF(AA258="y","400G",IF(Z258="y","100G",IF(X258="y","40G",IF(V258="y","10G",IF(S258="y","1G",IF(R258="y","100M",""))))))&amp;" "&amp;AB258&amp;" "&amp;AC258)</f>
        <v/>
      </c>
      <c r="AE258" s="546" t="str">
        <f t="shared" si="50"/>
        <v xml:space="preserve"> </v>
      </c>
      <c r="AF258" s="425" t="str">
        <f t="shared" si="37"/>
        <v>.</v>
      </c>
      <c r="AG258" s="425" t="str">
        <f t="shared" si="38"/>
        <v>.</v>
      </c>
      <c r="AH258" s="425" t="str">
        <f t="shared" si="46"/>
        <v>.</v>
      </c>
      <c r="AI258" s="425" t="str">
        <f t="shared" si="39"/>
        <v>.</v>
      </c>
      <c r="AJ258" s="425" t="str">
        <f t="shared" si="40"/>
        <v>.</v>
      </c>
      <c r="AK258" s="925" t="str">
        <f t="shared" si="41"/>
        <v>.</v>
      </c>
      <c r="AL258" s="405" t="str">
        <f t="shared" si="41"/>
        <v>ns</v>
      </c>
      <c r="AM258" s="912" t="str">
        <f t="shared" si="42"/>
        <v>.</v>
      </c>
      <c r="AN258" s="405" t="str">
        <f t="shared" si="43"/>
        <v>.</v>
      </c>
      <c r="AO258" s="405" t="str">
        <f t="shared" si="44"/>
        <v>.</v>
      </c>
      <c r="AP258" s="405" t="str">
        <f t="shared" si="45"/>
        <v>.</v>
      </c>
      <c r="AQ258" s="593"/>
    </row>
    <row r="259" spans="1:43">
      <c r="A259" s="537">
        <v>259</v>
      </c>
      <c r="B259" s="537" t="s">
        <v>2086</v>
      </c>
      <c r="C259" s="538"/>
      <c r="D259" s="537" t="s">
        <v>2119</v>
      </c>
      <c r="E259" s="537" t="s">
        <v>2092</v>
      </c>
      <c r="F259" s="537" t="s">
        <v>663</v>
      </c>
      <c r="G259" s="556" t="s">
        <v>739</v>
      </c>
      <c r="H259" s="537" t="s">
        <v>598</v>
      </c>
      <c r="I259" s="537"/>
      <c r="J259" s="545"/>
      <c r="K259" s="537"/>
      <c r="L259" s="537"/>
      <c r="M259" s="537"/>
      <c r="N259" s="537"/>
      <c r="O259" s="537"/>
      <c r="P259" s="537"/>
      <c r="Q259" s="537"/>
      <c r="R259" s="537"/>
      <c r="S259" s="537"/>
      <c r="T259" s="537"/>
      <c r="U259" s="537"/>
      <c r="V259" s="537"/>
      <c r="W259" s="537" t="s">
        <v>663</v>
      </c>
      <c r="X259" s="537"/>
      <c r="Y259" s="537"/>
      <c r="Z259" s="537"/>
      <c r="AA259" s="537"/>
      <c r="AB259" s="544" t="str">
        <f t="shared" si="51"/>
        <v>PHY</v>
      </c>
      <c r="AC259" s="537"/>
      <c r="AD259" s="544" t="str" cm="1">
        <f t="array" ref="AD259">IF(SUMPRODUCT(ISNUMBER(SEARCH("y",R259:AA259))+0)=0,"",IF(AA259="y","400G",IF(Z259="y","100G",IF(X259="y","40G",IF(V259="y","10G",IF(S259="y","1G",IF(R259="y","100M",""))))))&amp;" "&amp;AB259&amp;" "&amp;AC259)</f>
        <v/>
      </c>
      <c r="AE259" s="546" t="str">
        <f t="shared" si="50"/>
        <v xml:space="preserve"> </v>
      </c>
      <c r="AF259" s="425" t="str">
        <f t="shared" ref="AF259:AF293" si="52">IF(Q259="n","ns",".")</f>
        <v>.</v>
      </c>
      <c r="AG259" s="425" t="str">
        <f t="shared" ref="AG259:AG293" si="53">IF(R259="n","ns",".")</f>
        <v>.</v>
      </c>
      <c r="AH259" s="425" t="str">
        <f t="shared" si="46"/>
        <v>.</v>
      </c>
      <c r="AI259" s="425" t="str">
        <f t="shared" ref="AI259:AI293" si="54">IF(T259="n","ns",".")</f>
        <v>.</v>
      </c>
      <c r="AJ259" s="425" t="str">
        <f t="shared" ref="AJ259:AJ293" si="55">IF(U259="n","ns",".")</f>
        <v>.</v>
      </c>
      <c r="AK259" s="925" t="str">
        <f t="shared" ref="AK259:AL293" si="56">IF(V259="n","ns",".")</f>
        <v>.</v>
      </c>
      <c r="AL259" s="405" t="str">
        <f t="shared" si="56"/>
        <v>ns</v>
      </c>
      <c r="AM259" s="912" t="str">
        <f t="shared" ref="AM259:AM293" si="57">IF(X259="n","ns",".")</f>
        <v>.</v>
      </c>
      <c r="AN259" s="405" t="str">
        <f t="shared" ref="AN259:AN293" si="58">IF(Y259="n","ns",".")</f>
        <v>.</v>
      </c>
      <c r="AO259" s="405" t="str">
        <f t="shared" ref="AO259:AO293" si="59">IF(Z259="n","ns",".")</f>
        <v>.</v>
      </c>
      <c r="AP259" s="405" t="str">
        <f t="shared" ref="AP259:AP293" si="60">IF(AA259="n","ns",".")</f>
        <v>.</v>
      </c>
      <c r="AQ259" s="593"/>
    </row>
    <row r="260" spans="1:43">
      <c r="A260" s="537">
        <v>260</v>
      </c>
      <c r="B260" s="537" t="s">
        <v>2104</v>
      </c>
      <c r="C260" s="537">
        <v>648</v>
      </c>
      <c r="D260" s="537" t="s">
        <v>2120</v>
      </c>
      <c r="E260" s="537" t="s">
        <v>2093</v>
      </c>
      <c r="F260" s="537" t="s">
        <v>663</v>
      </c>
      <c r="G260" s="537" t="s">
        <v>661</v>
      </c>
      <c r="H260" s="537" t="s">
        <v>2086</v>
      </c>
      <c r="I260" s="537" t="s">
        <v>2168</v>
      </c>
      <c r="J260" s="545" t="s">
        <v>688</v>
      </c>
      <c r="K260" s="537" t="s">
        <v>2120</v>
      </c>
      <c r="L260" s="537" t="s">
        <v>2230</v>
      </c>
      <c r="M260" s="537" t="s">
        <v>2335</v>
      </c>
      <c r="N260" s="537" t="s">
        <v>689</v>
      </c>
      <c r="O260" s="537" t="s">
        <v>889</v>
      </c>
      <c r="P260" s="537" t="s">
        <v>1393</v>
      </c>
      <c r="Q260" s="544" t="s">
        <v>663</v>
      </c>
      <c r="R260" s="544" t="s">
        <v>663</v>
      </c>
      <c r="S260" s="544" t="s">
        <v>662</v>
      </c>
      <c r="T260" s="865" t="s">
        <v>663</v>
      </c>
      <c r="U260" s="865" t="s">
        <v>663</v>
      </c>
      <c r="V260" s="544" t="s">
        <v>662</v>
      </c>
      <c r="W260" s="544" t="s">
        <v>663</v>
      </c>
      <c r="X260" s="544" t="s">
        <v>663</v>
      </c>
      <c r="Y260" s="544" t="s">
        <v>663</v>
      </c>
      <c r="Z260" s="544" t="s">
        <v>663</v>
      </c>
      <c r="AA260" s="544" t="s">
        <v>663</v>
      </c>
      <c r="AB260" s="544" t="str">
        <f>IF(O260="N/A","",IF(J260="DC","DC","PHY"))</f>
        <v>DC</v>
      </c>
      <c r="AC260" s="537"/>
      <c r="AD260" s="544" t="str" cm="1">
        <f t="array" ref="AD260">IF(SUMPRODUCT(ISNUMBER(SEARCH("y",R260:AA260))+0)=0,"",IF(AA260="y","400G",IF(Z260="y","100G",IF(X260="y","40G",IF(V260="y","10G",IF(S260="y","1G",IF(R260="y","100M",""))))))&amp;" "&amp;AB260&amp;" "&amp;AC260)</f>
        <v xml:space="preserve">10G DC </v>
      </c>
      <c r="AE260" s="546" t="str">
        <f t="shared" si="50"/>
        <v xml:space="preserve">AT-x540L-28XTm 10G DC </v>
      </c>
      <c r="AF260" s="425" t="str">
        <f t="shared" si="52"/>
        <v>ns</v>
      </c>
      <c r="AG260" s="425" t="str">
        <f t="shared" si="53"/>
        <v>ns</v>
      </c>
      <c r="AH260" s="425" t="str">
        <f t="shared" ref="AH260:AH293" si="61">IF(S260="n","ns",".")</f>
        <v>.</v>
      </c>
      <c r="AI260" s="425" t="str">
        <f t="shared" si="54"/>
        <v>ns</v>
      </c>
      <c r="AJ260" s="425" t="str">
        <f t="shared" si="55"/>
        <v>ns</v>
      </c>
      <c r="AK260" s="925" t="str">
        <f t="shared" si="56"/>
        <v>.</v>
      </c>
      <c r="AL260" s="405" t="str">
        <f t="shared" si="56"/>
        <v>ns</v>
      </c>
      <c r="AM260" s="912" t="str">
        <f t="shared" si="57"/>
        <v>ns</v>
      </c>
      <c r="AN260" s="405" t="str">
        <f t="shared" si="58"/>
        <v>ns</v>
      </c>
      <c r="AO260" s="405" t="str">
        <f t="shared" si="59"/>
        <v>ns</v>
      </c>
      <c r="AP260" s="405" t="str">
        <f t="shared" si="60"/>
        <v>ns</v>
      </c>
      <c r="AQ260" s="593"/>
    </row>
    <row r="261" spans="1:43">
      <c r="A261" s="537">
        <v>261</v>
      </c>
      <c r="B261" s="537" t="s">
        <v>2104</v>
      </c>
      <c r="C261" s="538">
        <v>671</v>
      </c>
      <c r="D261" s="537" t="s">
        <v>2121</v>
      </c>
      <c r="E261" s="537" t="s">
        <v>2095</v>
      </c>
      <c r="F261" s="537" t="s">
        <v>663</v>
      </c>
      <c r="G261" s="537"/>
      <c r="H261" s="537" t="s">
        <v>2086</v>
      </c>
      <c r="I261" t="s">
        <v>2172</v>
      </c>
      <c r="J261" s="545" t="s">
        <v>688</v>
      </c>
      <c r="K261" s="537"/>
      <c r="L261" s="537"/>
      <c r="M261" s="537"/>
      <c r="N261" s="537" t="s">
        <v>689</v>
      </c>
      <c r="O261" s="537" t="s">
        <v>1202</v>
      </c>
      <c r="P261" s="537" t="s">
        <v>1393</v>
      </c>
      <c r="Q261" s="537" t="s">
        <v>663</v>
      </c>
      <c r="R261" s="537" t="s">
        <v>663</v>
      </c>
      <c r="S261" s="537" t="s">
        <v>662</v>
      </c>
      <c r="T261" s="865" t="s">
        <v>662</v>
      </c>
      <c r="U261" s="865" t="s">
        <v>662</v>
      </c>
      <c r="V261" s="537" t="s">
        <v>662</v>
      </c>
      <c r="W261" s="537" t="s">
        <v>663</v>
      </c>
      <c r="X261" s="537" t="s">
        <v>663</v>
      </c>
      <c r="Y261" s="537" t="s">
        <v>663</v>
      </c>
      <c r="Z261" s="537" t="s">
        <v>663</v>
      </c>
      <c r="AA261" s="537" t="s">
        <v>663</v>
      </c>
      <c r="AB261" s="544" t="str">
        <f t="shared" si="51"/>
        <v>DC</v>
      </c>
      <c r="AC261" s="537"/>
      <c r="AD261" s="544" t="str" cm="1">
        <f t="array" ref="AD261">IF(SUMPRODUCT(ISNUMBER(SEARCH("y",R261:AA261))+0)=0,"",IF(AA261="y","400G",IF(Z261="y","100G",IF(X261="y","40G",IF(V261="y","10G",IF(S261="y","1G",IF(R261="y","100M",""))))))&amp;" "&amp;AB261&amp;" "&amp;AC261)</f>
        <v xml:space="preserve">10G DC </v>
      </c>
      <c r="AE261" s="546" t="str">
        <f t="shared" si="50"/>
        <v xml:space="preserve"> 10G DC </v>
      </c>
      <c r="AF261" s="425" t="str">
        <f t="shared" si="52"/>
        <v>ns</v>
      </c>
      <c r="AG261" s="425" t="str">
        <f t="shared" si="53"/>
        <v>ns</v>
      </c>
      <c r="AH261" s="425" t="str">
        <f t="shared" si="61"/>
        <v>.</v>
      </c>
      <c r="AI261" s="425" t="str">
        <f t="shared" si="54"/>
        <v>.</v>
      </c>
      <c r="AJ261" s="425" t="str">
        <f t="shared" si="55"/>
        <v>.</v>
      </c>
      <c r="AK261" s="925" t="str">
        <f t="shared" si="56"/>
        <v>.</v>
      </c>
      <c r="AL261" s="405" t="str">
        <f t="shared" si="56"/>
        <v>ns</v>
      </c>
      <c r="AM261" s="912" t="str">
        <f t="shared" si="57"/>
        <v>ns</v>
      </c>
      <c r="AN261" s="405" t="str">
        <f t="shared" si="58"/>
        <v>ns</v>
      </c>
      <c r="AO261" s="405" t="str">
        <f t="shared" si="59"/>
        <v>ns</v>
      </c>
      <c r="AP261" s="405" t="str">
        <f t="shared" si="60"/>
        <v>ns</v>
      </c>
      <c r="AQ261" s="593"/>
    </row>
    <row r="262" spans="1:43">
      <c r="A262" s="537">
        <v>262</v>
      </c>
      <c r="B262" s="537" t="s">
        <v>2104</v>
      </c>
      <c r="C262" s="538">
        <v>665</v>
      </c>
      <c r="D262" s="537" t="s">
        <v>2122</v>
      </c>
      <c r="E262" s="537" t="s">
        <v>2407</v>
      </c>
      <c r="F262" s="537" t="s">
        <v>663</v>
      </c>
      <c r="G262" s="537"/>
      <c r="H262" s="537" t="s">
        <v>2086</v>
      </c>
      <c r="I262" s="537" t="s">
        <v>2406</v>
      </c>
      <c r="J262" s="545" t="s">
        <v>688</v>
      </c>
      <c r="K262" s="537"/>
      <c r="L262" s="537"/>
      <c r="M262" s="537"/>
      <c r="N262" s="537" t="s">
        <v>689</v>
      </c>
      <c r="O262" s="537" t="s">
        <v>2205</v>
      </c>
      <c r="P262" s="537" t="s">
        <v>1393</v>
      </c>
      <c r="Q262" s="544" t="s">
        <v>663</v>
      </c>
      <c r="R262" s="544" t="s">
        <v>663</v>
      </c>
      <c r="S262" s="544" t="s">
        <v>662</v>
      </c>
      <c r="T262" s="865" t="s">
        <v>663</v>
      </c>
      <c r="U262" s="865" t="s">
        <v>663</v>
      </c>
      <c r="V262" s="544" t="s">
        <v>662</v>
      </c>
      <c r="W262" s="544" t="s">
        <v>663</v>
      </c>
      <c r="X262" s="544" t="s">
        <v>663</v>
      </c>
      <c r="Y262" s="544" t="s">
        <v>663</v>
      </c>
      <c r="Z262" s="544" t="s">
        <v>663</v>
      </c>
      <c r="AA262" s="544" t="s">
        <v>663</v>
      </c>
      <c r="AB262" s="544" t="str">
        <f t="shared" si="51"/>
        <v>DC</v>
      </c>
      <c r="AC262" s="537"/>
      <c r="AD262" s="544" t="str" cm="1">
        <f t="array" ref="AD262">IF(SUMPRODUCT(ISNUMBER(SEARCH("y",R262:AA262))+0)=0,"",IF(AA262="y","400G",IF(Z262="y","100G",IF(X262="y","40G",IF(V262="y","10G",IF(S262="y","1G",IF(R262="y","100M",""))))))&amp;" "&amp;AB262&amp;" "&amp;AC262)</f>
        <v xml:space="preserve">10G DC </v>
      </c>
      <c r="AE262" s="546" t="str">
        <f t="shared" si="50"/>
        <v xml:space="preserve"> 10G DC </v>
      </c>
      <c r="AF262" s="425" t="str">
        <f t="shared" si="52"/>
        <v>ns</v>
      </c>
      <c r="AG262" s="425" t="str">
        <f t="shared" si="53"/>
        <v>ns</v>
      </c>
      <c r="AH262" s="425" t="str">
        <f t="shared" si="61"/>
        <v>.</v>
      </c>
      <c r="AI262" s="425" t="str">
        <f t="shared" si="54"/>
        <v>ns</v>
      </c>
      <c r="AJ262" s="425" t="str">
        <f t="shared" si="55"/>
        <v>ns</v>
      </c>
      <c r="AK262" s="925" t="str">
        <f t="shared" si="56"/>
        <v>.</v>
      </c>
      <c r="AL262" s="405" t="str">
        <f t="shared" si="56"/>
        <v>ns</v>
      </c>
      <c r="AM262" s="912" t="str">
        <f t="shared" si="57"/>
        <v>ns</v>
      </c>
      <c r="AN262" s="405" t="str">
        <f t="shared" si="58"/>
        <v>ns</v>
      </c>
      <c r="AO262" s="405" t="str">
        <f t="shared" si="59"/>
        <v>ns</v>
      </c>
      <c r="AP262" s="405" t="str">
        <f t="shared" si="60"/>
        <v>ns</v>
      </c>
      <c r="AQ262" s="593"/>
    </row>
    <row r="263" spans="1:43">
      <c r="A263" s="537">
        <v>263</v>
      </c>
      <c r="B263" s="537" t="s">
        <v>2104</v>
      </c>
      <c r="C263" s="538">
        <v>675</v>
      </c>
      <c r="D263" s="537" t="s">
        <v>2123</v>
      </c>
      <c r="E263" s="537" t="s">
        <v>2094</v>
      </c>
      <c r="F263" s="537" t="s">
        <v>663</v>
      </c>
      <c r="G263" s="537"/>
      <c r="H263" s="537" t="s">
        <v>2086</v>
      </c>
      <c r="I263" t="s">
        <v>2536</v>
      </c>
      <c r="J263" s="545" t="s">
        <v>688</v>
      </c>
      <c r="K263" s="537"/>
      <c r="L263" s="537"/>
      <c r="M263" s="537"/>
      <c r="N263" s="537" t="s">
        <v>689</v>
      </c>
      <c r="O263" s="537" t="s">
        <v>1202</v>
      </c>
      <c r="P263" s="537" t="s">
        <v>1393</v>
      </c>
      <c r="Q263" s="537" t="s">
        <v>663</v>
      </c>
      <c r="R263" s="537" t="s">
        <v>663</v>
      </c>
      <c r="S263" s="537" t="s">
        <v>662</v>
      </c>
      <c r="T263" s="865" t="s">
        <v>662</v>
      </c>
      <c r="U263" s="865" t="s">
        <v>662</v>
      </c>
      <c r="V263" s="537" t="s">
        <v>662</v>
      </c>
      <c r="W263" s="537" t="s">
        <v>663</v>
      </c>
      <c r="X263" s="537" t="s">
        <v>663</v>
      </c>
      <c r="Y263" s="537" t="s">
        <v>663</v>
      </c>
      <c r="Z263" s="537" t="s">
        <v>663</v>
      </c>
      <c r="AA263" s="537" t="s">
        <v>663</v>
      </c>
      <c r="AB263" s="544" t="str">
        <f t="shared" si="51"/>
        <v>DC</v>
      </c>
      <c r="AC263" s="537"/>
      <c r="AD263" s="544" t="str" cm="1">
        <f t="array" ref="AD263">IF(SUMPRODUCT(ISNUMBER(SEARCH("y",R263:AA263))+0)=0,"",IF(AA263="y","400G",IF(Z263="y","100G",IF(X263="y","40G",IF(V263="y","10G",IF(S263="y","1G",IF(R263="y","100M",""))))))&amp;" "&amp;AB263&amp;" "&amp;AC263)</f>
        <v xml:space="preserve">10G DC </v>
      </c>
      <c r="AE263" s="546" t="str">
        <f t="shared" si="50"/>
        <v xml:space="preserve"> 10G DC </v>
      </c>
      <c r="AF263" s="425" t="str">
        <f t="shared" si="52"/>
        <v>ns</v>
      </c>
      <c r="AG263" s="425" t="str">
        <f t="shared" si="53"/>
        <v>ns</v>
      </c>
      <c r="AH263" s="425" t="str">
        <f t="shared" si="61"/>
        <v>.</v>
      </c>
      <c r="AI263" s="425" t="str">
        <f t="shared" si="54"/>
        <v>.</v>
      </c>
      <c r="AJ263" s="425" t="str">
        <f t="shared" si="55"/>
        <v>.</v>
      </c>
      <c r="AK263" s="925" t="str">
        <f t="shared" si="56"/>
        <v>.</v>
      </c>
      <c r="AL263" s="405" t="str">
        <f t="shared" si="56"/>
        <v>ns</v>
      </c>
      <c r="AM263" s="912" t="str">
        <f t="shared" si="57"/>
        <v>ns</v>
      </c>
      <c r="AN263" s="405" t="str">
        <f t="shared" si="58"/>
        <v>ns</v>
      </c>
      <c r="AO263" s="405" t="str">
        <f t="shared" si="59"/>
        <v>ns</v>
      </c>
      <c r="AP263" s="405" t="str">
        <f t="shared" si="60"/>
        <v>ns</v>
      </c>
      <c r="AQ263" s="593"/>
    </row>
    <row r="264" spans="1:43">
      <c r="A264" s="537">
        <v>264</v>
      </c>
      <c r="B264" s="537" t="s">
        <v>2104</v>
      </c>
      <c r="C264" s="537">
        <v>652</v>
      </c>
      <c r="D264" s="537" t="s">
        <v>2124</v>
      </c>
      <c r="E264" s="537" t="s">
        <v>2537</v>
      </c>
      <c r="F264" s="537" t="s">
        <v>663</v>
      </c>
      <c r="G264" s="537"/>
      <c r="H264" s="537" t="s">
        <v>2086</v>
      </c>
      <c r="I264" s="537" t="s">
        <v>2172</v>
      </c>
      <c r="J264" s="545" t="s">
        <v>688</v>
      </c>
      <c r="K264" s="537"/>
      <c r="L264" s="537"/>
      <c r="M264" s="537"/>
      <c r="N264" s="537" t="s">
        <v>689</v>
      </c>
      <c r="O264" s="537" t="s">
        <v>2205</v>
      </c>
      <c r="P264" s="537" t="s">
        <v>1393</v>
      </c>
      <c r="Q264" s="544" t="s">
        <v>663</v>
      </c>
      <c r="R264" s="544" t="s">
        <v>663</v>
      </c>
      <c r="S264" s="544" t="s">
        <v>662</v>
      </c>
      <c r="T264" s="865" t="s">
        <v>663</v>
      </c>
      <c r="U264" s="865" t="s">
        <v>663</v>
      </c>
      <c r="V264" s="544" t="s">
        <v>662</v>
      </c>
      <c r="W264" s="544" t="s">
        <v>663</v>
      </c>
      <c r="X264" s="544" t="s">
        <v>663</v>
      </c>
      <c r="Y264" s="544" t="s">
        <v>663</v>
      </c>
      <c r="Z264" s="544" t="s">
        <v>663</v>
      </c>
      <c r="AA264" s="544" t="s">
        <v>663</v>
      </c>
      <c r="AB264" s="544" t="str">
        <f t="shared" si="51"/>
        <v>DC</v>
      </c>
      <c r="AC264" s="537"/>
      <c r="AD264" s="544" t="str" cm="1">
        <f t="array" ref="AD264">IF(SUMPRODUCT(ISNUMBER(SEARCH("y",R264:AA264))+0)=0,"",IF(AA264="y","400G",IF(Z264="y","100G",IF(X264="y","40G",IF(V264="y","10G",IF(S264="y","1G",IF(R264="y","100M",""))))))&amp;" "&amp;AB264&amp;" "&amp;AC264)</f>
        <v xml:space="preserve">10G DC </v>
      </c>
      <c r="AE264" s="546" t="str">
        <f t="shared" si="50"/>
        <v xml:space="preserve"> 10G DC </v>
      </c>
      <c r="AF264" s="425" t="str">
        <f t="shared" si="52"/>
        <v>ns</v>
      </c>
      <c r="AG264" s="425" t="str">
        <f t="shared" si="53"/>
        <v>ns</v>
      </c>
      <c r="AH264" s="425" t="str">
        <f t="shared" si="61"/>
        <v>.</v>
      </c>
      <c r="AI264" s="425" t="str">
        <f t="shared" si="54"/>
        <v>ns</v>
      </c>
      <c r="AJ264" s="425" t="str">
        <f t="shared" si="55"/>
        <v>ns</v>
      </c>
      <c r="AK264" s="925" t="str">
        <f t="shared" si="56"/>
        <v>.</v>
      </c>
      <c r="AL264" s="405" t="str">
        <f t="shared" si="56"/>
        <v>ns</v>
      </c>
      <c r="AM264" s="912" t="str">
        <f t="shared" si="57"/>
        <v>ns</v>
      </c>
      <c r="AN264" s="405" t="str">
        <f t="shared" si="58"/>
        <v>ns</v>
      </c>
      <c r="AO264" s="405" t="str">
        <f t="shared" si="59"/>
        <v>ns</v>
      </c>
      <c r="AP264" s="405" t="str">
        <f t="shared" si="60"/>
        <v>ns</v>
      </c>
      <c r="AQ264" s="593"/>
    </row>
    <row r="265" spans="1:43">
      <c r="A265" s="537">
        <v>265</v>
      </c>
      <c r="B265" s="537" t="s">
        <v>2104</v>
      </c>
      <c r="C265" s="538"/>
      <c r="D265" s="537" t="s">
        <v>2125</v>
      </c>
      <c r="E265" s="537" t="s">
        <v>2096</v>
      </c>
      <c r="F265" s="537" t="s">
        <v>663</v>
      </c>
      <c r="G265" s="537"/>
      <c r="H265" s="537" t="s">
        <v>598</v>
      </c>
      <c r="I265" s="537"/>
      <c r="J265" s="545"/>
      <c r="K265" s="537"/>
      <c r="L265" s="537"/>
      <c r="M265" s="537"/>
      <c r="N265" s="537"/>
      <c r="O265" s="537"/>
      <c r="P265" s="537"/>
      <c r="Q265" s="537"/>
      <c r="R265" s="537"/>
      <c r="S265" s="537"/>
      <c r="T265" s="865" t="s">
        <v>663</v>
      </c>
      <c r="U265" s="865" t="s">
        <v>663</v>
      </c>
      <c r="V265" s="537"/>
      <c r="W265" s="537" t="s">
        <v>663</v>
      </c>
      <c r="X265" s="537"/>
      <c r="Y265" s="537"/>
      <c r="Z265" s="537"/>
      <c r="AA265" s="537"/>
      <c r="AB265" s="544" t="str">
        <f t="shared" si="51"/>
        <v>PHY</v>
      </c>
      <c r="AC265" s="537"/>
      <c r="AD265" s="544" t="str" cm="1">
        <f t="array" ref="AD265">IF(SUMPRODUCT(ISNUMBER(SEARCH("y",R265:AA265))+0)=0,"",IF(AA265="y","400G",IF(Z265="y","100G",IF(X265="y","40G",IF(V265="y","10G",IF(S265="y","1G",IF(R265="y","100M",""))))))&amp;" "&amp;AB265&amp;" "&amp;AC265)</f>
        <v/>
      </c>
      <c r="AE265" s="546" t="str">
        <f t="shared" si="50"/>
        <v xml:space="preserve"> </v>
      </c>
      <c r="AF265" s="425" t="str">
        <f t="shared" si="52"/>
        <v>.</v>
      </c>
      <c r="AG265" s="425" t="str">
        <f t="shared" si="53"/>
        <v>.</v>
      </c>
      <c r="AH265" s="425" t="str">
        <f t="shared" si="61"/>
        <v>.</v>
      </c>
      <c r="AI265" s="425" t="str">
        <f t="shared" si="54"/>
        <v>ns</v>
      </c>
      <c r="AJ265" s="425" t="str">
        <f t="shared" si="55"/>
        <v>ns</v>
      </c>
      <c r="AK265" s="925" t="str">
        <f t="shared" si="56"/>
        <v>.</v>
      </c>
      <c r="AL265" s="405" t="str">
        <f t="shared" si="56"/>
        <v>ns</v>
      </c>
      <c r="AM265" s="912" t="str">
        <f t="shared" si="57"/>
        <v>.</v>
      </c>
      <c r="AN265" s="405" t="str">
        <f t="shared" si="58"/>
        <v>.</v>
      </c>
      <c r="AO265" s="405" t="str">
        <f t="shared" si="59"/>
        <v>.</v>
      </c>
      <c r="AP265" s="405" t="str">
        <f t="shared" si="60"/>
        <v>.</v>
      </c>
      <c r="AQ265" s="593"/>
    </row>
    <row r="266" spans="1:43">
      <c r="A266" s="537">
        <v>266</v>
      </c>
      <c r="B266" s="537" t="s">
        <v>2087</v>
      </c>
      <c r="C266" s="537">
        <v>666</v>
      </c>
      <c r="D266" s="537" t="s">
        <v>2126</v>
      </c>
      <c r="E266" s="537" t="s">
        <v>2097</v>
      </c>
      <c r="F266" s="537" t="s">
        <v>663</v>
      </c>
      <c r="G266" s="537"/>
      <c r="H266" s="537" t="s">
        <v>2206</v>
      </c>
      <c r="I266" t="s">
        <v>2406</v>
      </c>
      <c r="J266" s="545" t="s">
        <v>688</v>
      </c>
      <c r="K266" s="537"/>
      <c r="L266" s="537"/>
      <c r="M266" s="537"/>
      <c r="N266" s="537" t="s">
        <v>689</v>
      </c>
      <c r="O266" s="537" t="s">
        <v>889</v>
      </c>
      <c r="P266" s="537" t="s">
        <v>1393</v>
      </c>
      <c r="Q266" s="544" t="s">
        <v>663</v>
      </c>
      <c r="R266" s="544" t="s">
        <v>663</v>
      </c>
      <c r="S266" s="544" t="s">
        <v>662</v>
      </c>
      <c r="T266" s="865" t="s">
        <v>663</v>
      </c>
      <c r="U266" s="865" t="s">
        <v>663</v>
      </c>
      <c r="V266" s="544" t="s">
        <v>662</v>
      </c>
      <c r="W266" s="544" t="s">
        <v>663</v>
      </c>
      <c r="X266" s="544" t="s">
        <v>663</v>
      </c>
      <c r="Y266" s="544" t="s">
        <v>663</v>
      </c>
      <c r="Z266" s="544" t="s">
        <v>663</v>
      </c>
      <c r="AA266" s="544" t="s">
        <v>663</v>
      </c>
      <c r="AB266" s="544" t="str">
        <f t="shared" si="51"/>
        <v>DC</v>
      </c>
      <c r="AC266" s="537"/>
      <c r="AD266" s="544" t="str" cm="1">
        <f t="array" ref="AD266">IF(SUMPRODUCT(ISNUMBER(SEARCH("y",R266:AA266))+0)=0,"",IF(AA266="y","400G",IF(Z266="y","100G",IF(X266="y","40G",IF(V266="y","10G",IF(S266="y","1G",IF(R266="y","100M",""))))))&amp;" "&amp;AB266&amp;" "&amp;AC266)</f>
        <v xml:space="preserve">10G DC </v>
      </c>
      <c r="AE266" s="546" t="str">
        <f t="shared" si="50"/>
        <v xml:space="preserve"> 10G DC </v>
      </c>
      <c r="AF266" s="425" t="str">
        <f t="shared" si="52"/>
        <v>ns</v>
      </c>
      <c r="AG266" s="425" t="str">
        <f t="shared" si="53"/>
        <v>ns</v>
      </c>
      <c r="AH266" s="425" t="str">
        <f t="shared" si="61"/>
        <v>.</v>
      </c>
      <c r="AI266" s="425" t="str">
        <f t="shared" si="54"/>
        <v>ns</v>
      </c>
      <c r="AJ266" s="425" t="str">
        <f t="shared" si="55"/>
        <v>ns</v>
      </c>
      <c r="AK266" s="925" t="str">
        <f t="shared" si="56"/>
        <v>.</v>
      </c>
      <c r="AL266" s="405" t="str">
        <f t="shared" si="56"/>
        <v>ns</v>
      </c>
      <c r="AM266" s="912" t="str">
        <f t="shared" si="57"/>
        <v>ns</v>
      </c>
      <c r="AN266" s="405" t="str">
        <f t="shared" si="58"/>
        <v>ns</v>
      </c>
      <c r="AO266" s="405" t="str">
        <f t="shared" si="59"/>
        <v>ns</v>
      </c>
      <c r="AP266" s="405" t="str">
        <f t="shared" si="60"/>
        <v>ns</v>
      </c>
      <c r="AQ266" s="593"/>
    </row>
    <row r="267" spans="1:43">
      <c r="A267" s="537">
        <v>267</v>
      </c>
      <c r="B267" s="537" t="s">
        <v>2087</v>
      </c>
      <c r="C267" s="537">
        <v>649</v>
      </c>
      <c r="D267" s="537" t="s">
        <v>2127</v>
      </c>
      <c r="E267" s="537" t="s">
        <v>2098</v>
      </c>
      <c r="F267" s="537" t="s">
        <v>663</v>
      </c>
      <c r="G267" s="537"/>
      <c r="H267" s="537" t="s">
        <v>2206</v>
      </c>
      <c r="I267" s="537" t="s">
        <v>2168</v>
      </c>
      <c r="J267" s="545" t="s">
        <v>688</v>
      </c>
      <c r="K267" s="537"/>
      <c r="L267" s="537" t="s">
        <v>2170</v>
      </c>
      <c r="M267" s="537"/>
      <c r="N267" s="537" t="s">
        <v>689</v>
      </c>
      <c r="O267" s="537" t="s">
        <v>889</v>
      </c>
      <c r="P267" s="537" t="s">
        <v>1393</v>
      </c>
      <c r="Q267" s="544" t="s">
        <v>663</v>
      </c>
      <c r="R267" s="544" t="s">
        <v>663</v>
      </c>
      <c r="S267" s="544" t="s">
        <v>662</v>
      </c>
      <c r="T267" s="865" t="s">
        <v>663</v>
      </c>
      <c r="U267" s="865" t="s">
        <v>663</v>
      </c>
      <c r="V267" s="544" t="s">
        <v>662</v>
      </c>
      <c r="W267" s="544" t="s">
        <v>663</v>
      </c>
      <c r="X267" s="544" t="s">
        <v>663</v>
      </c>
      <c r="Y267" s="544" t="s">
        <v>663</v>
      </c>
      <c r="Z267" s="544" t="s">
        <v>663</v>
      </c>
      <c r="AA267" s="544" t="s">
        <v>663</v>
      </c>
      <c r="AB267" s="544" t="str">
        <f t="shared" si="51"/>
        <v>DC</v>
      </c>
      <c r="AC267" s="537"/>
      <c r="AD267" s="544" t="str" cm="1">
        <f t="array" ref="AD267">IF(SUMPRODUCT(ISNUMBER(SEARCH("y",R267:AA267))+0)=0,"",IF(AA267="y","400G",IF(Z267="y","100G",IF(X267="y","40G",IF(V267="y","10G",IF(S267="y","1G",IF(R267="y","100M",""))))))&amp;" "&amp;AB267&amp;" "&amp;AC267)</f>
        <v xml:space="preserve">10G DC </v>
      </c>
      <c r="AE267" s="546" t="str">
        <f>IF(K267="-","",_xlfn.CONCAT(K267," ",AD267))</f>
        <v xml:space="preserve"> 10G DC </v>
      </c>
      <c r="AF267" s="425" t="str">
        <f t="shared" si="52"/>
        <v>ns</v>
      </c>
      <c r="AG267" s="425" t="str">
        <f t="shared" si="53"/>
        <v>ns</v>
      </c>
      <c r="AH267" s="425" t="str">
        <f t="shared" si="61"/>
        <v>.</v>
      </c>
      <c r="AI267" s="425" t="str">
        <f t="shared" si="54"/>
        <v>ns</v>
      </c>
      <c r="AJ267" s="425" t="str">
        <f t="shared" si="55"/>
        <v>ns</v>
      </c>
      <c r="AK267" s="925" t="str">
        <f t="shared" si="56"/>
        <v>.</v>
      </c>
      <c r="AL267" s="405" t="str">
        <f t="shared" si="56"/>
        <v>ns</v>
      </c>
      <c r="AM267" s="912" t="str">
        <f t="shared" si="57"/>
        <v>ns</v>
      </c>
      <c r="AN267" s="405" t="str">
        <f t="shared" si="58"/>
        <v>ns</v>
      </c>
      <c r="AO267" s="405" t="str">
        <f t="shared" si="59"/>
        <v>ns</v>
      </c>
      <c r="AP267" s="405" t="str">
        <f t="shared" si="60"/>
        <v>ns</v>
      </c>
      <c r="AQ267" s="593"/>
    </row>
    <row r="268" spans="1:43">
      <c r="A268" s="537">
        <v>268</v>
      </c>
      <c r="B268" s="537" t="s">
        <v>2087</v>
      </c>
      <c r="C268" s="538"/>
      <c r="D268" s="537" t="s">
        <v>2128</v>
      </c>
      <c r="E268" s="537" t="s">
        <v>2099</v>
      </c>
      <c r="F268" s="537" t="s">
        <v>663</v>
      </c>
      <c r="G268" s="537"/>
      <c r="H268" s="537" t="s">
        <v>598</v>
      </c>
      <c r="I268" s="537"/>
      <c r="J268" s="545"/>
      <c r="K268" s="537"/>
      <c r="L268" s="537"/>
      <c r="M268" s="537"/>
      <c r="N268" s="537"/>
      <c r="O268" s="537"/>
      <c r="P268" s="537"/>
      <c r="Q268" s="537"/>
      <c r="R268" s="537"/>
      <c r="S268" s="537"/>
      <c r="T268" s="865" t="s">
        <v>663</v>
      </c>
      <c r="U268" s="865" t="s">
        <v>663</v>
      </c>
      <c r="V268" s="537"/>
      <c r="W268" s="537" t="s">
        <v>663</v>
      </c>
      <c r="X268" s="537"/>
      <c r="Y268" s="537"/>
      <c r="Z268" s="537"/>
      <c r="AA268" s="537"/>
      <c r="AB268" s="544" t="str">
        <f t="shared" si="51"/>
        <v>PHY</v>
      </c>
      <c r="AC268" s="537"/>
      <c r="AD268" s="544" t="str" cm="1">
        <f t="array" ref="AD268">IF(SUMPRODUCT(ISNUMBER(SEARCH("y",R268:AA268))+0)=0,"",IF(AA268="y","400G",IF(Z268="y","100G",IF(X268="y","40G",IF(V268="y","10G",IF(S268="y","1G",IF(R268="y","100M",""))))))&amp;" "&amp;AB268&amp;" "&amp;AC268)</f>
        <v/>
      </c>
      <c r="AE268" s="546" t="str">
        <f t="shared" si="50"/>
        <v xml:space="preserve"> </v>
      </c>
      <c r="AF268" s="425" t="str">
        <f t="shared" si="52"/>
        <v>.</v>
      </c>
      <c r="AG268" s="425" t="str">
        <f t="shared" si="53"/>
        <v>.</v>
      </c>
      <c r="AH268" s="425" t="str">
        <f t="shared" si="61"/>
        <v>.</v>
      </c>
      <c r="AI268" s="425" t="str">
        <f t="shared" si="54"/>
        <v>ns</v>
      </c>
      <c r="AJ268" s="425" t="str">
        <f t="shared" si="55"/>
        <v>ns</v>
      </c>
      <c r="AK268" s="925" t="str">
        <f t="shared" si="56"/>
        <v>.</v>
      </c>
      <c r="AL268" s="405" t="str">
        <f t="shared" si="56"/>
        <v>ns</v>
      </c>
      <c r="AM268" s="912" t="str">
        <f t="shared" si="57"/>
        <v>.</v>
      </c>
      <c r="AN268" s="405" t="str">
        <f t="shared" si="58"/>
        <v>.</v>
      </c>
      <c r="AO268" s="405" t="str">
        <f t="shared" si="59"/>
        <v>.</v>
      </c>
      <c r="AP268" s="405" t="str">
        <f t="shared" si="60"/>
        <v>.</v>
      </c>
      <c r="AQ268" s="593"/>
    </row>
    <row r="269" spans="1:43">
      <c r="A269" s="537">
        <v>269</v>
      </c>
      <c r="B269" s="537" t="s">
        <v>2087</v>
      </c>
      <c r="C269" s="538"/>
      <c r="D269" s="537" t="s">
        <v>2129</v>
      </c>
      <c r="E269" s="537" t="s">
        <v>2100</v>
      </c>
      <c r="F269" s="537" t="s">
        <v>663</v>
      </c>
      <c r="G269" s="537"/>
      <c r="H269" s="537" t="s">
        <v>598</v>
      </c>
      <c r="I269" s="537"/>
      <c r="J269" s="545"/>
      <c r="K269" s="537"/>
      <c r="L269" s="537"/>
      <c r="M269" s="537"/>
      <c r="N269" s="537"/>
      <c r="O269" s="537"/>
      <c r="P269" s="537"/>
      <c r="Q269" s="537"/>
      <c r="R269" s="537"/>
      <c r="S269" s="537"/>
      <c r="T269" s="865" t="s">
        <v>663</v>
      </c>
      <c r="U269" s="865" t="s">
        <v>663</v>
      </c>
      <c r="V269" s="537"/>
      <c r="W269" s="537" t="s">
        <v>663</v>
      </c>
      <c r="X269" s="537"/>
      <c r="Y269" s="537"/>
      <c r="Z269" s="537"/>
      <c r="AA269" s="537"/>
      <c r="AB269" s="544" t="str">
        <f t="shared" si="51"/>
        <v>PHY</v>
      </c>
      <c r="AC269" s="537"/>
      <c r="AD269" s="544" t="str" cm="1">
        <f t="array" ref="AD269">IF(SUMPRODUCT(ISNUMBER(SEARCH("y",R269:AA269))+0)=0,"",IF(AA269="y","400G",IF(Z269="y","100G",IF(X269="y","40G",IF(V269="y","10G",IF(S269="y","1G",IF(R269="y","100M",""))))))&amp;" "&amp;AB269&amp;" "&amp;AC269)</f>
        <v/>
      </c>
      <c r="AE269" s="546" t="str">
        <f t="shared" si="50"/>
        <v xml:space="preserve"> </v>
      </c>
      <c r="AF269" s="425" t="str">
        <f t="shared" si="52"/>
        <v>.</v>
      </c>
      <c r="AG269" s="425" t="str">
        <f t="shared" si="53"/>
        <v>.</v>
      </c>
      <c r="AH269" s="425" t="str">
        <f t="shared" si="61"/>
        <v>.</v>
      </c>
      <c r="AI269" s="425" t="str">
        <f t="shared" si="54"/>
        <v>ns</v>
      </c>
      <c r="AJ269" s="425" t="str">
        <f t="shared" si="55"/>
        <v>ns</v>
      </c>
      <c r="AK269" s="925" t="str">
        <f t="shared" si="56"/>
        <v>.</v>
      </c>
      <c r="AL269" s="405" t="str">
        <f t="shared" si="56"/>
        <v>ns</v>
      </c>
      <c r="AM269" s="912" t="str">
        <f t="shared" si="57"/>
        <v>.</v>
      </c>
      <c r="AN269" s="405" t="str">
        <f t="shared" si="58"/>
        <v>.</v>
      </c>
      <c r="AO269" s="405" t="str">
        <f t="shared" si="59"/>
        <v>.</v>
      </c>
      <c r="AP269" s="405" t="str">
        <f t="shared" si="60"/>
        <v>.</v>
      </c>
      <c r="AQ269" s="593"/>
    </row>
    <row r="270" spans="1:43">
      <c r="A270" s="537">
        <v>270</v>
      </c>
      <c r="B270" s="537" t="s">
        <v>2087</v>
      </c>
      <c r="C270" s="537">
        <v>653</v>
      </c>
      <c r="D270" s="537" t="s">
        <v>2130</v>
      </c>
      <c r="E270" s="537" t="s">
        <v>2101</v>
      </c>
      <c r="F270" s="537" t="s">
        <v>663</v>
      </c>
      <c r="G270" s="537"/>
      <c r="H270" s="537" t="s">
        <v>2206</v>
      </c>
      <c r="I270" s="537" t="s">
        <v>2172</v>
      </c>
      <c r="J270" s="545" t="s">
        <v>688</v>
      </c>
      <c r="K270" s="537"/>
      <c r="L270" s="537"/>
      <c r="M270" s="537"/>
      <c r="N270" s="537" t="s">
        <v>689</v>
      </c>
      <c r="O270" s="537" t="s">
        <v>2205</v>
      </c>
      <c r="P270" s="537" t="s">
        <v>1393</v>
      </c>
      <c r="Q270" s="544" t="s">
        <v>663</v>
      </c>
      <c r="R270" s="544" t="s">
        <v>663</v>
      </c>
      <c r="S270" s="544" t="s">
        <v>662</v>
      </c>
      <c r="T270" s="865" t="s">
        <v>663</v>
      </c>
      <c r="U270" s="865" t="s">
        <v>663</v>
      </c>
      <c r="V270" s="544" t="s">
        <v>662</v>
      </c>
      <c r="W270" s="544" t="s">
        <v>663</v>
      </c>
      <c r="X270" s="544" t="s">
        <v>663</v>
      </c>
      <c r="Y270" s="544" t="s">
        <v>663</v>
      </c>
      <c r="Z270" s="544" t="s">
        <v>663</v>
      </c>
      <c r="AA270" s="544" t="s">
        <v>663</v>
      </c>
      <c r="AB270" s="544" t="str">
        <f t="shared" si="51"/>
        <v>DC</v>
      </c>
      <c r="AC270" s="537"/>
      <c r="AD270" s="544" t="str" cm="1">
        <f t="array" ref="AD270">IF(SUMPRODUCT(ISNUMBER(SEARCH("y",R270:AA270))+0)=0,"",IF(AA270="y","400G",IF(Z270="y","100G",IF(X270="y","40G",IF(V270="y","10G",IF(S270="y","1G",IF(R270="y","100M",""))))))&amp;" "&amp;AB270&amp;" "&amp;AC270)</f>
        <v xml:space="preserve">10G DC </v>
      </c>
      <c r="AE270" s="546" t="str">
        <f t="shared" si="50"/>
        <v xml:space="preserve"> 10G DC </v>
      </c>
      <c r="AF270" s="425" t="str">
        <f t="shared" si="52"/>
        <v>ns</v>
      </c>
      <c r="AG270" s="425" t="str">
        <f t="shared" si="53"/>
        <v>ns</v>
      </c>
      <c r="AH270" s="425" t="str">
        <f t="shared" si="61"/>
        <v>.</v>
      </c>
      <c r="AI270" s="425" t="str">
        <f t="shared" si="54"/>
        <v>ns</v>
      </c>
      <c r="AJ270" s="425" t="str">
        <f t="shared" si="55"/>
        <v>ns</v>
      </c>
      <c r="AK270" s="925" t="str">
        <f t="shared" si="56"/>
        <v>.</v>
      </c>
      <c r="AL270" s="405" t="str">
        <f t="shared" si="56"/>
        <v>ns</v>
      </c>
      <c r="AM270" s="912" t="str">
        <f t="shared" si="57"/>
        <v>ns</v>
      </c>
      <c r="AN270" s="405" t="str">
        <f t="shared" si="58"/>
        <v>ns</v>
      </c>
      <c r="AO270" s="405" t="str">
        <f t="shared" si="59"/>
        <v>ns</v>
      </c>
      <c r="AP270" s="405" t="str">
        <f t="shared" si="60"/>
        <v>ns</v>
      </c>
      <c r="AQ270" s="593"/>
    </row>
    <row r="271" spans="1:43">
      <c r="A271" s="537">
        <v>271</v>
      </c>
      <c r="B271" s="537" t="s">
        <v>2087</v>
      </c>
      <c r="C271" s="538"/>
      <c r="D271" s="537" t="s">
        <v>2131</v>
      </c>
      <c r="E271" s="537" t="s">
        <v>2102</v>
      </c>
      <c r="F271" s="537" t="s">
        <v>663</v>
      </c>
      <c r="G271" s="537"/>
      <c r="H271" s="537" t="s">
        <v>598</v>
      </c>
      <c r="I271" s="537"/>
      <c r="J271" s="545"/>
      <c r="K271" s="537"/>
      <c r="L271" s="537"/>
      <c r="M271" s="537"/>
      <c r="N271" s="537"/>
      <c r="O271" s="537"/>
      <c r="P271" s="537"/>
      <c r="Q271" s="537"/>
      <c r="R271" s="537"/>
      <c r="S271" s="537"/>
      <c r="T271" s="865" t="s">
        <v>663</v>
      </c>
      <c r="U271" s="865" t="s">
        <v>663</v>
      </c>
      <c r="V271" s="537"/>
      <c r="W271" s="537" t="s">
        <v>663</v>
      </c>
      <c r="X271" s="537"/>
      <c r="Y271" s="537"/>
      <c r="Z271" s="537"/>
      <c r="AA271" s="537"/>
      <c r="AB271" s="544" t="str">
        <f t="shared" si="51"/>
        <v>PHY</v>
      </c>
      <c r="AC271" s="537"/>
      <c r="AD271" s="544" t="str" cm="1">
        <f t="array" ref="AD271">IF(SUMPRODUCT(ISNUMBER(SEARCH("y",R271:AA271))+0)=0,"",IF(AA271="y","400G",IF(Z271="y","100G",IF(X271="y","40G",IF(V271="y","10G",IF(S271="y","1G",IF(R271="y","100M",""))))))&amp;" "&amp;AB271&amp;" "&amp;AC271)</f>
        <v/>
      </c>
      <c r="AE271" s="546" t="str">
        <f t="shared" si="50"/>
        <v xml:space="preserve"> </v>
      </c>
      <c r="AF271" s="425" t="str">
        <f t="shared" si="52"/>
        <v>.</v>
      </c>
      <c r="AG271" s="425" t="str">
        <f t="shared" si="53"/>
        <v>.</v>
      </c>
      <c r="AH271" s="425" t="str">
        <f t="shared" si="61"/>
        <v>.</v>
      </c>
      <c r="AI271" s="425" t="str">
        <f t="shared" si="54"/>
        <v>ns</v>
      </c>
      <c r="AJ271" s="425" t="str">
        <f t="shared" si="55"/>
        <v>ns</v>
      </c>
      <c r="AK271" s="925" t="str">
        <f t="shared" si="56"/>
        <v>.</v>
      </c>
      <c r="AL271" s="405" t="str">
        <f t="shared" si="56"/>
        <v>ns</v>
      </c>
      <c r="AM271" s="912" t="str">
        <f t="shared" si="57"/>
        <v>.</v>
      </c>
      <c r="AN271" s="405" t="str">
        <f t="shared" si="58"/>
        <v>.</v>
      </c>
      <c r="AO271" s="405" t="str">
        <f t="shared" si="59"/>
        <v>.</v>
      </c>
      <c r="AP271" s="405" t="str">
        <f t="shared" si="60"/>
        <v>.</v>
      </c>
      <c r="AQ271" s="593"/>
    </row>
    <row r="272" spans="1:43">
      <c r="A272" s="537">
        <v>272</v>
      </c>
      <c r="B272" s="537" t="s">
        <v>2105</v>
      </c>
      <c r="C272" s="538"/>
      <c r="D272" s="537" t="s">
        <v>2132</v>
      </c>
      <c r="E272" s="537" t="s">
        <v>2180</v>
      </c>
      <c r="F272" s="537" t="s">
        <v>663</v>
      </c>
      <c r="G272" s="537"/>
      <c r="H272" s="537" t="s">
        <v>2105</v>
      </c>
      <c r="I272" s="537" t="s">
        <v>2171</v>
      </c>
      <c r="J272" s="545" t="s">
        <v>688</v>
      </c>
      <c r="K272" s="537"/>
      <c r="L272" s="537"/>
      <c r="M272" s="537"/>
      <c r="N272" s="543" t="s">
        <v>689</v>
      </c>
      <c r="O272" s="544" t="s">
        <v>969</v>
      </c>
      <c r="P272" s="537"/>
      <c r="Q272" s="544" t="s">
        <v>663</v>
      </c>
      <c r="R272" s="544" t="s">
        <v>663</v>
      </c>
      <c r="S272" s="544" t="s">
        <v>662</v>
      </c>
      <c r="T272" s="865" t="s">
        <v>663</v>
      </c>
      <c r="U272" s="865" t="s">
        <v>663</v>
      </c>
      <c r="V272" s="544" t="s">
        <v>662</v>
      </c>
      <c r="W272" s="544" t="s">
        <v>663</v>
      </c>
      <c r="X272" s="544" t="s">
        <v>663</v>
      </c>
      <c r="Y272" s="544" t="s">
        <v>663</v>
      </c>
      <c r="Z272" s="544" t="s">
        <v>663</v>
      </c>
      <c r="AA272" s="544" t="s">
        <v>663</v>
      </c>
      <c r="AB272" s="544" t="str">
        <f t="shared" si="51"/>
        <v>DC</v>
      </c>
      <c r="AC272" s="537"/>
      <c r="AD272" s="544" t="str" cm="1">
        <f t="array" ref="AD272">IF(SUMPRODUCT(ISNUMBER(SEARCH("y",R272:AA272))+0)=0,"",IF(AA272="y","400G",IF(Z272="y","100G",IF(X272="y","40G",IF(V272="y","10G",IF(S272="y","1G",IF(R272="y","100M",""))))))&amp;" "&amp;AB272&amp;" "&amp;AC272)</f>
        <v xml:space="preserve">10G DC </v>
      </c>
      <c r="AE272" s="546" t="str">
        <f t="shared" si="50"/>
        <v xml:space="preserve"> 10G DC </v>
      </c>
      <c r="AF272" s="425" t="str">
        <f t="shared" si="52"/>
        <v>ns</v>
      </c>
      <c r="AG272" s="425" t="str">
        <f t="shared" si="53"/>
        <v>ns</v>
      </c>
      <c r="AH272" s="425" t="str">
        <f t="shared" si="61"/>
        <v>.</v>
      </c>
      <c r="AI272" s="425" t="str">
        <f t="shared" si="54"/>
        <v>ns</v>
      </c>
      <c r="AJ272" s="425" t="str">
        <f t="shared" si="55"/>
        <v>ns</v>
      </c>
      <c r="AK272" s="925" t="str">
        <f t="shared" si="56"/>
        <v>.</v>
      </c>
      <c r="AL272" s="405" t="str">
        <f t="shared" si="56"/>
        <v>ns</v>
      </c>
      <c r="AM272" s="912" t="str">
        <f t="shared" si="57"/>
        <v>ns</v>
      </c>
      <c r="AN272" s="405" t="str">
        <f t="shared" si="58"/>
        <v>ns</v>
      </c>
      <c r="AO272" s="405" t="str">
        <f t="shared" si="59"/>
        <v>ns</v>
      </c>
      <c r="AP272" s="405" t="str">
        <f t="shared" si="60"/>
        <v>ns</v>
      </c>
      <c r="AQ272" s="593"/>
    </row>
    <row r="273" spans="1:43">
      <c r="A273" s="537">
        <v>273</v>
      </c>
      <c r="B273" s="537" t="s">
        <v>2105</v>
      </c>
      <c r="C273" s="537">
        <v>640</v>
      </c>
      <c r="D273" s="537" t="s">
        <v>2133</v>
      </c>
      <c r="E273" s="537" t="s">
        <v>2173</v>
      </c>
      <c r="F273" s="537" t="s">
        <v>663</v>
      </c>
      <c r="G273" s="537"/>
      <c r="H273" s="537" t="s">
        <v>2105</v>
      </c>
      <c r="I273" s="537" t="s">
        <v>2171</v>
      </c>
      <c r="J273" s="545" t="s">
        <v>688</v>
      </c>
      <c r="K273" s="537"/>
      <c r="L273" s="537"/>
      <c r="M273" s="537"/>
      <c r="N273" s="543" t="s">
        <v>689</v>
      </c>
      <c r="O273" s="537" t="s">
        <v>1030</v>
      </c>
      <c r="P273" s="537" t="s">
        <v>1393</v>
      </c>
      <c r="Q273" s="544" t="s">
        <v>663</v>
      </c>
      <c r="R273" s="544" t="s">
        <v>663</v>
      </c>
      <c r="S273" s="544" t="s">
        <v>662</v>
      </c>
      <c r="T273" s="865" t="s">
        <v>663</v>
      </c>
      <c r="U273" s="865" t="s">
        <v>663</v>
      </c>
      <c r="V273" s="544" t="s">
        <v>662</v>
      </c>
      <c r="W273" s="544" t="s">
        <v>663</v>
      </c>
      <c r="X273" s="544" t="s">
        <v>663</v>
      </c>
      <c r="Y273" s="544" t="s">
        <v>663</v>
      </c>
      <c r="Z273" s="544" t="s">
        <v>663</v>
      </c>
      <c r="AA273" s="544" t="s">
        <v>663</v>
      </c>
      <c r="AB273" s="544" t="str">
        <f t="shared" si="51"/>
        <v>DC</v>
      </c>
      <c r="AC273" s="537"/>
      <c r="AD273" s="544" t="str" cm="1">
        <f t="array" ref="AD273">IF(SUMPRODUCT(ISNUMBER(SEARCH("y",R273:AA273))+0)=0,"",IF(AA273="y","400G",IF(Z273="y","100G",IF(X273="y","40G",IF(V273="y","10G",IF(S273="y","1G",IF(R273="y","100M",""))))))&amp;" "&amp;AB273&amp;" "&amp;AC273)</f>
        <v xml:space="preserve">10G DC </v>
      </c>
      <c r="AE273" s="546" t="str">
        <f t="shared" si="50"/>
        <v xml:space="preserve"> 10G DC </v>
      </c>
      <c r="AF273" s="425" t="str">
        <f t="shared" si="52"/>
        <v>ns</v>
      </c>
      <c r="AG273" s="425" t="str">
        <f t="shared" si="53"/>
        <v>ns</v>
      </c>
      <c r="AH273" s="425" t="str">
        <f t="shared" si="61"/>
        <v>.</v>
      </c>
      <c r="AI273" s="425" t="str">
        <f t="shared" si="54"/>
        <v>ns</v>
      </c>
      <c r="AJ273" s="425" t="str">
        <f t="shared" si="55"/>
        <v>ns</v>
      </c>
      <c r="AK273" s="925" t="str">
        <f t="shared" si="56"/>
        <v>.</v>
      </c>
      <c r="AL273" s="405" t="str">
        <f t="shared" si="56"/>
        <v>ns</v>
      </c>
      <c r="AM273" s="912" t="str">
        <f t="shared" si="57"/>
        <v>ns</v>
      </c>
      <c r="AN273" s="405" t="str">
        <f t="shared" si="58"/>
        <v>ns</v>
      </c>
      <c r="AO273" s="405" t="str">
        <f t="shared" si="59"/>
        <v>ns</v>
      </c>
      <c r="AP273" s="405" t="str">
        <f t="shared" si="60"/>
        <v>ns</v>
      </c>
      <c r="AQ273" s="593"/>
    </row>
    <row r="274" spans="1:43">
      <c r="A274" s="537">
        <v>274</v>
      </c>
      <c r="B274" s="537" t="s">
        <v>2105</v>
      </c>
      <c r="C274" s="537">
        <v>632</v>
      </c>
      <c r="D274" s="537" t="s">
        <v>2134</v>
      </c>
      <c r="E274" s="537" t="s">
        <v>2169</v>
      </c>
      <c r="F274" s="537" t="s">
        <v>663</v>
      </c>
      <c r="G274" s="537" t="s">
        <v>661</v>
      </c>
      <c r="H274" s="537" t="s">
        <v>2105</v>
      </c>
      <c r="I274" s="537" t="s">
        <v>2168</v>
      </c>
      <c r="J274" s="545" t="s">
        <v>688</v>
      </c>
      <c r="K274" s="537" t="s">
        <v>2134</v>
      </c>
      <c r="L274" s="537" t="s">
        <v>734</v>
      </c>
      <c r="M274" s="537" t="s">
        <v>2229</v>
      </c>
      <c r="N274" s="537" t="s">
        <v>689</v>
      </c>
      <c r="O274" s="537" t="s">
        <v>889</v>
      </c>
      <c r="P274" s="537" t="s">
        <v>1393</v>
      </c>
      <c r="Q274" s="544" t="s">
        <v>663</v>
      </c>
      <c r="R274" s="544" t="s">
        <v>663</v>
      </c>
      <c r="S274" s="544" t="s">
        <v>662</v>
      </c>
      <c r="T274" s="865" t="s">
        <v>663</v>
      </c>
      <c r="U274" s="865" t="s">
        <v>663</v>
      </c>
      <c r="V274" s="544" t="s">
        <v>662</v>
      </c>
      <c r="W274" s="544" t="s">
        <v>663</v>
      </c>
      <c r="X274" s="544" t="s">
        <v>663</v>
      </c>
      <c r="Y274" s="544" t="s">
        <v>663</v>
      </c>
      <c r="Z274" s="544" t="s">
        <v>663</v>
      </c>
      <c r="AA274" s="544" t="s">
        <v>663</v>
      </c>
      <c r="AB274" s="544" t="str">
        <f t="shared" si="51"/>
        <v>DC</v>
      </c>
      <c r="AC274" s="537"/>
      <c r="AD274" s="544" t="str" cm="1">
        <f t="array" ref="AD274">IF(SUMPRODUCT(ISNUMBER(SEARCH("y",R274:AA274))+0)=0,"",IF(AA274="y","400G",IF(Z274="y","100G",IF(X274="y","40G",IF(V274="y","10G",IF(S274="y","1G",IF(R274="y","100M",""))))))&amp;" "&amp;AB274&amp;" "&amp;AC274)</f>
        <v xml:space="preserve">10G DC </v>
      </c>
      <c r="AE274" s="546" t="str">
        <f t="shared" si="50"/>
        <v xml:space="preserve">AT-x250-28XTm 10G DC </v>
      </c>
      <c r="AF274" s="425" t="str">
        <f t="shared" si="52"/>
        <v>ns</v>
      </c>
      <c r="AG274" s="425" t="str">
        <f t="shared" si="53"/>
        <v>ns</v>
      </c>
      <c r="AH274" s="425" t="str">
        <f t="shared" si="61"/>
        <v>.</v>
      </c>
      <c r="AI274" s="425" t="str">
        <f t="shared" si="54"/>
        <v>ns</v>
      </c>
      <c r="AJ274" s="425" t="str">
        <f t="shared" si="55"/>
        <v>ns</v>
      </c>
      <c r="AK274" s="925" t="str">
        <f t="shared" si="56"/>
        <v>.</v>
      </c>
      <c r="AL274" s="405" t="str">
        <f t="shared" si="56"/>
        <v>ns</v>
      </c>
      <c r="AM274" s="912" t="str">
        <f t="shared" si="57"/>
        <v>ns</v>
      </c>
      <c r="AN274" s="405" t="str">
        <f t="shared" si="58"/>
        <v>ns</v>
      </c>
      <c r="AO274" s="405" t="str">
        <f t="shared" si="59"/>
        <v>ns</v>
      </c>
      <c r="AP274" s="405" t="str">
        <f t="shared" si="60"/>
        <v>ns</v>
      </c>
      <c r="AQ274" s="593"/>
    </row>
    <row r="275" spans="1:43">
      <c r="A275" s="537">
        <v>275</v>
      </c>
      <c r="B275" s="537" t="s">
        <v>2105</v>
      </c>
      <c r="C275" s="538">
        <v>669</v>
      </c>
      <c r="D275" s="537" t="s">
        <v>2135</v>
      </c>
      <c r="E275" s="537" t="s">
        <v>2538</v>
      </c>
      <c r="F275" s="537" t="s">
        <v>663</v>
      </c>
      <c r="G275" s="537"/>
      <c r="H275" s="537" t="s">
        <v>2105</v>
      </c>
      <c r="I275" s="537" t="s">
        <v>2172</v>
      </c>
      <c r="J275" s="545" t="s">
        <v>688</v>
      </c>
      <c r="K275" s="537"/>
      <c r="L275" s="537"/>
      <c r="M275" s="537"/>
      <c r="N275" s="537" t="s">
        <v>689</v>
      </c>
      <c r="O275" s="537" t="s">
        <v>1202</v>
      </c>
      <c r="P275" s="537" t="s">
        <v>1393</v>
      </c>
      <c r="Q275" s="537" t="s">
        <v>663</v>
      </c>
      <c r="R275" s="537" t="s">
        <v>663</v>
      </c>
      <c r="S275" s="537" t="s">
        <v>662</v>
      </c>
      <c r="T275" s="865" t="s">
        <v>662</v>
      </c>
      <c r="U275" s="865" t="s">
        <v>662</v>
      </c>
      <c r="V275" s="537" t="s">
        <v>662</v>
      </c>
      <c r="W275" s="537" t="s">
        <v>663</v>
      </c>
      <c r="X275" s="537" t="s">
        <v>663</v>
      </c>
      <c r="Y275" s="537" t="s">
        <v>663</v>
      </c>
      <c r="Z275" s="537" t="s">
        <v>663</v>
      </c>
      <c r="AA275" s="537" t="s">
        <v>663</v>
      </c>
      <c r="AB275" s="544" t="str">
        <f t="shared" si="51"/>
        <v>DC</v>
      </c>
      <c r="AC275" s="537"/>
      <c r="AD275" s="544" t="str" cm="1">
        <f t="array" ref="AD275">IF(SUMPRODUCT(ISNUMBER(SEARCH("y",R275:AA275))+0)=0,"",IF(AA275="y","400G",IF(Z275="y","100G",IF(X275="y","40G",IF(V275="y","10G",IF(S275="y","1G",IF(R275="y","100M",""))))))&amp;" "&amp;AB275&amp;" "&amp;AC275)</f>
        <v xml:space="preserve">10G DC </v>
      </c>
      <c r="AE275" s="546" t="str">
        <f t="shared" si="50"/>
        <v xml:space="preserve"> 10G DC </v>
      </c>
      <c r="AF275" s="425" t="str">
        <f t="shared" si="52"/>
        <v>ns</v>
      </c>
      <c r="AG275" s="425" t="str">
        <f t="shared" si="53"/>
        <v>ns</v>
      </c>
      <c r="AH275" s="425" t="str">
        <f t="shared" si="61"/>
        <v>.</v>
      </c>
      <c r="AI275" s="425" t="str">
        <f t="shared" si="54"/>
        <v>.</v>
      </c>
      <c r="AJ275" s="425" t="str">
        <f t="shared" si="55"/>
        <v>.</v>
      </c>
      <c r="AK275" s="925" t="str">
        <f t="shared" si="56"/>
        <v>.</v>
      </c>
      <c r="AL275" s="405" t="str">
        <f t="shared" si="56"/>
        <v>ns</v>
      </c>
      <c r="AM275" s="912" t="str">
        <f t="shared" si="57"/>
        <v>ns</v>
      </c>
      <c r="AN275" s="405" t="str">
        <f t="shared" si="58"/>
        <v>ns</v>
      </c>
      <c r="AO275" s="405" t="str">
        <f t="shared" si="59"/>
        <v>ns</v>
      </c>
      <c r="AP275" s="405" t="str">
        <f t="shared" si="60"/>
        <v>ns</v>
      </c>
      <c r="AQ275" s="593"/>
    </row>
    <row r="276" spans="1:43">
      <c r="A276" s="537">
        <v>276</v>
      </c>
      <c r="B276" s="537" t="s">
        <v>2105</v>
      </c>
      <c r="C276" s="537">
        <v>644</v>
      </c>
      <c r="D276" s="537" t="s">
        <v>2136</v>
      </c>
      <c r="E276" s="537" t="s">
        <v>2174</v>
      </c>
      <c r="F276" s="537" t="s">
        <v>663</v>
      </c>
      <c r="G276" s="537"/>
      <c r="H276" s="537" t="s">
        <v>2105</v>
      </c>
      <c r="I276" s="537" t="s">
        <v>2171</v>
      </c>
      <c r="J276" s="545" t="s">
        <v>688</v>
      </c>
      <c r="K276" s="537" t="s">
        <v>197</v>
      </c>
      <c r="L276" s="537" t="s">
        <v>197</v>
      </c>
      <c r="M276" s="537" t="s">
        <v>197</v>
      </c>
      <c r="N276" s="537" t="s">
        <v>689</v>
      </c>
      <c r="O276" s="537" t="s">
        <v>2193</v>
      </c>
      <c r="P276" s="537" t="s">
        <v>1393</v>
      </c>
      <c r="Q276" s="544" t="s">
        <v>663</v>
      </c>
      <c r="R276" s="544" t="s">
        <v>663</v>
      </c>
      <c r="S276" s="544" t="s">
        <v>662</v>
      </c>
      <c r="T276" s="865" t="s">
        <v>663</v>
      </c>
      <c r="U276" s="865" t="s">
        <v>663</v>
      </c>
      <c r="V276" s="544" t="s">
        <v>662</v>
      </c>
      <c r="W276" s="544" t="s">
        <v>663</v>
      </c>
      <c r="X276" s="544" t="s">
        <v>663</v>
      </c>
      <c r="Y276" s="544" t="s">
        <v>663</v>
      </c>
      <c r="Z276" s="544" t="s">
        <v>663</v>
      </c>
      <c r="AA276" s="544" t="s">
        <v>663</v>
      </c>
      <c r="AB276" s="544" t="str">
        <f t="shared" si="51"/>
        <v>DC</v>
      </c>
      <c r="AC276" s="537"/>
      <c r="AD276" s="544" t="str" cm="1">
        <f t="array" ref="AD276">IF(SUMPRODUCT(ISNUMBER(SEARCH("y",R276:AA276))+0)=0,"",IF(AA276="y","400G",IF(Z276="y","100G",IF(X276="y","40G",IF(V276="y","10G",IF(S276="y","1G",IF(R276="y","100M",""))))))&amp;" "&amp;AB276&amp;" "&amp;AC276)</f>
        <v xml:space="preserve">10G DC </v>
      </c>
      <c r="AE276" s="546" t="str">
        <f t="shared" si="50"/>
        <v/>
      </c>
      <c r="AF276" s="425" t="str">
        <f t="shared" si="52"/>
        <v>ns</v>
      </c>
      <c r="AG276" s="425" t="str">
        <f t="shared" si="53"/>
        <v>ns</v>
      </c>
      <c r="AH276" s="425" t="str">
        <f t="shared" si="61"/>
        <v>.</v>
      </c>
      <c r="AI276" s="425" t="str">
        <f t="shared" si="54"/>
        <v>ns</v>
      </c>
      <c r="AJ276" s="425" t="str">
        <f t="shared" si="55"/>
        <v>ns</v>
      </c>
      <c r="AK276" s="925" t="str">
        <f t="shared" si="56"/>
        <v>.</v>
      </c>
      <c r="AL276" s="405" t="str">
        <f t="shared" si="56"/>
        <v>ns</v>
      </c>
      <c r="AM276" s="912" t="str">
        <f t="shared" si="57"/>
        <v>ns</v>
      </c>
      <c r="AN276" s="405" t="str">
        <f t="shared" si="58"/>
        <v>ns</v>
      </c>
      <c r="AO276" s="405" t="str">
        <f t="shared" si="59"/>
        <v>ns</v>
      </c>
      <c r="AP276" s="405" t="str">
        <f t="shared" si="60"/>
        <v>ns</v>
      </c>
      <c r="AQ276" s="593"/>
    </row>
    <row r="277" spans="1:43">
      <c r="A277" s="537">
        <v>277</v>
      </c>
      <c r="B277" s="537" t="s">
        <v>2105</v>
      </c>
      <c r="C277" s="537">
        <v>650</v>
      </c>
      <c r="D277" s="537" t="s">
        <v>2137</v>
      </c>
      <c r="E277" s="537" t="s">
        <v>2175</v>
      </c>
      <c r="F277" s="537" t="s">
        <v>663</v>
      </c>
      <c r="G277" s="537"/>
      <c r="H277" s="537" t="s">
        <v>2105</v>
      </c>
      <c r="I277" s="537" t="s">
        <v>2172</v>
      </c>
      <c r="J277" s="545" t="s">
        <v>688</v>
      </c>
      <c r="K277" s="537"/>
      <c r="L277" s="537"/>
      <c r="M277" s="537"/>
      <c r="N277" s="537" t="s">
        <v>689</v>
      </c>
      <c r="O277" s="537" t="s">
        <v>2205</v>
      </c>
      <c r="P277" s="537" t="s">
        <v>1393</v>
      </c>
      <c r="Q277" s="544" t="s">
        <v>663</v>
      </c>
      <c r="R277" s="544" t="s">
        <v>663</v>
      </c>
      <c r="S277" s="544" t="s">
        <v>662</v>
      </c>
      <c r="T277" s="865" t="s">
        <v>663</v>
      </c>
      <c r="U277" s="865" t="s">
        <v>663</v>
      </c>
      <c r="V277" s="544" t="s">
        <v>662</v>
      </c>
      <c r="W277" s="544" t="s">
        <v>663</v>
      </c>
      <c r="X277" s="544" t="s">
        <v>663</v>
      </c>
      <c r="Y277" s="544" t="s">
        <v>663</v>
      </c>
      <c r="Z277" s="544" t="s">
        <v>663</v>
      </c>
      <c r="AA277" s="544" t="s">
        <v>663</v>
      </c>
      <c r="AB277" s="544" t="str">
        <f t="shared" si="51"/>
        <v>DC</v>
      </c>
      <c r="AC277" s="537"/>
      <c r="AD277" s="544" t="str" cm="1">
        <f t="array" ref="AD277">IF(SUMPRODUCT(ISNUMBER(SEARCH("y",R277:AA277))+0)=0,"",IF(AA277="y","400G",IF(Z277="y","100G",IF(X277="y","40G",IF(V277="y","10G",IF(S277="y","1G",IF(R277="y","100M",""))))))&amp;" "&amp;AB277&amp;" "&amp;AC277)</f>
        <v xml:space="preserve">10G DC </v>
      </c>
      <c r="AE277" s="546" t="str">
        <f t="shared" si="50"/>
        <v xml:space="preserve"> 10G DC </v>
      </c>
      <c r="AF277" s="425" t="str">
        <f t="shared" si="52"/>
        <v>ns</v>
      </c>
      <c r="AG277" s="425" t="str">
        <f t="shared" si="53"/>
        <v>ns</v>
      </c>
      <c r="AH277" s="425" t="str">
        <f t="shared" si="61"/>
        <v>.</v>
      </c>
      <c r="AI277" s="425" t="str">
        <f t="shared" si="54"/>
        <v>ns</v>
      </c>
      <c r="AJ277" s="425" t="str">
        <f t="shared" si="55"/>
        <v>ns</v>
      </c>
      <c r="AK277" s="925" t="str">
        <f t="shared" si="56"/>
        <v>.</v>
      </c>
      <c r="AL277" s="405" t="str">
        <f t="shared" si="56"/>
        <v>ns</v>
      </c>
      <c r="AM277" s="912" t="str">
        <f t="shared" si="57"/>
        <v>ns</v>
      </c>
      <c r="AN277" s="405" t="str">
        <f t="shared" si="58"/>
        <v>ns</v>
      </c>
      <c r="AO277" s="405" t="str">
        <f t="shared" si="59"/>
        <v>ns</v>
      </c>
      <c r="AP277" s="405" t="str">
        <f t="shared" si="60"/>
        <v>ns</v>
      </c>
      <c r="AQ277" s="593"/>
    </row>
    <row r="278" spans="1:43">
      <c r="A278" s="537">
        <v>278</v>
      </c>
      <c r="B278" s="537" t="s">
        <v>2105</v>
      </c>
      <c r="C278" s="538"/>
      <c r="D278" s="537" t="s">
        <v>2138</v>
      </c>
      <c r="E278" s="537"/>
      <c r="F278" s="537" t="s">
        <v>663</v>
      </c>
      <c r="G278" s="537"/>
      <c r="H278" s="537" t="s">
        <v>598</v>
      </c>
      <c r="I278" s="537"/>
      <c r="J278" s="545"/>
      <c r="K278" s="537"/>
      <c r="L278" s="537"/>
      <c r="M278" s="537"/>
      <c r="N278" s="537"/>
      <c r="O278" s="537"/>
      <c r="P278" s="537"/>
      <c r="Q278" s="544" t="s">
        <v>663</v>
      </c>
      <c r="R278" s="544" t="s">
        <v>663</v>
      </c>
      <c r="S278" s="544" t="s">
        <v>662</v>
      </c>
      <c r="T278" s="865" t="s">
        <v>663</v>
      </c>
      <c r="U278" s="865" t="s">
        <v>663</v>
      </c>
      <c r="V278" s="544" t="s">
        <v>662</v>
      </c>
      <c r="W278" s="544" t="s">
        <v>663</v>
      </c>
      <c r="X278" s="544" t="s">
        <v>663</v>
      </c>
      <c r="Y278" s="544" t="s">
        <v>663</v>
      </c>
      <c r="Z278" s="544" t="s">
        <v>663</v>
      </c>
      <c r="AA278" s="544" t="s">
        <v>663</v>
      </c>
      <c r="AB278" s="544" t="str">
        <f t="shared" si="51"/>
        <v>PHY</v>
      </c>
      <c r="AC278" s="537"/>
      <c r="AD278" s="544" t="str" cm="1">
        <f t="array" ref="AD278">IF(SUMPRODUCT(ISNUMBER(SEARCH("y",R278:AA278))+0)=0,"",IF(AA278="y","400G",IF(Z278="y","100G",IF(X278="y","40G",IF(V278="y","10G",IF(S278="y","1G",IF(R278="y","100M",""))))))&amp;" "&amp;AB278&amp;" "&amp;AC278)</f>
        <v xml:space="preserve">10G PHY </v>
      </c>
      <c r="AE278" s="546" t="str">
        <f t="shared" si="50"/>
        <v xml:space="preserve"> 10G PHY </v>
      </c>
      <c r="AF278" s="425" t="str">
        <f t="shared" si="52"/>
        <v>ns</v>
      </c>
      <c r="AG278" s="425" t="str">
        <f t="shared" si="53"/>
        <v>ns</v>
      </c>
      <c r="AH278" s="425" t="str">
        <f t="shared" si="61"/>
        <v>.</v>
      </c>
      <c r="AI278" s="425" t="str">
        <f t="shared" si="54"/>
        <v>ns</v>
      </c>
      <c r="AJ278" s="425" t="str">
        <f t="shared" si="55"/>
        <v>ns</v>
      </c>
      <c r="AK278" s="925" t="str">
        <f t="shared" si="56"/>
        <v>.</v>
      </c>
      <c r="AL278" s="405" t="str">
        <f t="shared" si="56"/>
        <v>ns</v>
      </c>
      <c r="AM278" s="912" t="str">
        <f t="shared" si="57"/>
        <v>ns</v>
      </c>
      <c r="AN278" s="405" t="str">
        <f t="shared" si="58"/>
        <v>ns</v>
      </c>
      <c r="AO278" s="405" t="str">
        <f t="shared" si="59"/>
        <v>ns</v>
      </c>
      <c r="AP278" s="405" t="str">
        <f t="shared" si="60"/>
        <v>ns</v>
      </c>
      <c r="AQ278" s="593"/>
    </row>
    <row r="279" spans="1:43">
      <c r="A279" s="537">
        <v>279</v>
      </c>
      <c r="B279" s="537" t="s">
        <v>2105</v>
      </c>
      <c r="C279" s="538">
        <v>663</v>
      </c>
      <c r="D279" s="537" t="s">
        <v>2139</v>
      </c>
      <c r="E279" s="537" t="s">
        <v>2405</v>
      </c>
      <c r="F279" s="537" t="s">
        <v>663</v>
      </c>
      <c r="G279" s="537"/>
      <c r="H279" s="537" t="s">
        <v>2105</v>
      </c>
      <c r="I279" s="537" t="s">
        <v>2406</v>
      </c>
      <c r="J279" s="545" t="s">
        <v>688</v>
      </c>
      <c r="K279" s="537"/>
      <c r="L279" s="537"/>
      <c r="M279" s="537"/>
      <c r="N279" s="537" t="s">
        <v>689</v>
      </c>
      <c r="O279" s="537" t="s">
        <v>2205</v>
      </c>
      <c r="P279" s="537" t="s">
        <v>1393</v>
      </c>
      <c r="Q279" s="544" t="s">
        <v>663</v>
      </c>
      <c r="R279" s="544" t="s">
        <v>663</v>
      </c>
      <c r="S279" s="544" t="s">
        <v>662</v>
      </c>
      <c r="T279" s="865" t="s">
        <v>663</v>
      </c>
      <c r="U279" s="865" t="s">
        <v>663</v>
      </c>
      <c r="V279" s="544" t="s">
        <v>662</v>
      </c>
      <c r="W279" s="544" t="s">
        <v>663</v>
      </c>
      <c r="X279" s="544" t="s">
        <v>663</v>
      </c>
      <c r="Y279" s="544" t="s">
        <v>663</v>
      </c>
      <c r="Z279" s="544" t="s">
        <v>663</v>
      </c>
      <c r="AA279" s="544" t="s">
        <v>663</v>
      </c>
      <c r="AB279" s="544" t="str">
        <f t="shared" si="51"/>
        <v>DC</v>
      </c>
      <c r="AC279" s="537"/>
      <c r="AD279" s="544" t="str" cm="1">
        <f t="array" ref="AD279">IF(SUMPRODUCT(ISNUMBER(SEARCH("y",R279:AA279))+0)=0,"",IF(AA279="y","400G",IF(Z279="y","100G",IF(X279="y","40G",IF(V279="y","10G",IF(S279="y","1G",IF(R279="y","100M",""))))))&amp;" "&amp;AB279&amp;" "&amp;AC279)</f>
        <v xml:space="preserve">10G DC </v>
      </c>
      <c r="AE279" s="546" t="str">
        <f t="shared" si="50"/>
        <v xml:space="preserve"> 10G DC </v>
      </c>
      <c r="AF279" s="425" t="str">
        <f t="shared" si="52"/>
        <v>ns</v>
      </c>
      <c r="AG279" s="425" t="str">
        <f t="shared" si="53"/>
        <v>ns</v>
      </c>
      <c r="AH279" s="425" t="str">
        <f t="shared" si="61"/>
        <v>.</v>
      </c>
      <c r="AI279" s="425" t="str">
        <f t="shared" si="54"/>
        <v>ns</v>
      </c>
      <c r="AJ279" s="425" t="str">
        <f t="shared" si="55"/>
        <v>ns</v>
      </c>
      <c r="AK279" s="925" t="str">
        <f t="shared" si="56"/>
        <v>.</v>
      </c>
      <c r="AL279" s="405" t="str">
        <f t="shared" si="56"/>
        <v>ns</v>
      </c>
      <c r="AM279" s="912" t="str">
        <f t="shared" si="57"/>
        <v>ns</v>
      </c>
      <c r="AN279" s="405" t="str">
        <f t="shared" si="58"/>
        <v>ns</v>
      </c>
      <c r="AO279" s="405" t="str">
        <f t="shared" si="59"/>
        <v>ns</v>
      </c>
      <c r="AP279" s="405" t="str">
        <f t="shared" si="60"/>
        <v>ns</v>
      </c>
      <c r="AQ279" s="593"/>
    </row>
    <row r="280" spans="1:43">
      <c r="A280" s="537">
        <v>280</v>
      </c>
      <c r="B280" s="537" t="s">
        <v>2105</v>
      </c>
      <c r="C280" s="538">
        <v>673</v>
      </c>
      <c r="D280" s="537" t="s">
        <v>2140</v>
      </c>
      <c r="E280" s="537" t="s">
        <v>2511</v>
      </c>
      <c r="F280" s="537" t="s">
        <v>663</v>
      </c>
      <c r="G280" s="537"/>
      <c r="H280" s="537" t="s">
        <v>2105</v>
      </c>
      <c r="I280" s="537" t="s">
        <v>2512</v>
      </c>
      <c r="J280" s="545" t="s">
        <v>688</v>
      </c>
      <c r="K280" s="537"/>
      <c r="L280" s="537"/>
      <c r="M280" s="537"/>
      <c r="N280" s="537" t="s">
        <v>689</v>
      </c>
      <c r="O280" s="537" t="s">
        <v>1202</v>
      </c>
      <c r="P280" s="537" t="s">
        <v>1393</v>
      </c>
      <c r="Q280" s="544" t="s">
        <v>663</v>
      </c>
      <c r="R280" s="544" t="s">
        <v>663</v>
      </c>
      <c r="S280" s="544" t="s">
        <v>662</v>
      </c>
      <c r="T280" s="865" t="s">
        <v>662</v>
      </c>
      <c r="U280" s="865" t="s">
        <v>662</v>
      </c>
      <c r="V280" s="544" t="s">
        <v>662</v>
      </c>
      <c r="W280" s="544" t="s">
        <v>663</v>
      </c>
      <c r="X280" s="544" t="s">
        <v>663</v>
      </c>
      <c r="Y280" s="544" t="s">
        <v>663</v>
      </c>
      <c r="Z280" s="544" t="s">
        <v>663</v>
      </c>
      <c r="AA280" s="544" t="s">
        <v>663</v>
      </c>
      <c r="AB280" s="544" t="str">
        <f t="shared" si="51"/>
        <v>DC</v>
      </c>
      <c r="AC280" s="537"/>
      <c r="AD280" s="544" t="str" cm="1">
        <f t="array" ref="AD280">IF(SUMPRODUCT(ISNUMBER(SEARCH("y",R280:AA280))+0)=0,"",IF(AA280="y","400G",IF(Z280="y","100G",IF(X280="y","40G",IF(V280="y","10G",IF(S280="y","1G",IF(R280="y","100M",""))))))&amp;" "&amp;AB280&amp;" "&amp;AC280)</f>
        <v xml:space="preserve">10G DC </v>
      </c>
      <c r="AE280" s="546" t="str">
        <f t="shared" si="50"/>
        <v xml:space="preserve"> 10G DC </v>
      </c>
      <c r="AF280" s="425" t="str">
        <f t="shared" si="52"/>
        <v>ns</v>
      </c>
      <c r="AG280" s="425" t="str">
        <f t="shared" si="53"/>
        <v>ns</v>
      </c>
      <c r="AH280" s="425" t="str">
        <f t="shared" si="61"/>
        <v>.</v>
      </c>
      <c r="AI280" s="425" t="str">
        <f t="shared" si="54"/>
        <v>.</v>
      </c>
      <c r="AJ280" s="425" t="str">
        <f t="shared" si="55"/>
        <v>.</v>
      </c>
      <c r="AK280" s="925" t="str">
        <f t="shared" si="56"/>
        <v>.</v>
      </c>
      <c r="AL280" s="405" t="str">
        <f t="shared" si="56"/>
        <v>ns</v>
      </c>
      <c r="AM280" s="912" t="str">
        <f t="shared" si="57"/>
        <v>ns</v>
      </c>
      <c r="AN280" s="405" t="str">
        <f t="shared" si="58"/>
        <v>ns</v>
      </c>
      <c r="AO280" s="405" t="str">
        <f t="shared" si="59"/>
        <v>ns</v>
      </c>
      <c r="AP280" s="405" t="str">
        <f t="shared" si="60"/>
        <v>ns</v>
      </c>
      <c r="AQ280" s="593"/>
    </row>
    <row r="281" spans="1:43">
      <c r="A281" s="537">
        <v>281</v>
      </c>
      <c r="B281" s="537" t="s">
        <v>2106</v>
      </c>
      <c r="C281" s="538"/>
      <c r="D281" s="537" t="s">
        <v>2141</v>
      </c>
      <c r="E281" s="537" t="s">
        <v>2181</v>
      </c>
      <c r="F281" s="537" t="s">
        <v>663</v>
      </c>
      <c r="G281" s="537"/>
      <c r="H281" s="537" t="s">
        <v>2106</v>
      </c>
      <c r="I281" s="537" t="s">
        <v>2171</v>
      </c>
      <c r="J281" s="545" t="s">
        <v>688</v>
      </c>
      <c r="K281" s="537"/>
      <c r="L281" s="537"/>
      <c r="M281" s="537"/>
      <c r="N281" s="537"/>
      <c r="O281" s="537"/>
      <c r="P281" s="537"/>
      <c r="Q281" s="544" t="s">
        <v>663</v>
      </c>
      <c r="R281" s="544" t="s">
        <v>663</v>
      </c>
      <c r="S281" s="544" t="s">
        <v>662</v>
      </c>
      <c r="T281" s="865" t="s">
        <v>663</v>
      </c>
      <c r="U281" s="865" t="s">
        <v>663</v>
      </c>
      <c r="V281" s="544" t="s">
        <v>662</v>
      </c>
      <c r="W281" s="544" t="s">
        <v>663</v>
      </c>
      <c r="X281" s="544" t="s">
        <v>663</v>
      </c>
      <c r="Y281" s="544" t="s">
        <v>663</v>
      </c>
      <c r="Z281" s="544" t="s">
        <v>663</v>
      </c>
      <c r="AA281" s="544" t="s">
        <v>663</v>
      </c>
      <c r="AB281" s="544" t="str">
        <f t="shared" si="51"/>
        <v>DC</v>
      </c>
      <c r="AC281" s="537"/>
      <c r="AD281" s="544" t="str" cm="1">
        <f t="array" ref="AD281">IF(SUMPRODUCT(ISNUMBER(SEARCH("y",R281:AA281))+0)=0,"",IF(AA281="y","400G",IF(Z281="y","100G",IF(X281="y","40G",IF(V281="y","10G",IF(S281="y","1G",IF(R281="y","100M",""))))))&amp;" "&amp;AB281&amp;" "&amp;AC281)</f>
        <v xml:space="preserve">10G DC </v>
      </c>
      <c r="AE281" s="546" t="str">
        <f t="shared" si="50"/>
        <v xml:space="preserve"> 10G DC </v>
      </c>
      <c r="AF281" s="425" t="str">
        <f t="shared" si="52"/>
        <v>ns</v>
      </c>
      <c r="AG281" s="425" t="str">
        <f t="shared" si="53"/>
        <v>ns</v>
      </c>
      <c r="AH281" s="425" t="str">
        <f t="shared" si="61"/>
        <v>.</v>
      </c>
      <c r="AI281" s="425" t="str">
        <f t="shared" si="54"/>
        <v>ns</v>
      </c>
      <c r="AJ281" s="425" t="str">
        <f t="shared" si="55"/>
        <v>ns</v>
      </c>
      <c r="AK281" s="925" t="str">
        <f t="shared" si="56"/>
        <v>.</v>
      </c>
      <c r="AL281" s="405" t="str">
        <f t="shared" si="56"/>
        <v>ns</v>
      </c>
      <c r="AM281" s="912" t="str">
        <f t="shared" si="57"/>
        <v>ns</v>
      </c>
      <c r="AN281" s="405" t="str">
        <f t="shared" si="58"/>
        <v>ns</v>
      </c>
      <c r="AO281" s="405" t="str">
        <f t="shared" si="59"/>
        <v>ns</v>
      </c>
      <c r="AP281" s="405" t="str">
        <f t="shared" si="60"/>
        <v>ns</v>
      </c>
      <c r="AQ281" s="593"/>
    </row>
    <row r="282" spans="1:43">
      <c r="A282" s="537">
        <v>282</v>
      </c>
      <c r="B282" s="537" t="s">
        <v>2106</v>
      </c>
      <c r="C282" s="538">
        <v>641</v>
      </c>
      <c r="D282" s="537" t="s">
        <v>2142</v>
      </c>
      <c r="E282" s="537" t="s">
        <v>2178</v>
      </c>
      <c r="F282" s="537" t="s">
        <v>663</v>
      </c>
      <c r="G282" s="537"/>
      <c r="H282" s="537" t="s">
        <v>2106</v>
      </c>
      <c r="I282" s="537" t="s">
        <v>2171</v>
      </c>
      <c r="J282" s="545" t="s">
        <v>688</v>
      </c>
      <c r="K282" s="537"/>
      <c r="L282" s="537"/>
      <c r="M282" s="537"/>
      <c r="N282" s="537"/>
      <c r="O282" s="537"/>
      <c r="P282" s="537"/>
      <c r="Q282" s="544" t="s">
        <v>663</v>
      </c>
      <c r="R282" s="544" t="s">
        <v>663</v>
      </c>
      <c r="S282" s="544" t="s">
        <v>662</v>
      </c>
      <c r="T282" s="865" t="s">
        <v>663</v>
      </c>
      <c r="U282" s="865" t="s">
        <v>663</v>
      </c>
      <c r="V282" s="544" t="s">
        <v>662</v>
      </c>
      <c r="W282" s="544" t="s">
        <v>663</v>
      </c>
      <c r="X282" s="544" t="s">
        <v>663</v>
      </c>
      <c r="Y282" s="544" t="s">
        <v>663</v>
      </c>
      <c r="Z282" s="544" t="s">
        <v>663</v>
      </c>
      <c r="AA282" s="544" t="s">
        <v>663</v>
      </c>
      <c r="AB282" s="544" t="str">
        <f t="shared" si="51"/>
        <v>DC</v>
      </c>
      <c r="AC282" s="537"/>
      <c r="AD282" s="544" t="str" cm="1">
        <f t="array" ref="AD282">IF(SUMPRODUCT(ISNUMBER(SEARCH("y",R282:AA282))+0)=0,"",IF(AA282="y","400G",IF(Z282="y","100G",IF(X282="y","40G",IF(V282="y","10G",IF(S282="y","1G",IF(R282="y","100M",""))))))&amp;" "&amp;AB282&amp;" "&amp;AC282)</f>
        <v xml:space="preserve">10G DC </v>
      </c>
      <c r="AE282" s="546" t="str">
        <f t="shared" si="50"/>
        <v xml:space="preserve"> 10G DC </v>
      </c>
      <c r="AF282" s="425" t="str">
        <f t="shared" si="52"/>
        <v>ns</v>
      </c>
      <c r="AG282" s="425" t="str">
        <f t="shared" si="53"/>
        <v>ns</v>
      </c>
      <c r="AH282" s="425" t="str">
        <f t="shared" si="61"/>
        <v>.</v>
      </c>
      <c r="AI282" s="425" t="str">
        <f t="shared" si="54"/>
        <v>ns</v>
      </c>
      <c r="AJ282" s="425" t="str">
        <f t="shared" si="55"/>
        <v>ns</v>
      </c>
      <c r="AK282" s="925" t="str">
        <f t="shared" si="56"/>
        <v>.</v>
      </c>
      <c r="AL282" s="405" t="str">
        <f t="shared" si="56"/>
        <v>ns</v>
      </c>
      <c r="AM282" s="912" t="str">
        <f t="shared" si="57"/>
        <v>ns</v>
      </c>
      <c r="AN282" s="405" t="str">
        <f t="shared" si="58"/>
        <v>ns</v>
      </c>
      <c r="AO282" s="405" t="str">
        <f t="shared" si="59"/>
        <v>ns</v>
      </c>
      <c r="AP282" s="405" t="str">
        <f t="shared" si="60"/>
        <v>ns</v>
      </c>
      <c r="AQ282" s="593"/>
    </row>
    <row r="283" spans="1:43">
      <c r="A283" s="537">
        <v>283</v>
      </c>
      <c r="B283" s="537" t="s">
        <v>2106</v>
      </c>
      <c r="C283" s="538">
        <v>633</v>
      </c>
      <c r="D283" s="537" t="s">
        <v>2143</v>
      </c>
      <c r="E283" s="537" t="s">
        <v>2179</v>
      </c>
      <c r="F283" s="537" t="s">
        <v>663</v>
      </c>
      <c r="G283" s="537"/>
      <c r="H283" s="537" t="s">
        <v>2106</v>
      </c>
      <c r="I283" s="537" t="s">
        <v>2168</v>
      </c>
      <c r="J283" s="545" t="s">
        <v>688</v>
      </c>
      <c r="K283" s="537"/>
      <c r="L283" s="537" t="s">
        <v>2076</v>
      </c>
      <c r="M283" s="537"/>
      <c r="N283" s="537" t="s">
        <v>689</v>
      </c>
      <c r="O283" s="537" t="s">
        <v>889</v>
      </c>
      <c r="P283" s="537" t="s">
        <v>1393</v>
      </c>
      <c r="Q283" s="544" t="s">
        <v>663</v>
      </c>
      <c r="R283" s="544" t="s">
        <v>663</v>
      </c>
      <c r="S283" s="544" t="s">
        <v>662</v>
      </c>
      <c r="T283" s="865" t="s">
        <v>663</v>
      </c>
      <c r="U283" s="865" t="s">
        <v>663</v>
      </c>
      <c r="V283" s="544" t="s">
        <v>662</v>
      </c>
      <c r="W283" s="544" t="s">
        <v>663</v>
      </c>
      <c r="X283" s="544" t="s">
        <v>663</v>
      </c>
      <c r="Y283" s="544" t="s">
        <v>663</v>
      </c>
      <c r="Z283" s="544" t="s">
        <v>663</v>
      </c>
      <c r="AA283" s="544" t="s">
        <v>663</v>
      </c>
      <c r="AB283" s="544" t="str">
        <f>IF(O283="N/A","",IF(J283="DC","DC","PHY"))</f>
        <v>DC</v>
      </c>
      <c r="AC283" s="537"/>
      <c r="AD283" s="544" t="str" cm="1">
        <f t="array" ref="AD283">IF(SUMPRODUCT(ISNUMBER(SEARCH("y",R283:AA283))+0)=0,"",IF(AA283="y","400G",IF(Z283="y","100G",IF(X283="y","40G",IF(V283="y","10G",IF(S283="y","1G",IF(R283="y","100M",""))))))&amp;" "&amp;AB283&amp;" "&amp;AC283)</f>
        <v xml:space="preserve">10G DC </v>
      </c>
      <c r="AE283" s="546" t="str">
        <f>IF(K283="-","",_xlfn.CONCAT(K283," ",AD283))</f>
        <v xml:space="preserve"> 10G DC </v>
      </c>
      <c r="AF283" s="425" t="str">
        <f t="shared" si="52"/>
        <v>ns</v>
      </c>
      <c r="AG283" s="425" t="str">
        <f t="shared" si="53"/>
        <v>ns</v>
      </c>
      <c r="AH283" s="425" t="str">
        <f t="shared" si="61"/>
        <v>.</v>
      </c>
      <c r="AI283" s="425" t="str">
        <f t="shared" si="54"/>
        <v>ns</v>
      </c>
      <c r="AJ283" s="425" t="str">
        <f t="shared" si="55"/>
        <v>ns</v>
      </c>
      <c r="AK283" s="925" t="str">
        <f t="shared" si="56"/>
        <v>.</v>
      </c>
      <c r="AL283" s="405" t="str">
        <f t="shared" si="56"/>
        <v>ns</v>
      </c>
      <c r="AM283" s="912" t="str">
        <f t="shared" si="57"/>
        <v>ns</v>
      </c>
      <c r="AN283" s="405" t="str">
        <f t="shared" si="58"/>
        <v>ns</v>
      </c>
      <c r="AO283" s="405" t="str">
        <f t="shared" si="59"/>
        <v>ns</v>
      </c>
      <c r="AP283" s="405" t="str">
        <f t="shared" si="60"/>
        <v>ns</v>
      </c>
      <c r="AQ283" s="593"/>
    </row>
    <row r="284" spans="1:43">
      <c r="A284" s="537">
        <v>284</v>
      </c>
      <c r="B284" s="537" t="s">
        <v>2106</v>
      </c>
      <c r="C284" s="538"/>
      <c r="D284" s="537" t="s">
        <v>2144</v>
      </c>
      <c r="E284" s="537"/>
      <c r="F284" s="537" t="s">
        <v>663</v>
      </c>
      <c r="G284" s="537"/>
      <c r="H284" s="537"/>
      <c r="I284" s="537"/>
      <c r="J284" s="545"/>
      <c r="K284" s="537"/>
      <c r="L284" s="537"/>
      <c r="M284" s="537"/>
      <c r="N284" s="537"/>
      <c r="O284" s="537"/>
      <c r="P284" s="537"/>
      <c r="Q284" s="544" t="s">
        <v>663</v>
      </c>
      <c r="R284" s="544" t="s">
        <v>663</v>
      </c>
      <c r="S284" s="544" t="s">
        <v>662</v>
      </c>
      <c r="T284" s="865" t="s">
        <v>663</v>
      </c>
      <c r="U284" s="865" t="s">
        <v>663</v>
      </c>
      <c r="V284" s="544" t="s">
        <v>662</v>
      </c>
      <c r="W284" s="544" t="s">
        <v>663</v>
      </c>
      <c r="X284" s="544" t="s">
        <v>663</v>
      </c>
      <c r="Y284" s="544" t="s">
        <v>663</v>
      </c>
      <c r="Z284" s="544" t="s">
        <v>663</v>
      </c>
      <c r="AA284" s="544" t="s">
        <v>663</v>
      </c>
      <c r="AB284" s="544" t="str">
        <f t="shared" si="51"/>
        <v>PHY</v>
      </c>
      <c r="AC284" s="537"/>
      <c r="AD284" s="544" t="str" cm="1">
        <f t="array" ref="AD284">IF(SUMPRODUCT(ISNUMBER(SEARCH("y",R284:AA284))+0)=0,"",IF(AA284="y","400G",IF(Z284="y","100G",IF(X284="y","40G",IF(V284="y","10G",IF(S284="y","1G",IF(R284="y","100M",""))))))&amp;" "&amp;AB284&amp;" "&amp;AC284)</f>
        <v xml:space="preserve">10G PHY </v>
      </c>
      <c r="AE284" s="546" t="str">
        <f t="shared" si="50"/>
        <v xml:space="preserve"> 10G PHY </v>
      </c>
      <c r="AF284" s="425" t="str">
        <f t="shared" si="52"/>
        <v>ns</v>
      </c>
      <c r="AG284" s="425" t="str">
        <f t="shared" si="53"/>
        <v>ns</v>
      </c>
      <c r="AH284" s="425" t="str">
        <f t="shared" si="61"/>
        <v>.</v>
      </c>
      <c r="AI284" s="425" t="str">
        <f t="shared" si="54"/>
        <v>ns</v>
      </c>
      <c r="AJ284" s="425" t="str">
        <f t="shared" si="55"/>
        <v>ns</v>
      </c>
      <c r="AK284" s="925" t="str">
        <f t="shared" si="56"/>
        <v>.</v>
      </c>
      <c r="AL284" s="405" t="str">
        <f t="shared" si="56"/>
        <v>ns</v>
      </c>
      <c r="AM284" s="912" t="str">
        <f t="shared" si="57"/>
        <v>ns</v>
      </c>
      <c r="AN284" s="405" t="str">
        <f t="shared" si="58"/>
        <v>ns</v>
      </c>
      <c r="AO284" s="405" t="str">
        <f t="shared" si="59"/>
        <v>ns</v>
      </c>
      <c r="AP284" s="405" t="str">
        <f t="shared" si="60"/>
        <v>ns</v>
      </c>
      <c r="AQ284" s="593"/>
    </row>
    <row r="285" spans="1:43">
      <c r="A285" s="537">
        <v>285</v>
      </c>
      <c r="B285" s="537" t="s">
        <v>2106</v>
      </c>
      <c r="C285" s="538">
        <v>645</v>
      </c>
      <c r="D285" s="537" t="s">
        <v>2145</v>
      </c>
      <c r="E285" s="537" t="s">
        <v>2176</v>
      </c>
      <c r="F285" s="537" t="s">
        <v>663</v>
      </c>
      <c r="G285" s="537"/>
      <c r="H285" s="537" t="s">
        <v>2106</v>
      </c>
      <c r="I285" s="537" t="s">
        <v>2171</v>
      </c>
      <c r="J285" s="545" t="s">
        <v>688</v>
      </c>
      <c r="K285" s="537"/>
      <c r="L285" s="537"/>
      <c r="M285" s="537"/>
      <c r="N285" s="537" t="s">
        <v>689</v>
      </c>
      <c r="O285" s="537" t="s">
        <v>2193</v>
      </c>
      <c r="P285" s="537" t="s">
        <v>1393</v>
      </c>
      <c r="Q285" s="544" t="s">
        <v>663</v>
      </c>
      <c r="R285" s="544" t="s">
        <v>663</v>
      </c>
      <c r="S285" s="544" t="s">
        <v>662</v>
      </c>
      <c r="T285" s="865" t="s">
        <v>663</v>
      </c>
      <c r="U285" s="865" t="s">
        <v>663</v>
      </c>
      <c r="V285" s="544" t="s">
        <v>662</v>
      </c>
      <c r="W285" s="544" t="s">
        <v>663</v>
      </c>
      <c r="X285" s="544" t="s">
        <v>663</v>
      </c>
      <c r="Y285" s="544" t="s">
        <v>663</v>
      </c>
      <c r="Z285" s="544" t="s">
        <v>663</v>
      </c>
      <c r="AA285" s="544" t="s">
        <v>663</v>
      </c>
      <c r="AB285" s="544" t="str">
        <f t="shared" si="51"/>
        <v>DC</v>
      </c>
      <c r="AC285" s="537"/>
      <c r="AD285" s="544" t="str" cm="1">
        <f t="array" ref="AD285">IF(SUMPRODUCT(ISNUMBER(SEARCH("y",R285:AA285))+0)=0,"",IF(AA285="y","400G",IF(Z285="y","100G",IF(X285="y","40G",IF(V285="y","10G",IF(S285="y","1G",IF(R285="y","100M",""))))))&amp;" "&amp;AB285&amp;" "&amp;AC285)</f>
        <v xml:space="preserve">10G DC </v>
      </c>
      <c r="AE285" s="546" t="str">
        <f t="shared" si="50"/>
        <v xml:space="preserve"> 10G DC </v>
      </c>
      <c r="AF285" s="425" t="str">
        <f t="shared" si="52"/>
        <v>ns</v>
      </c>
      <c r="AG285" s="425" t="str">
        <f t="shared" si="53"/>
        <v>ns</v>
      </c>
      <c r="AH285" s="425" t="str">
        <f t="shared" si="61"/>
        <v>.</v>
      </c>
      <c r="AI285" s="425" t="str">
        <f t="shared" si="54"/>
        <v>ns</v>
      </c>
      <c r="AJ285" s="425" t="str">
        <f t="shared" si="55"/>
        <v>ns</v>
      </c>
      <c r="AK285" s="925" t="str">
        <f t="shared" si="56"/>
        <v>.</v>
      </c>
      <c r="AL285" s="405" t="str">
        <f t="shared" si="56"/>
        <v>ns</v>
      </c>
      <c r="AM285" s="912" t="str">
        <f t="shared" si="57"/>
        <v>ns</v>
      </c>
      <c r="AN285" s="405" t="str">
        <f t="shared" si="58"/>
        <v>ns</v>
      </c>
      <c r="AO285" s="405" t="str">
        <f t="shared" si="59"/>
        <v>ns</v>
      </c>
      <c r="AP285" s="405" t="str">
        <f t="shared" si="60"/>
        <v>ns</v>
      </c>
      <c r="AQ285" s="593"/>
    </row>
    <row r="286" spans="1:43">
      <c r="A286" s="537">
        <v>286</v>
      </c>
      <c r="B286" s="537" t="s">
        <v>2106</v>
      </c>
      <c r="C286" s="538">
        <v>651</v>
      </c>
      <c r="D286" s="537" t="s">
        <v>2146</v>
      </c>
      <c r="E286" s="537" t="s">
        <v>2177</v>
      </c>
      <c r="F286" s="537" t="s">
        <v>663</v>
      </c>
      <c r="G286" s="537"/>
      <c r="H286" s="537" t="s">
        <v>2106</v>
      </c>
      <c r="I286" s="537" t="s">
        <v>2172</v>
      </c>
      <c r="J286" s="545" t="s">
        <v>688</v>
      </c>
      <c r="K286" s="537"/>
      <c r="L286" s="537"/>
      <c r="M286" s="537"/>
      <c r="N286" s="537" t="s">
        <v>689</v>
      </c>
      <c r="O286" s="537" t="s">
        <v>2205</v>
      </c>
      <c r="P286" s="537" t="s">
        <v>1393</v>
      </c>
      <c r="Q286" s="544" t="s">
        <v>663</v>
      </c>
      <c r="R286" s="544" t="s">
        <v>663</v>
      </c>
      <c r="S286" s="544" t="s">
        <v>662</v>
      </c>
      <c r="T286" s="865" t="s">
        <v>663</v>
      </c>
      <c r="U286" s="865" t="s">
        <v>663</v>
      </c>
      <c r="V286" s="544" t="s">
        <v>662</v>
      </c>
      <c r="W286" s="544" t="s">
        <v>663</v>
      </c>
      <c r="X286" s="544" t="s">
        <v>663</v>
      </c>
      <c r="Y286" s="544" t="s">
        <v>663</v>
      </c>
      <c r="Z286" s="544" t="s">
        <v>663</v>
      </c>
      <c r="AA286" s="544" t="s">
        <v>663</v>
      </c>
      <c r="AB286" s="544" t="str">
        <f t="shared" si="51"/>
        <v>DC</v>
      </c>
      <c r="AC286" s="537"/>
      <c r="AD286" s="544" t="str" cm="1">
        <f t="array" ref="AD286">IF(SUMPRODUCT(ISNUMBER(SEARCH("y",R286:AA286))+0)=0,"",IF(AA286="y","400G",IF(Z286="y","100G",IF(X286="y","40G",IF(V286="y","10G",IF(S286="y","1G",IF(R286="y","100M",""))))))&amp;" "&amp;AB286&amp;" "&amp;AC286)</f>
        <v xml:space="preserve">10G DC </v>
      </c>
      <c r="AE286" s="546" t="str">
        <f t="shared" si="50"/>
        <v xml:space="preserve"> 10G DC </v>
      </c>
      <c r="AF286" s="425" t="str">
        <f t="shared" si="52"/>
        <v>ns</v>
      </c>
      <c r="AG286" s="425" t="str">
        <f t="shared" si="53"/>
        <v>ns</v>
      </c>
      <c r="AH286" s="425" t="str">
        <f t="shared" si="61"/>
        <v>.</v>
      </c>
      <c r="AI286" s="425" t="str">
        <f t="shared" si="54"/>
        <v>ns</v>
      </c>
      <c r="AJ286" s="425" t="str">
        <f t="shared" si="55"/>
        <v>ns</v>
      </c>
      <c r="AK286" s="925" t="str">
        <f t="shared" si="56"/>
        <v>.</v>
      </c>
      <c r="AL286" s="405" t="str">
        <f t="shared" si="56"/>
        <v>ns</v>
      </c>
      <c r="AM286" s="912" t="str">
        <f t="shared" si="57"/>
        <v>ns</v>
      </c>
      <c r="AN286" s="405" t="str">
        <f t="shared" si="58"/>
        <v>ns</v>
      </c>
      <c r="AO286" s="405" t="str">
        <f t="shared" si="59"/>
        <v>ns</v>
      </c>
      <c r="AP286" s="405" t="str">
        <f t="shared" si="60"/>
        <v>ns</v>
      </c>
      <c r="AQ286" s="593"/>
    </row>
    <row r="287" spans="1:43">
      <c r="A287" s="537">
        <v>287</v>
      </c>
      <c r="B287" s="537" t="s">
        <v>2106</v>
      </c>
      <c r="C287" s="538"/>
      <c r="D287" s="537" t="s">
        <v>2147</v>
      </c>
      <c r="E287" s="537"/>
      <c r="F287" s="537" t="s">
        <v>663</v>
      </c>
      <c r="G287" s="537"/>
      <c r="H287" s="537"/>
      <c r="I287" s="537"/>
      <c r="J287" s="545"/>
      <c r="K287" s="537"/>
      <c r="L287" s="537"/>
      <c r="M287" s="537"/>
      <c r="N287" s="537"/>
      <c r="O287" s="537"/>
      <c r="P287" s="537"/>
      <c r="Q287" s="544" t="s">
        <v>663</v>
      </c>
      <c r="R287" s="544" t="s">
        <v>663</v>
      </c>
      <c r="S287" s="544" t="s">
        <v>662</v>
      </c>
      <c r="T287" s="865" t="s">
        <v>663</v>
      </c>
      <c r="U287" s="865" t="s">
        <v>663</v>
      </c>
      <c r="V287" s="544" t="s">
        <v>662</v>
      </c>
      <c r="W287" s="544" t="s">
        <v>663</v>
      </c>
      <c r="X287" s="544" t="s">
        <v>663</v>
      </c>
      <c r="Y287" s="544" t="s">
        <v>663</v>
      </c>
      <c r="Z287" s="544" t="s">
        <v>663</v>
      </c>
      <c r="AA287" s="544" t="s">
        <v>663</v>
      </c>
      <c r="AB287" s="544" t="str">
        <f t="shared" si="51"/>
        <v>PHY</v>
      </c>
      <c r="AC287" s="537"/>
      <c r="AD287" s="544" t="str" cm="1">
        <f t="array" ref="AD287">IF(SUMPRODUCT(ISNUMBER(SEARCH("y",R287:AA287))+0)=0,"",IF(AA287="y","400G",IF(Z287="y","100G",IF(X287="y","40G",IF(V287="y","10G",IF(S287="y","1G",IF(R287="y","100M",""))))))&amp;" "&amp;AB287&amp;" "&amp;AC287)</f>
        <v xml:space="preserve">10G PHY </v>
      </c>
      <c r="AE287" s="546" t="str">
        <f t="shared" si="50"/>
        <v xml:space="preserve"> 10G PHY </v>
      </c>
      <c r="AF287" s="425" t="str">
        <f t="shared" si="52"/>
        <v>ns</v>
      </c>
      <c r="AG287" s="425" t="str">
        <f t="shared" si="53"/>
        <v>ns</v>
      </c>
      <c r="AH287" s="425" t="str">
        <f t="shared" si="61"/>
        <v>.</v>
      </c>
      <c r="AI287" s="425" t="str">
        <f t="shared" si="54"/>
        <v>ns</v>
      </c>
      <c r="AJ287" s="425" t="str">
        <f t="shared" si="55"/>
        <v>ns</v>
      </c>
      <c r="AK287" s="925" t="str">
        <f t="shared" si="56"/>
        <v>.</v>
      </c>
      <c r="AL287" s="405" t="str">
        <f t="shared" si="56"/>
        <v>ns</v>
      </c>
      <c r="AM287" s="912" t="str">
        <f t="shared" si="57"/>
        <v>ns</v>
      </c>
      <c r="AN287" s="405" t="str">
        <f t="shared" si="58"/>
        <v>ns</v>
      </c>
      <c r="AO287" s="405" t="str">
        <f t="shared" si="59"/>
        <v>ns</v>
      </c>
      <c r="AP287" s="405" t="str">
        <f t="shared" si="60"/>
        <v>ns</v>
      </c>
      <c r="AQ287" s="593"/>
    </row>
    <row r="288" spans="1:43">
      <c r="A288" s="537">
        <v>288</v>
      </c>
      <c r="B288" s="537" t="s">
        <v>2106</v>
      </c>
      <c r="C288" s="538">
        <v>664</v>
      </c>
      <c r="D288" s="537" t="s">
        <v>2148</v>
      </c>
      <c r="E288" s="537"/>
      <c r="F288" s="537" t="s">
        <v>663</v>
      </c>
      <c r="G288" s="537"/>
      <c r="H288" s="537"/>
      <c r="I288" s="537"/>
      <c r="J288" s="545"/>
      <c r="K288" s="537"/>
      <c r="L288" s="537" t="s">
        <v>2170</v>
      </c>
      <c r="M288" s="537"/>
      <c r="N288" s="537" t="s">
        <v>689</v>
      </c>
      <c r="O288" s="537" t="s">
        <v>2205</v>
      </c>
      <c r="P288" s="537" t="s">
        <v>1393</v>
      </c>
      <c r="Q288" s="544" t="s">
        <v>663</v>
      </c>
      <c r="R288" s="544" t="s">
        <v>663</v>
      </c>
      <c r="S288" s="544" t="s">
        <v>662</v>
      </c>
      <c r="T288" s="865" t="s">
        <v>663</v>
      </c>
      <c r="U288" s="865" t="s">
        <v>663</v>
      </c>
      <c r="V288" s="544" t="s">
        <v>662</v>
      </c>
      <c r="W288" s="544" t="s">
        <v>663</v>
      </c>
      <c r="X288" s="544" t="s">
        <v>663</v>
      </c>
      <c r="Y288" s="544" t="s">
        <v>663</v>
      </c>
      <c r="Z288" s="544" t="s">
        <v>663</v>
      </c>
      <c r="AA288" s="544" t="s">
        <v>663</v>
      </c>
      <c r="AB288" s="544" t="str">
        <f t="shared" si="51"/>
        <v>PHY</v>
      </c>
      <c r="AC288" s="537"/>
      <c r="AD288" s="544" t="str" cm="1">
        <f t="array" ref="AD288">IF(SUMPRODUCT(ISNUMBER(SEARCH("y",R288:AA288))+0)=0,"",IF(AA288="y","400G",IF(Z288="y","100G",IF(X288="y","40G",IF(V288="y","10G",IF(S288="y","1G",IF(R288="y","100M",""))))))&amp;" "&amp;AB288&amp;" "&amp;AC288)</f>
        <v xml:space="preserve">10G PHY </v>
      </c>
      <c r="AE288" s="926" t="str">
        <f t="shared" si="50"/>
        <v xml:space="preserve"> 10G PHY </v>
      </c>
      <c r="AF288" s="425" t="str">
        <f t="shared" si="52"/>
        <v>ns</v>
      </c>
      <c r="AG288" s="425" t="str">
        <f t="shared" si="53"/>
        <v>ns</v>
      </c>
      <c r="AH288" s="425" t="str">
        <f t="shared" si="61"/>
        <v>.</v>
      </c>
      <c r="AI288" s="425" t="str">
        <f t="shared" si="54"/>
        <v>ns</v>
      </c>
      <c r="AJ288" s="425" t="str">
        <f t="shared" si="55"/>
        <v>ns</v>
      </c>
      <c r="AK288" s="925" t="str">
        <f t="shared" si="56"/>
        <v>.</v>
      </c>
      <c r="AL288" s="405" t="str">
        <f t="shared" si="56"/>
        <v>ns</v>
      </c>
      <c r="AM288" s="912" t="str">
        <f t="shared" si="57"/>
        <v>ns</v>
      </c>
      <c r="AN288" s="405" t="str">
        <f t="shared" si="58"/>
        <v>ns</v>
      </c>
      <c r="AO288" s="405" t="str">
        <f t="shared" si="59"/>
        <v>ns</v>
      </c>
      <c r="AP288" s="405" t="str">
        <f t="shared" si="60"/>
        <v>ns</v>
      </c>
      <c r="AQ288" s="593"/>
    </row>
    <row r="289" spans="1:43">
      <c r="A289" s="537">
        <v>289</v>
      </c>
      <c r="B289" s="537" t="s">
        <v>2106</v>
      </c>
      <c r="C289" s="538"/>
      <c r="D289" s="537" t="s">
        <v>2149</v>
      </c>
      <c r="E289" s="537"/>
      <c r="F289" s="537" t="s">
        <v>663</v>
      </c>
      <c r="G289" s="537"/>
      <c r="H289" s="537"/>
      <c r="I289" s="537"/>
      <c r="J289" s="545"/>
      <c r="K289" s="537"/>
      <c r="L289" s="537"/>
      <c r="M289" s="537"/>
      <c r="N289" s="537"/>
      <c r="O289" s="537"/>
      <c r="P289" s="537"/>
      <c r="Q289" s="544" t="s">
        <v>663</v>
      </c>
      <c r="R289" s="544" t="s">
        <v>663</v>
      </c>
      <c r="S289" s="544" t="s">
        <v>662</v>
      </c>
      <c r="T289" s="865" t="s">
        <v>663</v>
      </c>
      <c r="U289" s="865" t="s">
        <v>663</v>
      </c>
      <c r="V289" s="544" t="s">
        <v>662</v>
      </c>
      <c r="W289" s="544" t="s">
        <v>663</v>
      </c>
      <c r="X289" s="544" t="s">
        <v>663</v>
      </c>
      <c r="Y289" s="544" t="s">
        <v>663</v>
      </c>
      <c r="Z289" s="544" t="s">
        <v>663</v>
      </c>
      <c r="AA289" s="544" t="s">
        <v>663</v>
      </c>
      <c r="AB289" s="544" t="str">
        <f t="shared" si="51"/>
        <v>PHY</v>
      </c>
      <c r="AC289" s="537"/>
      <c r="AD289" s="544" t="str" cm="1">
        <f t="array" ref="AD289">IF(SUMPRODUCT(ISNUMBER(SEARCH("y",R289:AA289))+0)=0,"",IF(AA289="y","400G",IF(Z289="y","100G",IF(X289="y","40G",IF(V289="y","10G",IF(S289="y","1G",IF(R289="y","100M",""))))))&amp;" "&amp;AB289&amp;" "&amp;AC289)</f>
        <v xml:space="preserve">10G PHY </v>
      </c>
      <c r="AE289" s="546" t="str">
        <f t="shared" si="50"/>
        <v xml:space="preserve"> 10G PHY </v>
      </c>
      <c r="AF289" s="425" t="str">
        <f t="shared" si="52"/>
        <v>ns</v>
      </c>
      <c r="AG289" s="425" t="str">
        <f t="shared" si="53"/>
        <v>ns</v>
      </c>
      <c r="AH289" s="425" t="str">
        <f t="shared" si="61"/>
        <v>.</v>
      </c>
      <c r="AI289" s="425" t="str">
        <f t="shared" si="54"/>
        <v>ns</v>
      </c>
      <c r="AJ289" s="425" t="str">
        <f t="shared" si="55"/>
        <v>ns</v>
      </c>
      <c r="AK289" s="925" t="str">
        <f t="shared" si="56"/>
        <v>.</v>
      </c>
      <c r="AL289" s="405" t="str">
        <f t="shared" si="56"/>
        <v>ns</v>
      </c>
      <c r="AM289" s="912" t="str">
        <f t="shared" si="57"/>
        <v>ns</v>
      </c>
      <c r="AN289" s="405" t="str">
        <f t="shared" si="58"/>
        <v>ns</v>
      </c>
      <c r="AO289" s="405" t="str">
        <f t="shared" si="59"/>
        <v>ns</v>
      </c>
      <c r="AP289" s="405" t="str">
        <f t="shared" si="60"/>
        <v>ns</v>
      </c>
      <c r="AQ289" s="593"/>
    </row>
    <row r="290" spans="1:43">
      <c r="A290" s="537">
        <v>290</v>
      </c>
      <c r="B290" s="537" t="s">
        <v>2194</v>
      </c>
      <c r="C290" s="538">
        <v>630</v>
      </c>
      <c r="D290" s="537" t="s">
        <v>2195</v>
      </c>
      <c r="E290" s="872" t="s">
        <v>2197</v>
      </c>
      <c r="F290" s="537" t="s">
        <v>663</v>
      </c>
      <c r="G290" s="537"/>
      <c r="H290" s="537" t="s">
        <v>2194</v>
      </c>
      <c r="I290" s="590" t="s">
        <v>1521</v>
      </c>
      <c r="J290" s="545" t="s">
        <v>2199</v>
      </c>
      <c r="K290" s="590"/>
      <c r="L290" s="250"/>
      <c r="M290" s="591"/>
      <c r="N290" s="543" t="s">
        <v>671</v>
      </c>
      <c r="O290" s="544" t="s">
        <v>969</v>
      </c>
      <c r="P290" s="537" t="s">
        <v>1259</v>
      </c>
      <c r="Q290" s="544" t="s">
        <v>663</v>
      </c>
      <c r="R290" s="544" t="s">
        <v>662</v>
      </c>
      <c r="S290" s="544" t="s">
        <v>662</v>
      </c>
      <c r="T290" s="544" t="s">
        <v>663</v>
      </c>
      <c r="U290" s="544" t="s">
        <v>663</v>
      </c>
      <c r="V290" s="544" t="s">
        <v>663</v>
      </c>
      <c r="W290" s="544" t="s">
        <v>663</v>
      </c>
      <c r="X290" s="544" t="s">
        <v>663</v>
      </c>
      <c r="Y290" s="544" t="s">
        <v>663</v>
      </c>
      <c r="Z290" s="544" t="s">
        <v>663</v>
      </c>
      <c r="AA290" s="544" t="s">
        <v>663</v>
      </c>
      <c r="AB290" s="544" t="str">
        <f t="shared" ref="AB290:AB296" si="62">IF(O290="N/A","",IF(J290="DC","DC","PHY"))</f>
        <v>PHY</v>
      </c>
      <c r="AC290" s="544" t="s">
        <v>1192</v>
      </c>
      <c r="AD290" s="544" t="str" cm="1">
        <f t="array" ref="AD290">IF(SUMPRODUCT(ISNUMBER(SEARCH("y",R290:AA290))+0)=0,"",IF(AA290="y","400G",IF(Z290="y","100G",IF(X290="y","40G",IF(V290="y","10G",IF(S290="y","1G",IF(R290="y","100M",""))))))&amp;" "&amp;AB290&amp;" "&amp;AC290)</f>
        <v>1G PHY UPLINK</v>
      </c>
      <c r="AE290" s="592" t="str">
        <f t="shared" si="50"/>
        <v xml:space="preserve"> 1G PHY UPLINK</v>
      </c>
      <c r="AF290" s="877" t="str">
        <f t="shared" si="52"/>
        <v>ns</v>
      </c>
      <c r="AG290" s="162" t="str">
        <f t="shared" si="53"/>
        <v>.</v>
      </c>
      <c r="AH290" s="162" t="str">
        <f t="shared" si="61"/>
        <v>.</v>
      </c>
      <c r="AI290" s="162" t="str">
        <f t="shared" si="54"/>
        <v>ns</v>
      </c>
      <c r="AJ290" s="162" t="str">
        <f t="shared" si="55"/>
        <v>ns</v>
      </c>
      <c r="AK290" s="875" t="str">
        <f t="shared" si="56"/>
        <v>ns</v>
      </c>
      <c r="AL290" s="405" t="str">
        <f t="shared" si="56"/>
        <v>ns</v>
      </c>
      <c r="AM290" s="912" t="str">
        <f t="shared" si="57"/>
        <v>ns</v>
      </c>
      <c r="AN290" s="405" t="str">
        <f t="shared" si="58"/>
        <v>ns</v>
      </c>
      <c r="AO290" s="405" t="str">
        <f t="shared" si="59"/>
        <v>ns</v>
      </c>
      <c r="AP290" s="405" t="str">
        <f t="shared" si="60"/>
        <v>ns</v>
      </c>
      <c r="AQ290" s="593"/>
    </row>
    <row r="291" spans="1:43">
      <c r="A291" s="537">
        <v>291</v>
      </c>
      <c r="B291" s="537" t="s">
        <v>2194</v>
      </c>
      <c r="C291" s="538">
        <v>630</v>
      </c>
      <c r="D291" s="537" t="s">
        <v>2195</v>
      </c>
      <c r="E291" s="872" t="s">
        <v>2197</v>
      </c>
      <c r="F291" s="537" t="s">
        <v>663</v>
      </c>
      <c r="G291" s="537"/>
      <c r="H291" s="537" t="s">
        <v>2194</v>
      </c>
      <c r="I291" s="590" t="s">
        <v>1521</v>
      </c>
      <c r="J291" s="545" t="s">
        <v>2200</v>
      </c>
      <c r="K291" s="590"/>
      <c r="L291" s="250"/>
      <c r="M291" s="591"/>
      <c r="N291" s="543" t="s">
        <v>689</v>
      </c>
      <c r="O291" s="544" t="s">
        <v>2201</v>
      </c>
      <c r="P291" s="537" t="s">
        <v>1393</v>
      </c>
      <c r="Q291" s="544" t="s">
        <v>663</v>
      </c>
      <c r="R291" s="544" t="s">
        <v>663</v>
      </c>
      <c r="S291" s="544" t="s">
        <v>662</v>
      </c>
      <c r="T291" s="544" t="s">
        <v>663</v>
      </c>
      <c r="U291" s="544" t="s">
        <v>663</v>
      </c>
      <c r="V291" s="544" t="s">
        <v>662</v>
      </c>
      <c r="W291" s="544" t="s">
        <v>663</v>
      </c>
      <c r="X291" s="544" t="s">
        <v>663</v>
      </c>
      <c r="Y291" s="544" t="s">
        <v>663</v>
      </c>
      <c r="Z291" s="544" t="s">
        <v>663</v>
      </c>
      <c r="AA291" s="544" t="s">
        <v>663</v>
      </c>
      <c r="AB291" s="544" t="str">
        <f t="shared" si="62"/>
        <v>PHY</v>
      </c>
      <c r="AC291" s="544" t="s">
        <v>1192</v>
      </c>
      <c r="AD291" s="544" t="str" cm="1">
        <f t="array" ref="AD291">IF(SUMPRODUCT(ISNUMBER(SEARCH("y",R291:AA291))+0)=0,"",IF(AA291="y","400G",IF(Z291="y","100G",IF(X291="y","40G",IF(V291="y","10G",IF(S291="y","1G",IF(R291="y","100M",""))))))&amp;" "&amp;AB291&amp;" "&amp;AC291)</f>
        <v>10G PHY UPLINK</v>
      </c>
      <c r="AE291" s="592" t="str">
        <f>IF(K291="-","",_xlfn.CONCAT(K291," ",AD291))</f>
        <v xml:space="preserve"> 10G PHY UPLINK</v>
      </c>
      <c r="AF291" s="877" t="str">
        <f t="shared" si="52"/>
        <v>ns</v>
      </c>
      <c r="AG291" s="162" t="str">
        <f t="shared" si="53"/>
        <v>ns</v>
      </c>
      <c r="AH291" s="162" t="str">
        <f t="shared" si="61"/>
        <v>.</v>
      </c>
      <c r="AI291" s="162" t="str">
        <f t="shared" si="54"/>
        <v>ns</v>
      </c>
      <c r="AJ291" s="162" t="str">
        <f t="shared" si="55"/>
        <v>ns</v>
      </c>
      <c r="AK291" s="875" t="str">
        <f t="shared" si="56"/>
        <v>.</v>
      </c>
      <c r="AL291" s="405" t="str">
        <f t="shared" si="56"/>
        <v>ns</v>
      </c>
      <c r="AM291" s="912" t="str">
        <f t="shared" si="57"/>
        <v>ns</v>
      </c>
      <c r="AN291" s="405" t="str">
        <f t="shared" si="58"/>
        <v>ns</v>
      </c>
      <c r="AO291" s="405" t="str">
        <f t="shared" si="59"/>
        <v>ns</v>
      </c>
      <c r="AP291" s="405" t="str">
        <f t="shared" si="60"/>
        <v>ns</v>
      </c>
      <c r="AQ291" s="593"/>
    </row>
    <row r="292" spans="1:43">
      <c r="A292" s="537">
        <v>292</v>
      </c>
      <c r="B292" s="537" t="s">
        <v>2194</v>
      </c>
      <c r="C292" s="538">
        <v>631</v>
      </c>
      <c r="D292" s="537" t="s">
        <v>2196</v>
      </c>
      <c r="E292" s="872" t="s">
        <v>2198</v>
      </c>
      <c r="F292" s="537" t="s">
        <v>663</v>
      </c>
      <c r="G292" s="537"/>
      <c r="H292" s="537" t="s">
        <v>2194</v>
      </c>
      <c r="I292" s="590" t="s">
        <v>1521</v>
      </c>
      <c r="J292" s="545" t="s">
        <v>2199</v>
      </c>
      <c r="K292" s="590" t="s">
        <v>2334</v>
      </c>
      <c r="L292" s="250" t="s">
        <v>2333</v>
      </c>
      <c r="M292" s="591" t="s">
        <v>2332</v>
      </c>
      <c r="N292" s="543" t="s">
        <v>671</v>
      </c>
      <c r="O292" s="544" t="s">
        <v>969</v>
      </c>
      <c r="P292" s="537" t="s">
        <v>1259</v>
      </c>
      <c r="Q292" s="544" t="s">
        <v>663</v>
      </c>
      <c r="R292" s="544" t="s">
        <v>662</v>
      </c>
      <c r="S292" s="544" t="s">
        <v>662</v>
      </c>
      <c r="T292" s="544" t="s">
        <v>663</v>
      </c>
      <c r="U292" s="544" t="s">
        <v>663</v>
      </c>
      <c r="V292" s="544" t="s">
        <v>663</v>
      </c>
      <c r="W292" s="544" t="s">
        <v>663</v>
      </c>
      <c r="X292" s="544" t="s">
        <v>663</v>
      </c>
      <c r="Y292" s="544" t="s">
        <v>663</v>
      </c>
      <c r="Z292" s="544" t="s">
        <v>663</v>
      </c>
      <c r="AA292" s="544" t="s">
        <v>663</v>
      </c>
      <c r="AB292" s="544" t="str">
        <f t="shared" si="62"/>
        <v>PHY</v>
      </c>
      <c r="AC292" s="544" t="s">
        <v>1192</v>
      </c>
      <c r="AD292" s="544" t="str" cm="1">
        <f t="array" ref="AD292">IF(SUMPRODUCT(ISNUMBER(SEARCH("y",R292:AA292))+0)=0,"",IF(AA292="y","400G",IF(Z292="y","100G",IF(X292="y","40G",IF(V292="y","10G",IF(S292="y","1G",IF(R292="y","100M",""))))))&amp;" "&amp;AB292&amp;" "&amp;AC292)</f>
        <v>1G PHY UPLINK</v>
      </c>
      <c r="AE292" s="592" t="str">
        <f t="shared" si="50"/>
        <v>IE360-12GTX 1G PHY UPLINK</v>
      </c>
      <c r="AF292" s="877" t="str">
        <f t="shared" si="52"/>
        <v>ns</v>
      </c>
      <c r="AG292" s="162" t="str">
        <f t="shared" si="53"/>
        <v>.</v>
      </c>
      <c r="AH292" s="162" t="str">
        <f t="shared" si="61"/>
        <v>.</v>
      </c>
      <c r="AI292" s="162" t="str">
        <f t="shared" si="54"/>
        <v>ns</v>
      </c>
      <c r="AJ292" s="162" t="str">
        <f t="shared" si="55"/>
        <v>ns</v>
      </c>
      <c r="AK292" s="875" t="str">
        <f t="shared" si="56"/>
        <v>ns</v>
      </c>
      <c r="AL292" s="405" t="str">
        <f t="shared" si="56"/>
        <v>ns</v>
      </c>
      <c r="AM292" s="912" t="str">
        <f t="shared" si="57"/>
        <v>ns</v>
      </c>
      <c r="AN292" s="405" t="str">
        <f t="shared" si="58"/>
        <v>ns</v>
      </c>
      <c r="AO292" s="405" t="str">
        <f t="shared" si="59"/>
        <v>ns</v>
      </c>
      <c r="AP292" s="405" t="str">
        <f t="shared" si="60"/>
        <v>ns</v>
      </c>
      <c r="AQ292" s="593"/>
    </row>
    <row r="293" spans="1:43">
      <c r="A293" s="537">
        <v>293</v>
      </c>
      <c r="B293" s="537" t="s">
        <v>2194</v>
      </c>
      <c r="C293" s="538">
        <v>631</v>
      </c>
      <c r="D293" s="537" t="s">
        <v>2196</v>
      </c>
      <c r="E293" s="872" t="s">
        <v>2198</v>
      </c>
      <c r="F293" s="537" t="s">
        <v>663</v>
      </c>
      <c r="G293" s="537"/>
      <c r="H293" s="537" t="s">
        <v>2194</v>
      </c>
      <c r="I293" s="590" t="s">
        <v>1521</v>
      </c>
      <c r="J293" s="545" t="s">
        <v>2200</v>
      </c>
      <c r="K293" s="590" t="s">
        <v>2334</v>
      </c>
      <c r="L293" s="250" t="s">
        <v>2333</v>
      </c>
      <c r="M293" s="591" t="s">
        <v>2332</v>
      </c>
      <c r="N293" s="543" t="s">
        <v>689</v>
      </c>
      <c r="O293" s="544" t="s">
        <v>2201</v>
      </c>
      <c r="P293" s="537" t="s">
        <v>1393</v>
      </c>
      <c r="Q293" s="544" t="s">
        <v>663</v>
      </c>
      <c r="R293" s="544" t="s">
        <v>663</v>
      </c>
      <c r="S293" s="544" t="s">
        <v>662</v>
      </c>
      <c r="T293" s="544" t="s">
        <v>663</v>
      </c>
      <c r="U293" s="544" t="s">
        <v>663</v>
      </c>
      <c r="V293" s="544" t="s">
        <v>662</v>
      </c>
      <c r="W293" s="544" t="s">
        <v>663</v>
      </c>
      <c r="X293" s="544" t="s">
        <v>663</v>
      </c>
      <c r="Y293" s="544" t="s">
        <v>663</v>
      </c>
      <c r="Z293" s="544" t="s">
        <v>663</v>
      </c>
      <c r="AA293" s="544" t="s">
        <v>663</v>
      </c>
      <c r="AB293" s="544" t="str">
        <f t="shared" si="62"/>
        <v>PHY</v>
      </c>
      <c r="AC293" s="544" t="s">
        <v>1192</v>
      </c>
      <c r="AD293" s="544" t="str" cm="1">
        <f t="array" ref="AD293">IF(SUMPRODUCT(ISNUMBER(SEARCH("y",R293:AA293))+0)=0,"",IF(AA293="y","400G",IF(Z293="y","100G",IF(X293="y","40G",IF(V293="y","10G",IF(S293="y","1G",IF(R293="y","100M",""))))))&amp;" "&amp;AB293&amp;" "&amp;AC293)</f>
        <v>10G PHY UPLINK</v>
      </c>
      <c r="AE293" s="592" t="str">
        <f t="shared" ref="AE293:AE300" si="63">IF(K293="-","",_xlfn.CONCAT(K293," ",AD293))</f>
        <v>IE360-12GTX 10G PHY UPLINK</v>
      </c>
      <c r="AF293" s="877" t="str">
        <f t="shared" si="52"/>
        <v>ns</v>
      </c>
      <c r="AG293" s="162" t="str">
        <f t="shared" si="53"/>
        <v>ns</v>
      </c>
      <c r="AH293" s="162" t="str">
        <f t="shared" si="61"/>
        <v>.</v>
      </c>
      <c r="AI293" s="162" t="str">
        <f t="shared" si="54"/>
        <v>ns</v>
      </c>
      <c r="AJ293" s="162" t="str">
        <f t="shared" si="55"/>
        <v>ns</v>
      </c>
      <c r="AK293" s="875" t="str">
        <f t="shared" si="56"/>
        <v>.</v>
      </c>
      <c r="AL293" s="405" t="str">
        <f t="shared" si="56"/>
        <v>ns</v>
      </c>
      <c r="AM293" s="912" t="str">
        <f t="shared" si="57"/>
        <v>ns</v>
      </c>
      <c r="AN293" s="405" t="str">
        <f t="shared" si="58"/>
        <v>ns</v>
      </c>
      <c r="AO293" s="405" t="str">
        <f t="shared" si="59"/>
        <v>ns</v>
      </c>
      <c r="AP293" s="405" t="str">
        <f t="shared" si="60"/>
        <v>ns</v>
      </c>
      <c r="AQ293" s="593"/>
    </row>
    <row r="294" spans="1:43">
      <c r="A294" s="537">
        <v>294</v>
      </c>
      <c r="B294" s="537" t="s">
        <v>2266</v>
      </c>
      <c r="C294" s="538">
        <v>654</v>
      </c>
      <c r="D294" s="537" t="s">
        <v>2288</v>
      </c>
      <c r="E294" s="872" t="s">
        <v>2291</v>
      </c>
      <c r="F294" s="537" t="s">
        <v>663</v>
      </c>
      <c r="G294" s="537"/>
      <c r="H294" s="537" t="s">
        <v>2266</v>
      </c>
      <c r="I294" s="590" t="s">
        <v>1521</v>
      </c>
      <c r="J294" s="545" t="s">
        <v>877</v>
      </c>
      <c r="K294" s="590" t="s">
        <v>2449</v>
      </c>
      <c r="L294" s="250" t="s">
        <v>2333</v>
      </c>
      <c r="M294" s="591" t="s">
        <v>2448</v>
      </c>
      <c r="N294" s="543" t="s">
        <v>671</v>
      </c>
      <c r="O294" s="544" t="s">
        <v>2289</v>
      </c>
      <c r="P294" s="537" t="s">
        <v>1259</v>
      </c>
      <c r="Q294" s="544" t="s">
        <v>663</v>
      </c>
      <c r="R294" s="544" t="s">
        <v>662</v>
      </c>
      <c r="S294" s="544" t="s">
        <v>662</v>
      </c>
      <c r="T294" s="544" t="s">
        <v>663</v>
      </c>
      <c r="U294" s="544" t="s">
        <v>663</v>
      </c>
      <c r="V294" s="544" t="s">
        <v>663</v>
      </c>
      <c r="W294" s="544" t="s">
        <v>663</v>
      </c>
      <c r="X294" s="544" t="s">
        <v>663</v>
      </c>
      <c r="Y294" s="544" t="s">
        <v>663</v>
      </c>
      <c r="Z294" s="544" t="s">
        <v>663</v>
      </c>
      <c r="AA294" s="544" t="s">
        <v>663</v>
      </c>
      <c r="AB294" s="544" t="str">
        <f t="shared" si="62"/>
        <v>PHY</v>
      </c>
      <c r="AC294" s="544" t="s">
        <v>1192</v>
      </c>
      <c r="AD294" s="544" t="str" cm="1">
        <f t="array" ref="AD294">IF(SUMPRODUCT(ISNUMBER(SEARCH("y",R294:AA294))+0)=0,"",IF(AA294="y","400G",IF(Z294="y","100G",IF(X294="y","40G",IF(V294="y","10G",IF(S294="y","1G",IF(R294="y","100M",""))))))&amp;" "&amp;AB294&amp;" "&amp;AC294)</f>
        <v>1G PHY UPLINK</v>
      </c>
      <c r="AE294" s="592" t="str">
        <f t="shared" si="63"/>
        <v>IE560-12GSX 1G PHY UPLINK</v>
      </c>
      <c r="AF294" s="877" t="str">
        <f t="shared" ref="AF294:AP296" si="64">IF(Q294="n","ns",".")</f>
        <v>ns</v>
      </c>
      <c r="AG294" s="162" t="str">
        <f t="shared" si="64"/>
        <v>.</v>
      </c>
      <c r="AH294" s="162" t="str">
        <f t="shared" si="64"/>
        <v>.</v>
      </c>
      <c r="AI294" s="162" t="str">
        <f t="shared" si="64"/>
        <v>ns</v>
      </c>
      <c r="AJ294" s="162" t="str">
        <f t="shared" si="64"/>
        <v>ns</v>
      </c>
      <c r="AK294" s="875" t="str">
        <f t="shared" si="64"/>
        <v>ns</v>
      </c>
      <c r="AL294" s="405" t="str">
        <f t="shared" si="64"/>
        <v>ns</v>
      </c>
      <c r="AM294" s="912" t="str">
        <f t="shared" si="64"/>
        <v>ns</v>
      </c>
      <c r="AN294" s="405" t="str">
        <f t="shared" si="64"/>
        <v>ns</v>
      </c>
      <c r="AO294" s="405" t="str">
        <f t="shared" si="64"/>
        <v>ns</v>
      </c>
      <c r="AP294" s="405" t="str">
        <f t="shared" si="64"/>
        <v>ns</v>
      </c>
      <c r="AQ294" s="593"/>
    </row>
    <row r="295" spans="1:43">
      <c r="A295" s="537">
        <v>295</v>
      </c>
      <c r="B295" s="537" t="s">
        <v>2266</v>
      </c>
      <c r="C295" s="538">
        <v>654</v>
      </c>
      <c r="D295" s="537" t="s">
        <v>2288</v>
      </c>
      <c r="E295" s="872" t="s">
        <v>2291</v>
      </c>
      <c r="F295" s="537" t="s">
        <v>663</v>
      </c>
      <c r="G295" s="537"/>
      <c r="H295" s="537" t="s">
        <v>2266</v>
      </c>
      <c r="I295" s="590" t="s">
        <v>1521</v>
      </c>
      <c r="J295" s="545" t="s">
        <v>877</v>
      </c>
      <c r="K295" s="590" t="s">
        <v>2449</v>
      </c>
      <c r="L295" s="250" t="s">
        <v>2333</v>
      </c>
      <c r="M295" s="591" t="s">
        <v>2448</v>
      </c>
      <c r="N295" s="543" t="s">
        <v>689</v>
      </c>
      <c r="O295" s="544" t="s">
        <v>2290</v>
      </c>
      <c r="P295" s="537" t="s">
        <v>1393</v>
      </c>
      <c r="Q295" s="544" t="s">
        <v>663</v>
      </c>
      <c r="R295" s="544" t="s">
        <v>663</v>
      </c>
      <c r="S295" s="544" t="s">
        <v>662</v>
      </c>
      <c r="T295" s="544" t="s">
        <v>663</v>
      </c>
      <c r="U295" s="544" t="s">
        <v>663</v>
      </c>
      <c r="V295" s="544" t="s">
        <v>662</v>
      </c>
      <c r="W295" s="544" t="s">
        <v>663</v>
      </c>
      <c r="X295" s="544" t="s">
        <v>663</v>
      </c>
      <c r="Y295" s="544" t="s">
        <v>663</v>
      </c>
      <c r="Z295" s="544" t="s">
        <v>663</v>
      </c>
      <c r="AA295" s="544" t="s">
        <v>663</v>
      </c>
      <c r="AB295" s="544" t="str">
        <f t="shared" si="62"/>
        <v>PHY</v>
      </c>
      <c r="AC295" s="544" t="s">
        <v>1192</v>
      </c>
      <c r="AD295" s="544" t="str" cm="1">
        <f t="array" ref="AD295">IF(SUMPRODUCT(ISNUMBER(SEARCH("y",R295:AA295))+0)=0,"",IF(AA295="y","400G",IF(Z295="y","100G",IF(X295="y","40G",IF(V295="y","10G",IF(S295="y","1G",IF(R295="y","100M",""))))))&amp;" "&amp;AB295&amp;" "&amp;AC295)</f>
        <v>10G PHY UPLINK</v>
      </c>
      <c r="AE295" s="592" t="str">
        <f t="shared" si="63"/>
        <v>IE560-12GSX 10G PHY UPLINK</v>
      </c>
      <c r="AF295" s="877" t="str">
        <f t="shared" si="64"/>
        <v>ns</v>
      </c>
      <c r="AG295" s="162" t="str">
        <f t="shared" si="64"/>
        <v>ns</v>
      </c>
      <c r="AH295" s="162" t="str">
        <f t="shared" si="64"/>
        <v>.</v>
      </c>
      <c r="AI295" s="162" t="str">
        <f t="shared" si="64"/>
        <v>ns</v>
      </c>
      <c r="AJ295" s="162" t="str">
        <f t="shared" si="64"/>
        <v>ns</v>
      </c>
      <c r="AK295" s="875" t="str">
        <f t="shared" si="64"/>
        <v>.</v>
      </c>
      <c r="AL295" s="405" t="str">
        <f t="shared" si="64"/>
        <v>ns</v>
      </c>
      <c r="AM295" s="912" t="str">
        <f t="shared" si="64"/>
        <v>ns</v>
      </c>
      <c r="AN295" s="405" t="str">
        <f t="shared" si="64"/>
        <v>ns</v>
      </c>
      <c r="AO295" s="405" t="str">
        <f t="shared" si="64"/>
        <v>ns</v>
      </c>
      <c r="AP295" s="405" t="str">
        <f t="shared" si="64"/>
        <v>ns</v>
      </c>
      <c r="AQ295" s="593"/>
    </row>
    <row r="296" spans="1:43">
      <c r="A296" s="537">
        <v>296</v>
      </c>
      <c r="B296" s="537" t="s">
        <v>2298</v>
      </c>
      <c r="C296" s="564">
        <v>612</v>
      </c>
      <c r="D296" s="537" t="s">
        <v>2301</v>
      </c>
      <c r="E296" s="537" t="s">
        <v>2535</v>
      </c>
      <c r="F296" s="537" t="s">
        <v>663</v>
      </c>
      <c r="G296" s="537" t="s">
        <v>661</v>
      </c>
      <c r="H296" s="537" t="s">
        <v>2300</v>
      </c>
      <c r="I296" t="s">
        <v>2532</v>
      </c>
      <c r="J296" s="541" t="s">
        <v>159</v>
      </c>
      <c r="K296" s="540" t="s">
        <v>2301</v>
      </c>
      <c r="L296" s="537" t="s">
        <v>734</v>
      </c>
      <c r="M296" s="591" t="s">
        <v>2525</v>
      </c>
      <c r="N296" s="543" t="s">
        <v>159</v>
      </c>
      <c r="O296" s="537" t="s">
        <v>159</v>
      </c>
      <c r="P296" s="537" t="s">
        <v>197</v>
      </c>
      <c r="Q296" s="544" t="s">
        <v>663</v>
      </c>
      <c r="R296" s="544" t="s">
        <v>663</v>
      </c>
      <c r="S296" s="544" t="s">
        <v>663</v>
      </c>
      <c r="T296" s="544" t="s">
        <v>663</v>
      </c>
      <c r="U296" s="544" t="s">
        <v>663</v>
      </c>
      <c r="V296" s="544" t="s">
        <v>663</v>
      </c>
      <c r="W296" s="544" t="s">
        <v>663</v>
      </c>
      <c r="X296" s="544" t="s">
        <v>663</v>
      </c>
      <c r="Y296" s="544" t="s">
        <v>663</v>
      </c>
      <c r="Z296" s="544" t="s">
        <v>663</v>
      </c>
      <c r="AA296" s="544" t="s">
        <v>663</v>
      </c>
      <c r="AB296" s="544" t="str">
        <f t="shared" si="62"/>
        <v/>
      </c>
      <c r="AC296" s="544"/>
      <c r="AD296" s="544" t="str" cm="1">
        <f t="array" ref="AD296">IF(SUMPRODUCT(ISNUMBER(SEARCH("y",R296:AA296))+0)=0,"",IF(AA296="y","400G",IF(Z296="y","100G",IF(X296="y","40G",IF(V296="y","10G",IF(S296="y","1G",IF(R296="y","100M",""))))))&amp;" "&amp;AB296&amp;" "&amp;AC296)</f>
        <v/>
      </c>
      <c r="AE296" s="546" t="str">
        <f t="shared" si="63"/>
        <v xml:space="preserve">AT-SBx908 GEN3 </v>
      </c>
      <c r="AF296" s="162" t="str">
        <f t="shared" si="64"/>
        <v>ns</v>
      </c>
      <c r="AG296" s="162" t="str">
        <f t="shared" si="64"/>
        <v>ns</v>
      </c>
      <c r="AH296" s="162" t="str">
        <f t="shared" si="64"/>
        <v>ns</v>
      </c>
      <c r="AI296" s="162" t="str">
        <f t="shared" si="64"/>
        <v>ns</v>
      </c>
      <c r="AJ296" s="162" t="str">
        <f t="shared" si="64"/>
        <v>ns</v>
      </c>
      <c r="AK296" s="162" t="str">
        <f t="shared" si="64"/>
        <v>ns</v>
      </c>
      <c r="AL296" s="162" t="str">
        <f t="shared" si="64"/>
        <v>ns</v>
      </c>
      <c r="AM296" s="162" t="str">
        <f t="shared" si="64"/>
        <v>ns</v>
      </c>
      <c r="AN296" s="162" t="str">
        <f t="shared" si="64"/>
        <v>ns</v>
      </c>
      <c r="AO296" s="162" t="str">
        <f t="shared" si="64"/>
        <v>ns</v>
      </c>
      <c r="AP296" s="405" t="str">
        <f t="shared" si="64"/>
        <v>ns</v>
      </c>
      <c r="AQ296" s="593" t="s">
        <v>2302</v>
      </c>
    </row>
    <row r="297" spans="1:43">
      <c r="A297" s="537">
        <v>297</v>
      </c>
      <c r="B297" s="537" t="s">
        <v>2298</v>
      </c>
      <c r="C297" s="537">
        <v>617</v>
      </c>
      <c r="D297" s="537" t="s">
        <v>2299</v>
      </c>
      <c r="E297" s="537" t="s">
        <v>2311</v>
      </c>
      <c r="F297" s="537" t="s">
        <v>663</v>
      </c>
      <c r="G297" s="537" t="s">
        <v>661</v>
      </c>
      <c r="H297" s="537" t="s">
        <v>2300</v>
      </c>
      <c r="I297" s="590" t="s">
        <v>197</v>
      </c>
      <c r="J297" s="541" t="s">
        <v>2458</v>
      </c>
      <c r="K297" s="590" t="s">
        <v>2299</v>
      </c>
      <c r="L297" s="537" t="s">
        <v>734</v>
      </c>
      <c r="M297" s="591" t="s">
        <v>2527</v>
      </c>
      <c r="N297" s="537" t="s">
        <v>2365</v>
      </c>
      <c r="O297" s="537" t="s">
        <v>2303</v>
      </c>
      <c r="P297" s="537" t="s">
        <v>2366</v>
      </c>
      <c r="Q297" s="544" t="s">
        <v>663</v>
      </c>
      <c r="R297" s="544" t="s">
        <v>663</v>
      </c>
      <c r="S297" s="544" t="s">
        <v>663</v>
      </c>
      <c r="T297" s="544" t="s">
        <v>663</v>
      </c>
      <c r="U297" s="544" t="s">
        <v>663</v>
      </c>
      <c r="V297" s="544" t="s">
        <v>663</v>
      </c>
      <c r="W297" s="544" t="s">
        <v>663</v>
      </c>
      <c r="X297" s="544" t="s">
        <v>662</v>
      </c>
      <c r="Y297" s="544" t="s">
        <v>663</v>
      </c>
      <c r="Z297" s="544" t="s">
        <v>662</v>
      </c>
      <c r="AA297" s="544" t="s">
        <v>663</v>
      </c>
      <c r="AB297" s="544" t="str">
        <f t="shared" ref="AB297:AB304" si="65">IF(O297="N/A","",IF(J297="DC","DC","PHY"))</f>
        <v>PHY</v>
      </c>
      <c r="AC297" s="537" t="s">
        <v>1279</v>
      </c>
      <c r="AD297" s="544" t="str" cm="1">
        <f t="array" ref="AD297">IF(SUMPRODUCT(ISNUMBER(SEARCH("y",R297:AA297))+0)=0,"",IF(AA297="y","400G",IF(Z297="y","100G",IF(X297="y","40G",IF(V297="y","10G",IF(S297="y","1G",IF(R297="y","100M",""))))))&amp;" "&amp;AB297&amp;" "&amp;AC297)</f>
        <v>100G PHY QSFP28</v>
      </c>
      <c r="AE297" s="546" t="str">
        <f t="shared" si="63"/>
        <v>AT-XEM3-8CQ 100G PHY QSFP28</v>
      </c>
      <c r="AF297" s="877" t="str">
        <f t="shared" ref="AF297:AP297" si="66">IF(Q297="n","ns",".")</f>
        <v>ns</v>
      </c>
      <c r="AG297" s="877" t="str">
        <f t="shared" si="66"/>
        <v>ns</v>
      </c>
      <c r="AH297" s="877" t="str">
        <f t="shared" si="66"/>
        <v>ns</v>
      </c>
      <c r="AI297" s="877" t="str">
        <f t="shared" si="66"/>
        <v>ns</v>
      </c>
      <c r="AJ297" s="877" t="str">
        <f t="shared" si="66"/>
        <v>ns</v>
      </c>
      <c r="AK297" s="877" t="str">
        <f t="shared" si="66"/>
        <v>ns</v>
      </c>
      <c r="AL297" s="877" t="str">
        <f t="shared" si="66"/>
        <v>ns</v>
      </c>
      <c r="AM297" s="877" t="str">
        <f t="shared" si="66"/>
        <v>.</v>
      </c>
      <c r="AN297" s="877" t="str">
        <f t="shared" si="66"/>
        <v>ns</v>
      </c>
      <c r="AO297" s="877" t="str">
        <f t="shared" si="66"/>
        <v>.</v>
      </c>
      <c r="AP297" s="877" t="str">
        <f t="shared" si="66"/>
        <v>ns</v>
      </c>
      <c r="AQ297" s="593" t="s">
        <v>2302</v>
      </c>
    </row>
    <row r="298" spans="1:43">
      <c r="A298" s="537">
        <v>298</v>
      </c>
      <c r="B298" s="537" t="s">
        <v>2298</v>
      </c>
      <c r="C298" s="537">
        <v>616</v>
      </c>
      <c r="D298" s="537" t="s">
        <v>2305</v>
      </c>
      <c r="E298" s="537" t="s">
        <v>2310</v>
      </c>
      <c r="F298" s="537" t="s">
        <v>663</v>
      </c>
      <c r="G298" s="537" t="s">
        <v>661</v>
      </c>
      <c r="H298" s="537" t="s">
        <v>2300</v>
      </c>
      <c r="I298" s="590" t="s">
        <v>197</v>
      </c>
      <c r="J298" s="541" t="s">
        <v>2533</v>
      </c>
      <c r="K298" s="590" t="s">
        <v>2305</v>
      </c>
      <c r="L298" s="537" t="s">
        <v>734</v>
      </c>
      <c r="M298" s="591" t="s">
        <v>2529</v>
      </c>
      <c r="N298" s="537" t="s">
        <v>2309</v>
      </c>
      <c r="O298" s="544" t="s">
        <v>780</v>
      </c>
      <c r="P298" s="537" t="s">
        <v>2309</v>
      </c>
      <c r="Q298" s="544" t="s">
        <v>663</v>
      </c>
      <c r="R298" s="544" t="s">
        <v>663</v>
      </c>
      <c r="S298" s="544" t="s">
        <v>662</v>
      </c>
      <c r="T298" s="544" t="s">
        <v>663</v>
      </c>
      <c r="U298" s="544" t="s">
        <v>663</v>
      </c>
      <c r="V298" s="544" t="s">
        <v>662</v>
      </c>
      <c r="W298" s="544" t="s">
        <v>662</v>
      </c>
      <c r="X298" s="544" t="s">
        <v>663</v>
      </c>
      <c r="Y298" s="544" t="s">
        <v>663</v>
      </c>
      <c r="Z298" s="544" t="s">
        <v>663</v>
      </c>
      <c r="AA298" s="544" t="s">
        <v>663</v>
      </c>
      <c r="AB298" s="544" t="str">
        <f t="shared" si="65"/>
        <v>PHY</v>
      </c>
      <c r="AC298" s="544" t="s">
        <v>1247</v>
      </c>
      <c r="AD298" s="544" t="str" cm="1">
        <f t="array" ref="AD298">IF(SUMPRODUCT(ISNUMBER(SEARCH("y",R298:AA298))+0)=0,"",IF(AA298="y","400G",IF(Z298="y","100G",IF(X298="y","40G",IF(V298="y","10G",IF(S298="y","1G",IF(R298="y","100M",""))))))&amp;" "&amp;AB298&amp;" "&amp;AC298)</f>
        <v>10G PHY SFP+</v>
      </c>
      <c r="AE298" s="546" t="str">
        <f t="shared" si="63"/>
        <v>AT-XEM3-12YS 10G PHY SFP+</v>
      </c>
      <c r="AF298" s="877" t="str">
        <f t="shared" ref="AF298:AP300" si="67">IF(Q298="n","ns",".")</f>
        <v>ns</v>
      </c>
      <c r="AG298" s="877" t="str">
        <f t="shared" si="67"/>
        <v>ns</v>
      </c>
      <c r="AH298" s="877" t="str">
        <f t="shared" si="67"/>
        <v>.</v>
      </c>
      <c r="AI298" s="877" t="str">
        <f t="shared" si="67"/>
        <v>ns</v>
      </c>
      <c r="AJ298" s="877" t="str">
        <f t="shared" si="67"/>
        <v>ns</v>
      </c>
      <c r="AK298" s="877" t="str">
        <f t="shared" si="67"/>
        <v>.</v>
      </c>
      <c r="AL298" s="877" t="str">
        <f t="shared" si="67"/>
        <v>.</v>
      </c>
      <c r="AM298" s="877" t="str">
        <f t="shared" si="67"/>
        <v>ns</v>
      </c>
      <c r="AN298" s="877" t="str">
        <f t="shared" si="67"/>
        <v>ns</v>
      </c>
      <c r="AO298" s="877" t="str">
        <f t="shared" si="67"/>
        <v>ns</v>
      </c>
      <c r="AP298" s="877" t="str">
        <f t="shared" si="67"/>
        <v>ns</v>
      </c>
      <c r="AQ298" s="593" t="s">
        <v>2302</v>
      </c>
    </row>
    <row r="299" spans="1:43">
      <c r="A299" s="537">
        <v>299</v>
      </c>
      <c r="B299" s="537" t="s">
        <v>2298</v>
      </c>
      <c r="C299" s="537">
        <v>618</v>
      </c>
      <c r="D299" s="537" t="s">
        <v>2306</v>
      </c>
      <c r="E299" s="537" t="s">
        <v>2312</v>
      </c>
      <c r="F299" s="537" t="s">
        <v>663</v>
      </c>
      <c r="G299" s="537" t="s">
        <v>661</v>
      </c>
      <c r="H299" s="537" t="s">
        <v>2300</v>
      </c>
      <c r="I299" s="590" t="s">
        <v>197</v>
      </c>
      <c r="J299" s="590" t="s">
        <v>2534</v>
      </c>
      <c r="K299" s="590" t="s">
        <v>2306</v>
      </c>
      <c r="L299" s="537" t="s">
        <v>859</v>
      </c>
      <c r="M299" s="591" t="s">
        <v>2528</v>
      </c>
      <c r="N299" s="537" t="s">
        <v>2308</v>
      </c>
      <c r="O299" s="537" t="s">
        <v>2367</v>
      </c>
      <c r="P299" s="537" t="s">
        <v>2308</v>
      </c>
      <c r="Q299" s="544" t="s">
        <v>663</v>
      </c>
      <c r="R299" s="544" t="s">
        <v>663</v>
      </c>
      <c r="S299" s="544" t="s">
        <v>663</v>
      </c>
      <c r="T299" s="544" t="s">
        <v>663</v>
      </c>
      <c r="U299" s="544" t="s">
        <v>663</v>
      </c>
      <c r="V299" s="544" t="s">
        <v>663</v>
      </c>
      <c r="W299" s="544" t="s">
        <v>663</v>
      </c>
      <c r="X299" s="544" t="s">
        <v>663</v>
      </c>
      <c r="Y299" s="544" t="s">
        <v>663</v>
      </c>
      <c r="Z299" s="544" t="s">
        <v>662</v>
      </c>
      <c r="AA299" s="544" t="s">
        <v>662</v>
      </c>
      <c r="AB299" s="544" t="str">
        <f t="shared" si="65"/>
        <v>PHY</v>
      </c>
      <c r="AC299" s="544" t="s">
        <v>2314</v>
      </c>
      <c r="AD299" s="544" t="str" cm="1">
        <f t="array" ref="AD299">IF(SUMPRODUCT(ISNUMBER(SEARCH("y",R299:AA299))+0)=0,"",IF(AA299="y","400G",IF(Z299="y","100G",IF(X299="y","40G",IF(V299="y","10G",IF(S299="y","1G",IF(R299="y","100M",""))))))&amp;" "&amp;AB299&amp;" "&amp;AC299)</f>
        <v>400G PHY QSFDD</v>
      </c>
      <c r="AE299" s="546" t="str">
        <f t="shared" si="63"/>
        <v>AT-XEM3-2DQ 400G PHY QSFDD</v>
      </c>
      <c r="AF299" s="877" t="str">
        <f t="shared" si="67"/>
        <v>ns</v>
      </c>
      <c r="AG299" s="877" t="str">
        <f t="shared" si="67"/>
        <v>ns</v>
      </c>
      <c r="AH299" s="877" t="str">
        <f t="shared" si="67"/>
        <v>ns</v>
      </c>
      <c r="AI299" s="877" t="str">
        <f t="shared" si="67"/>
        <v>ns</v>
      </c>
      <c r="AJ299" s="877" t="str">
        <f t="shared" si="67"/>
        <v>ns</v>
      </c>
      <c r="AK299" s="877" t="str">
        <f t="shared" si="67"/>
        <v>ns</v>
      </c>
      <c r="AL299" s="877" t="str">
        <f t="shared" si="67"/>
        <v>ns</v>
      </c>
      <c r="AM299" s="877" t="str">
        <f t="shared" si="67"/>
        <v>ns</v>
      </c>
      <c r="AN299" s="877" t="str">
        <f t="shared" si="67"/>
        <v>ns</v>
      </c>
      <c r="AO299" s="877" t="str">
        <f t="shared" si="67"/>
        <v>.</v>
      </c>
      <c r="AP299" s="877" t="str">
        <f t="shared" si="67"/>
        <v>.</v>
      </c>
      <c r="AQ299" s="593" t="s">
        <v>2302</v>
      </c>
    </row>
    <row r="300" spans="1:43">
      <c r="A300" s="537">
        <v>300</v>
      </c>
      <c r="B300" s="537" t="s">
        <v>2265</v>
      </c>
      <c r="C300" s="537">
        <v>680</v>
      </c>
      <c r="D300" s="537" t="s">
        <v>2455</v>
      </c>
      <c r="E300" s="537" t="s">
        <v>2456</v>
      </c>
      <c r="F300" s="537" t="s">
        <v>663</v>
      </c>
      <c r="G300" s="556" t="s">
        <v>2315</v>
      </c>
      <c r="H300" s="537" t="s">
        <v>2265</v>
      </c>
      <c r="I300" s="540" t="s">
        <v>2457</v>
      </c>
      <c r="J300" s="541" t="s">
        <v>688</v>
      </c>
      <c r="K300" s="590" t="s">
        <v>2455</v>
      </c>
      <c r="L300" s="537" t="s">
        <v>734</v>
      </c>
      <c r="M300" s="591" t="s">
        <v>2546</v>
      </c>
      <c r="N300" s="537" t="s">
        <v>2509</v>
      </c>
      <c r="O300" s="537" t="s">
        <v>899</v>
      </c>
      <c r="P300" s="537" t="s">
        <v>2510</v>
      </c>
      <c r="Q300" s="544" t="s">
        <v>663</v>
      </c>
      <c r="R300" s="544" t="s">
        <v>663</v>
      </c>
      <c r="S300" s="544" t="s">
        <v>662</v>
      </c>
      <c r="T300" s="544" t="s">
        <v>663</v>
      </c>
      <c r="U300" s="544" t="s">
        <v>663</v>
      </c>
      <c r="V300" s="544" t="s">
        <v>662</v>
      </c>
      <c r="W300" s="544" t="s">
        <v>662</v>
      </c>
      <c r="X300" s="544" t="s">
        <v>663</v>
      </c>
      <c r="Y300" s="544" t="s">
        <v>663</v>
      </c>
      <c r="Z300" s="544" t="s">
        <v>663</v>
      </c>
      <c r="AA300" s="544" t="s">
        <v>663</v>
      </c>
      <c r="AB300" s="544" t="str">
        <f t="shared" si="65"/>
        <v>DC</v>
      </c>
      <c r="AC300" s="544" t="s">
        <v>1201</v>
      </c>
      <c r="AD300" s="544" t="str" cm="1">
        <f t="array" ref="AD300">IF(SUMPRODUCT(ISNUMBER(SEARCH("y",R300:AA300))+0)=0,"",IF(AA300="y","400G",IF(Z300="y","100G",IF(X300="y","40G",IF(V300="y","10G",IF(S300="y","1G",IF(R300="y","100M",""))))))&amp;" "&amp;AB300&amp;" "&amp;AC300)</f>
        <v>10G DC BASE</v>
      </c>
      <c r="AE300" s="546" t="str">
        <f t="shared" si="63"/>
        <v>AT-x560-28YSQ 10G DC BASE</v>
      </c>
      <c r="AF300" s="877" t="str">
        <f t="shared" si="67"/>
        <v>ns</v>
      </c>
      <c r="AG300" s="877" t="str">
        <f t="shared" si="67"/>
        <v>ns</v>
      </c>
      <c r="AH300" s="877" t="str">
        <f t="shared" si="67"/>
        <v>.</v>
      </c>
      <c r="AI300" s="877" t="str">
        <f t="shared" si="67"/>
        <v>ns</v>
      </c>
      <c r="AJ300" s="877" t="str">
        <f t="shared" si="67"/>
        <v>ns</v>
      </c>
      <c r="AK300" s="877" t="str">
        <f t="shared" si="67"/>
        <v>.</v>
      </c>
      <c r="AL300" s="877" t="str">
        <f t="shared" si="67"/>
        <v>.</v>
      </c>
      <c r="AM300" s="877" t="str">
        <f t="shared" si="67"/>
        <v>ns</v>
      </c>
      <c r="AN300" s="877" t="str">
        <f t="shared" si="67"/>
        <v>ns</v>
      </c>
      <c r="AO300" s="877" t="str">
        <f t="shared" si="67"/>
        <v>ns</v>
      </c>
      <c r="AP300" s="877" t="str">
        <f t="shared" si="67"/>
        <v>ns</v>
      </c>
      <c r="AQ300" s="593"/>
    </row>
    <row r="301" spans="1:43">
      <c r="A301" s="537">
        <v>301</v>
      </c>
      <c r="B301" s="537" t="s">
        <v>2265</v>
      </c>
      <c r="C301" s="537">
        <v>680</v>
      </c>
      <c r="D301" s="537" t="s">
        <v>2455</v>
      </c>
      <c r="E301" s="537" t="s">
        <v>2456</v>
      </c>
      <c r="F301" s="537" t="s">
        <v>663</v>
      </c>
      <c r="G301" s="556" t="s">
        <v>2315</v>
      </c>
      <c r="H301" s="537" t="s">
        <v>2265</v>
      </c>
      <c r="I301" s="540" t="s">
        <v>2457</v>
      </c>
      <c r="J301" s="541" t="s">
        <v>2458</v>
      </c>
      <c r="K301" s="590" t="s">
        <v>2455</v>
      </c>
      <c r="L301" s="537" t="s">
        <v>734</v>
      </c>
      <c r="M301" s="591" t="s">
        <v>2546</v>
      </c>
      <c r="N301" s="537" t="s">
        <v>2365</v>
      </c>
      <c r="O301" s="537" t="s">
        <v>2459</v>
      </c>
      <c r="P301" s="537" t="s">
        <v>1076</v>
      </c>
      <c r="Q301" s="544" t="s">
        <v>663</v>
      </c>
      <c r="R301" s="544" t="s">
        <v>663</v>
      </c>
      <c r="S301" s="544" t="s">
        <v>663</v>
      </c>
      <c r="T301" s="544" t="s">
        <v>663</v>
      </c>
      <c r="U301" s="544" t="s">
        <v>663</v>
      </c>
      <c r="V301" s="544" t="s">
        <v>663</v>
      </c>
      <c r="W301" s="544" t="s">
        <v>663</v>
      </c>
      <c r="X301" s="544" t="s">
        <v>662</v>
      </c>
      <c r="Y301" s="544" t="s">
        <v>663</v>
      </c>
      <c r="Z301" s="544" t="s">
        <v>662</v>
      </c>
      <c r="AA301" s="544" t="s">
        <v>663</v>
      </c>
      <c r="AB301" s="544" t="str">
        <f t="shared" si="65"/>
        <v>PHY</v>
      </c>
      <c r="AC301" s="537" t="s">
        <v>1279</v>
      </c>
      <c r="AD301" s="544" t="str" cm="1">
        <f t="array" ref="AD301">IF(SUMPRODUCT(ISNUMBER(SEARCH("y",R301:AA301))+0)=0,"",IF(AA301="y","400G",IF(Z301="y","100G",IF(X301="y","40G",IF(V301="y","10G",IF(S301="y","1G",IF(R301="y","100M",""))))))&amp;" "&amp;AB301&amp;" "&amp;AC301)</f>
        <v>100G PHY QSFP28</v>
      </c>
      <c r="AE301" s="546" t="str">
        <f t="shared" ref="AE301:AE304" si="68">IF(K301="-","",_xlfn.CONCAT(K301," ",AD301))</f>
        <v>AT-x560-28YSQ 100G PHY QSFP28</v>
      </c>
      <c r="AF301" s="877" t="str">
        <f t="shared" ref="AF301:AF304" si="69">IF(Q301="n","ns",".")</f>
        <v>ns</v>
      </c>
      <c r="AG301" s="877" t="str">
        <f t="shared" ref="AG301:AG304" si="70">IF(R301="n","ns",".")</f>
        <v>ns</v>
      </c>
      <c r="AH301" s="877" t="str">
        <f t="shared" ref="AH301:AH304" si="71">IF(S301="n","ns",".")</f>
        <v>ns</v>
      </c>
      <c r="AI301" s="877" t="str">
        <f t="shared" ref="AI301:AI304" si="72">IF(T301="n","ns",".")</f>
        <v>ns</v>
      </c>
      <c r="AJ301" s="877" t="str">
        <f t="shared" ref="AJ301:AJ304" si="73">IF(U301="n","ns",".")</f>
        <v>ns</v>
      </c>
      <c r="AK301" s="877" t="str">
        <f t="shared" ref="AK301:AK304" si="74">IF(V301="n","ns",".")</f>
        <v>ns</v>
      </c>
      <c r="AL301" s="877" t="str">
        <f t="shared" ref="AL301:AL304" si="75">IF(W301="n","ns",".")</f>
        <v>ns</v>
      </c>
      <c r="AM301" s="877" t="str">
        <f t="shared" ref="AM301:AM304" si="76">IF(X301="n","ns",".")</f>
        <v>.</v>
      </c>
      <c r="AN301" s="877" t="str">
        <f t="shared" ref="AN301:AN304" si="77">IF(Y301="n","ns",".")</f>
        <v>ns</v>
      </c>
      <c r="AO301" s="877" t="str">
        <f t="shared" ref="AO301:AO304" si="78">IF(Z301="n","ns",".")</f>
        <v>.</v>
      </c>
      <c r="AP301" s="877" t="str">
        <f t="shared" ref="AP301:AP304" si="79">IF(AA301="n","ns",".")</f>
        <v>ns</v>
      </c>
      <c r="AQ301" s="593"/>
    </row>
    <row r="302" spans="1:43">
      <c r="A302" s="537">
        <v>302</v>
      </c>
      <c r="B302" s="537" t="s">
        <v>2412</v>
      </c>
      <c r="C302" s="537">
        <v>681</v>
      </c>
      <c r="D302" t="s">
        <v>2461</v>
      </c>
      <c r="E302" s="537" t="s">
        <v>2462</v>
      </c>
      <c r="F302" s="537" t="s">
        <v>663</v>
      </c>
      <c r="G302" s="556" t="s">
        <v>2315</v>
      </c>
      <c r="H302" s="537" t="s">
        <v>2412</v>
      </c>
      <c r="I302" t="s">
        <v>2463</v>
      </c>
      <c r="J302" s="962" t="s">
        <v>688</v>
      </c>
      <c r="K302" s="590"/>
      <c r="L302" s="537"/>
      <c r="M302" s="591"/>
      <c r="N302" s="537" t="s">
        <v>2365</v>
      </c>
      <c r="O302" s="537" t="s">
        <v>2464</v>
      </c>
      <c r="P302" s="537" t="s">
        <v>2366</v>
      </c>
      <c r="Q302" s="544" t="s">
        <v>663</v>
      </c>
      <c r="R302" s="544" t="s">
        <v>663</v>
      </c>
      <c r="S302" s="544" t="s">
        <v>663</v>
      </c>
      <c r="T302" s="544" t="s">
        <v>663</v>
      </c>
      <c r="U302" s="544" t="s">
        <v>663</v>
      </c>
      <c r="V302" s="544" t="s">
        <v>663</v>
      </c>
      <c r="W302" s="544" t="s">
        <v>663</v>
      </c>
      <c r="X302" s="544" t="s">
        <v>662</v>
      </c>
      <c r="Y302" s="544" t="s">
        <v>663</v>
      </c>
      <c r="Z302" s="544" t="s">
        <v>662</v>
      </c>
      <c r="AA302" s="544" t="s">
        <v>663</v>
      </c>
      <c r="AB302" s="544" t="str">
        <f t="shared" ref="AB302:AB303" si="80">IF(O302="N/A","",IF(J302="DC","DC","PHY"))</f>
        <v>DC</v>
      </c>
      <c r="AC302" s="537" t="s">
        <v>1279</v>
      </c>
      <c r="AD302" s="544" t="str" cm="1">
        <f t="array" ref="AD302">IF(SUMPRODUCT(ISNUMBER(SEARCH("y",R302:AA302))+0)=0,"",IF(AA302="y","400G",IF(Z302="y","100G",IF(X302="y","40G",IF(V302="y","10G",IF(S302="y","1G",IF(R302="y","100M",""))))))&amp;" "&amp;AB302&amp;" "&amp;AC302)</f>
        <v>100G DC QSFP28</v>
      </c>
      <c r="AE302" s="546" t="str">
        <f t="shared" ref="AE302:AE303" si="81">IF(K302="-","",_xlfn.CONCAT(K302," ",AD302))</f>
        <v xml:space="preserve"> 100G DC QSFP28</v>
      </c>
      <c r="AF302" s="877" t="str">
        <f t="shared" ref="AF302:AF303" si="82">IF(Q302="n","ns",".")</f>
        <v>ns</v>
      </c>
      <c r="AG302" s="877" t="str">
        <f t="shared" ref="AG302:AG303" si="83">IF(R302="n","ns",".")</f>
        <v>ns</v>
      </c>
      <c r="AH302" s="877" t="str">
        <f t="shared" ref="AH302:AH303" si="84">IF(S302="n","ns",".")</f>
        <v>ns</v>
      </c>
      <c r="AI302" s="877" t="str">
        <f t="shared" ref="AI302:AI303" si="85">IF(T302="n","ns",".")</f>
        <v>ns</v>
      </c>
      <c r="AJ302" s="877" t="str">
        <f t="shared" ref="AJ302:AJ303" si="86">IF(U302="n","ns",".")</f>
        <v>ns</v>
      </c>
      <c r="AK302" s="877" t="str">
        <f t="shared" ref="AK302:AK303" si="87">IF(V302="n","ns",".")</f>
        <v>ns</v>
      </c>
      <c r="AL302" s="877" t="str">
        <f t="shared" ref="AL302:AL303" si="88">IF(W302="n","ns",".")</f>
        <v>ns</v>
      </c>
      <c r="AM302" s="877" t="str">
        <f t="shared" ref="AM302:AM303" si="89">IF(X302="n","ns",".")</f>
        <v>.</v>
      </c>
      <c r="AN302" s="877" t="str">
        <f t="shared" ref="AN302:AN303" si="90">IF(Y302="n","ns",".")</f>
        <v>ns</v>
      </c>
      <c r="AO302" s="877" t="str">
        <f t="shared" ref="AO302:AO303" si="91">IF(Z302="n","ns",".")</f>
        <v>.</v>
      </c>
      <c r="AP302" s="877" t="str">
        <f t="shared" ref="AP302:AP303" si="92">IF(AA302="n","ns",".")</f>
        <v>ns</v>
      </c>
      <c r="AQ302" s="593"/>
    </row>
    <row r="303" spans="1:43">
      <c r="A303" s="537">
        <v>303</v>
      </c>
      <c r="B303" s="537" t="s">
        <v>2412</v>
      </c>
      <c r="C303" s="537">
        <v>687</v>
      </c>
      <c r="D303" t="s">
        <v>2514</v>
      </c>
      <c r="E303" s="537" t="s">
        <v>2515</v>
      </c>
      <c r="F303" s="537" t="s">
        <v>663</v>
      </c>
      <c r="G303" s="556" t="s">
        <v>2315</v>
      </c>
      <c r="H303" s="537" t="s">
        <v>2412</v>
      </c>
      <c r="I303" t="s">
        <v>2516</v>
      </c>
      <c r="J303" s="962" t="s">
        <v>688</v>
      </c>
      <c r="K303" s="590"/>
      <c r="L303" s="537"/>
      <c r="M303" s="591"/>
      <c r="N303" s="537" t="s">
        <v>2308</v>
      </c>
      <c r="O303" s="537" t="s">
        <v>2517</v>
      </c>
      <c r="P303" s="537" t="s">
        <v>2308</v>
      </c>
      <c r="Q303" s="544" t="s">
        <v>663</v>
      </c>
      <c r="R303" s="544" t="s">
        <v>663</v>
      </c>
      <c r="S303" s="544" t="s">
        <v>663</v>
      </c>
      <c r="T303" s="544" t="s">
        <v>663</v>
      </c>
      <c r="U303" s="544" t="s">
        <v>663</v>
      </c>
      <c r="V303" s="544" t="s">
        <v>663</v>
      </c>
      <c r="W303" s="544" t="s">
        <v>663</v>
      </c>
      <c r="X303" s="544" t="s">
        <v>663</v>
      </c>
      <c r="Y303" s="544" t="s">
        <v>663</v>
      </c>
      <c r="Z303" s="544" t="s">
        <v>662</v>
      </c>
      <c r="AA303" s="544" t="s">
        <v>662</v>
      </c>
      <c r="AB303" s="544" t="str">
        <f t="shared" si="80"/>
        <v>DC</v>
      </c>
      <c r="AC303" s="544" t="s">
        <v>2314</v>
      </c>
      <c r="AD303" s="544" t="str" cm="1">
        <f t="array" ref="AD303">IF(SUMPRODUCT(ISNUMBER(SEARCH("y",R303:AA303))+0)=0,"",IF(AA303="y","400G",IF(Z303="y","100G",IF(X303="y","40G",IF(V303="y","10G",IF(S303="y","1G",IF(R303="y","100M",""))))))&amp;" "&amp;AB303&amp;" "&amp;AC303)</f>
        <v>400G DC QSFDD</v>
      </c>
      <c r="AE303" s="546" t="str">
        <f t="shared" si="81"/>
        <v xml:space="preserve"> 400G DC QSFDD</v>
      </c>
      <c r="AF303" s="877" t="str">
        <f t="shared" si="82"/>
        <v>ns</v>
      </c>
      <c r="AG303" s="877" t="str">
        <f t="shared" si="83"/>
        <v>ns</v>
      </c>
      <c r="AH303" s="877" t="str">
        <f t="shared" si="84"/>
        <v>ns</v>
      </c>
      <c r="AI303" s="877" t="str">
        <f t="shared" si="85"/>
        <v>ns</v>
      </c>
      <c r="AJ303" s="877" t="str">
        <f t="shared" si="86"/>
        <v>ns</v>
      </c>
      <c r="AK303" s="877" t="str">
        <f t="shared" si="87"/>
        <v>ns</v>
      </c>
      <c r="AL303" s="877" t="str">
        <f t="shared" si="88"/>
        <v>ns</v>
      </c>
      <c r="AM303" s="877" t="str">
        <f t="shared" si="89"/>
        <v>ns</v>
      </c>
      <c r="AN303" s="877" t="str">
        <f t="shared" si="90"/>
        <v>ns</v>
      </c>
      <c r="AO303" s="877" t="str">
        <f t="shared" si="91"/>
        <v>.</v>
      </c>
      <c r="AP303" s="877" t="str">
        <f t="shared" si="92"/>
        <v>.</v>
      </c>
      <c r="AQ303" s="593"/>
    </row>
    <row r="304" spans="1:43">
      <c r="A304" s="537">
        <v>304</v>
      </c>
      <c r="B304" s="537" t="s">
        <v>2412</v>
      </c>
      <c r="C304" s="537">
        <v>687</v>
      </c>
      <c r="D304" t="s">
        <v>2514</v>
      </c>
      <c r="E304" s="537" t="s">
        <v>2515</v>
      </c>
      <c r="F304" s="537" t="s">
        <v>663</v>
      </c>
      <c r="G304" s="556" t="s">
        <v>2315</v>
      </c>
      <c r="H304" s="537" t="s">
        <v>2412</v>
      </c>
      <c r="I304" t="s">
        <v>2516</v>
      </c>
      <c r="J304" s="962" t="s">
        <v>688</v>
      </c>
      <c r="K304" s="590"/>
      <c r="L304" s="537"/>
      <c r="M304" s="591"/>
      <c r="N304" s="543" t="s">
        <v>689</v>
      </c>
      <c r="O304" s="537" t="s">
        <v>2518</v>
      </c>
      <c r="P304" s="537" t="s">
        <v>689</v>
      </c>
      <c r="Q304" s="544" t="s">
        <v>663</v>
      </c>
      <c r="R304" s="544" t="s">
        <v>663</v>
      </c>
      <c r="S304" s="544" t="s">
        <v>663</v>
      </c>
      <c r="T304" s="544" t="s">
        <v>663</v>
      </c>
      <c r="U304" s="544" t="s">
        <v>663</v>
      </c>
      <c r="V304" s="544" t="s">
        <v>662</v>
      </c>
      <c r="W304" s="544" t="s">
        <v>663</v>
      </c>
      <c r="X304" s="544" t="s">
        <v>663</v>
      </c>
      <c r="Y304" s="544" t="s">
        <v>663</v>
      </c>
      <c r="Z304" s="544" t="s">
        <v>663</v>
      </c>
      <c r="AA304" s="544" t="s">
        <v>663</v>
      </c>
      <c r="AB304" s="544" t="str">
        <f t="shared" si="65"/>
        <v>DC</v>
      </c>
      <c r="AC304" s="544" t="s">
        <v>1247</v>
      </c>
      <c r="AD304" s="544" t="str" cm="1">
        <f t="array" ref="AD304">IF(SUMPRODUCT(ISNUMBER(SEARCH("y",R304:AA304))+0)=0,"",IF(AA304="y","400G",IF(Z304="y","100G",IF(X304="y","40G",IF(V304="y","10G",IF(S304="y","1G",IF(R304="y","100M",""))))))&amp;" "&amp;AB304&amp;" "&amp;AC304)</f>
        <v>10G DC SFP+</v>
      </c>
      <c r="AE304" s="546" t="str">
        <f t="shared" si="68"/>
        <v xml:space="preserve"> 10G DC SFP+</v>
      </c>
      <c r="AF304" s="877" t="str">
        <f t="shared" si="69"/>
        <v>ns</v>
      </c>
      <c r="AG304" s="877" t="str">
        <f t="shared" si="70"/>
        <v>ns</v>
      </c>
      <c r="AH304" s="877" t="str">
        <f t="shared" si="71"/>
        <v>ns</v>
      </c>
      <c r="AI304" s="877" t="str">
        <f t="shared" si="72"/>
        <v>ns</v>
      </c>
      <c r="AJ304" s="877" t="str">
        <f t="shared" si="73"/>
        <v>ns</v>
      </c>
      <c r="AK304" s="877" t="str">
        <f t="shared" si="74"/>
        <v>.</v>
      </c>
      <c r="AL304" s="877" t="str">
        <f t="shared" si="75"/>
        <v>ns</v>
      </c>
      <c r="AM304" s="877" t="str">
        <f t="shared" si="76"/>
        <v>ns</v>
      </c>
      <c r="AN304" s="877" t="str">
        <f t="shared" si="77"/>
        <v>ns</v>
      </c>
      <c r="AO304" s="877" t="str">
        <f t="shared" si="78"/>
        <v>ns</v>
      </c>
      <c r="AP304" s="877" t="str">
        <f t="shared" si="79"/>
        <v>ns</v>
      </c>
      <c r="AQ304" s="593"/>
    </row>
    <row r="305" spans="1:212" s="536" customFormat="1">
      <c r="A305" s="504">
        <v>305</v>
      </c>
      <c r="B305" s="525" t="s">
        <v>2474</v>
      </c>
      <c r="C305" s="526">
        <v>689</v>
      </c>
      <c r="D305" s="525" t="s">
        <v>2475</v>
      </c>
      <c r="E305" s="525" t="s">
        <v>2476</v>
      </c>
      <c r="F305" s="525" t="s">
        <v>663</v>
      </c>
      <c r="G305" s="525" t="s">
        <v>2315</v>
      </c>
      <c r="H305" s="527" t="s">
        <v>2474</v>
      </c>
      <c r="I305" s="528" t="s">
        <v>916</v>
      </c>
      <c r="J305" s="529" t="s">
        <v>730</v>
      </c>
      <c r="K305" s="528"/>
      <c r="L305" s="530"/>
      <c r="M305" s="529"/>
      <c r="N305" s="531" t="s">
        <v>671</v>
      </c>
      <c r="O305" s="532" t="s">
        <v>969</v>
      </c>
      <c r="P305" s="525" t="s">
        <v>827</v>
      </c>
      <c r="Q305" s="532" t="s">
        <v>663</v>
      </c>
      <c r="R305" s="532" t="s">
        <v>662</v>
      </c>
      <c r="S305" s="532" t="s">
        <v>662</v>
      </c>
      <c r="T305" s="525" t="s">
        <v>663</v>
      </c>
      <c r="U305" s="525" t="s">
        <v>663</v>
      </c>
      <c r="V305" s="532" t="s">
        <v>663</v>
      </c>
      <c r="W305" s="532" t="s">
        <v>663</v>
      </c>
      <c r="X305" s="532" t="s">
        <v>663</v>
      </c>
      <c r="Y305" s="532" t="s">
        <v>663</v>
      </c>
      <c r="Z305" s="532" t="s">
        <v>663</v>
      </c>
      <c r="AA305" s="532" t="s">
        <v>663</v>
      </c>
      <c r="AB305" s="525" t="s">
        <v>2501</v>
      </c>
      <c r="AC305" s="525" t="s">
        <v>1192</v>
      </c>
      <c r="AD305" s="533" t="s">
        <v>2502</v>
      </c>
      <c r="AE305" s="534" t="s">
        <v>2505</v>
      </c>
      <c r="AF305" s="910" t="s">
        <v>2503</v>
      </c>
      <c r="AG305" s="911" t="s">
        <v>2504</v>
      </c>
      <c r="AH305" s="911" t="s">
        <v>2504</v>
      </c>
      <c r="AI305" s="911" t="s">
        <v>2503</v>
      </c>
      <c r="AJ305" s="911" t="s">
        <v>2503</v>
      </c>
      <c r="AK305" s="921" t="s">
        <v>2503</v>
      </c>
      <c r="AL305" s="908" t="s">
        <v>2503</v>
      </c>
      <c r="AM305" s="909" t="s">
        <v>2503</v>
      </c>
      <c r="AN305" s="908" t="s">
        <v>2503</v>
      </c>
      <c r="AO305" s="908" t="s">
        <v>2503</v>
      </c>
      <c r="AP305" s="908" t="s">
        <v>2503</v>
      </c>
      <c r="AQ305" s="53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row>
    <row r="306" spans="1:212" s="536" customFormat="1">
      <c r="A306" s="504">
        <v>306</v>
      </c>
      <c r="B306" s="525" t="s">
        <v>2474</v>
      </c>
      <c r="C306" s="526">
        <v>695</v>
      </c>
      <c r="D306" s="525" t="s">
        <v>2477</v>
      </c>
      <c r="E306" s="525" t="s">
        <v>2478</v>
      </c>
      <c r="F306" s="525" t="s">
        <v>663</v>
      </c>
      <c r="G306" s="525" t="s">
        <v>2315</v>
      </c>
      <c r="H306" s="527" t="s">
        <v>2474</v>
      </c>
      <c r="I306" s="528" t="s">
        <v>916</v>
      </c>
      <c r="J306" s="529" t="s">
        <v>730</v>
      </c>
      <c r="K306" s="528"/>
      <c r="L306" s="530"/>
      <c r="M306" s="529"/>
      <c r="N306" s="531" t="s">
        <v>671</v>
      </c>
      <c r="O306" s="532" t="s">
        <v>969</v>
      </c>
      <c r="P306" s="525" t="s">
        <v>827</v>
      </c>
      <c r="Q306" s="532" t="s">
        <v>663</v>
      </c>
      <c r="R306" s="532" t="s">
        <v>662</v>
      </c>
      <c r="S306" s="532" t="s">
        <v>662</v>
      </c>
      <c r="T306" s="525" t="s">
        <v>663</v>
      </c>
      <c r="U306" s="525" t="s">
        <v>663</v>
      </c>
      <c r="V306" s="532" t="s">
        <v>663</v>
      </c>
      <c r="W306" s="532" t="s">
        <v>663</v>
      </c>
      <c r="X306" s="532" t="s">
        <v>663</v>
      </c>
      <c r="Y306" s="532" t="s">
        <v>663</v>
      </c>
      <c r="Z306" s="532" t="s">
        <v>663</v>
      </c>
      <c r="AA306" s="532" t="s">
        <v>663</v>
      </c>
      <c r="AB306" s="525" t="s">
        <v>2501</v>
      </c>
      <c r="AC306" s="525" t="s">
        <v>1192</v>
      </c>
      <c r="AD306" s="533" t="s">
        <v>2502</v>
      </c>
      <c r="AE306" s="534" t="s">
        <v>2505</v>
      </c>
      <c r="AF306" s="910" t="s">
        <v>2503</v>
      </c>
      <c r="AG306" s="911" t="s">
        <v>2504</v>
      </c>
      <c r="AH306" s="911" t="s">
        <v>2504</v>
      </c>
      <c r="AI306" s="911" t="s">
        <v>2503</v>
      </c>
      <c r="AJ306" s="911" t="s">
        <v>2503</v>
      </c>
      <c r="AK306" s="921" t="s">
        <v>2503</v>
      </c>
      <c r="AL306" s="908" t="s">
        <v>2503</v>
      </c>
      <c r="AM306" s="909" t="s">
        <v>2503</v>
      </c>
      <c r="AN306" s="908" t="s">
        <v>2503</v>
      </c>
      <c r="AO306" s="908" t="s">
        <v>2503</v>
      </c>
      <c r="AP306" s="908" t="s">
        <v>2503</v>
      </c>
      <c r="AQ306" s="535"/>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row>
    <row r="307" spans="1:212" s="536" customFormat="1">
      <c r="A307" s="504">
        <v>307</v>
      </c>
      <c r="B307" s="525" t="s">
        <v>2474</v>
      </c>
      <c r="C307" s="526">
        <v>690</v>
      </c>
      <c r="D307" s="525" t="s">
        <v>2479</v>
      </c>
      <c r="E307" s="525" t="s">
        <v>2480</v>
      </c>
      <c r="F307" s="525" t="s">
        <v>663</v>
      </c>
      <c r="G307" s="525" t="s">
        <v>2315</v>
      </c>
      <c r="H307" s="527" t="s">
        <v>2474</v>
      </c>
      <c r="I307" s="528" t="s">
        <v>916</v>
      </c>
      <c r="J307" s="529" t="s">
        <v>730</v>
      </c>
      <c r="K307" s="528"/>
      <c r="L307" s="530"/>
      <c r="M307" s="529"/>
      <c r="N307" s="531" t="s">
        <v>671</v>
      </c>
      <c r="O307" s="532" t="s">
        <v>1362</v>
      </c>
      <c r="P307" s="525" t="s">
        <v>827</v>
      </c>
      <c r="Q307" s="532" t="s">
        <v>663</v>
      </c>
      <c r="R307" s="532" t="s">
        <v>662</v>
      </c>
      <c r="S307" s="532" t="s">
        <v>662</v>
      </c>
      <c r="T307" s="525" t="s">
        <v>663</v>
      </c>
      <c r="U307" s="525" t="s">
        <v>663</v>
      </c>
      <c r="V307" s="532" t="s">
        <v>663</v>
      </c>
      <c r="W307" s="532" t="s">
        <v>663</v>
      </c>
      <c r="X307" s="532" t="s">
        <v>663</v>
      </c>
      <c r="Y307" s="532" t="s">
        <v>663</v>
      </c>
      <c r="Z307" s="532" t="s">
        <v>663</v>
      </c>
      <c r="AA307" s="532" t="s">
        <v>663</v>
      </c>
      <c r="AB307" s="525" t="s">
        <v>2501</v>
      </c>
      <c r="AC307" s="525" t="s">
        <v>1192</v>
      </c>
      <c r="AD307" s="533" t="s">
        <v>2502</v>
      </c>
      <c r="AE307" s="534" t="s">
        <v>2505</v>
      </c>
      <c r="AF307" s="910" t="s">
        <v>2503</v>
      </c>
      <c r="AG307" s="911" t="s">
        <v>2504</v>
      </c>
      <c r="AH307" s="911" t="s">
        <v>2504</v>
      </c>
      <c r="AI307" s="911" t="s">
        <v>2503</v>
      </c>
      <c r="AJ307" s="911" t="s">
        <v>2503</v>
      </c>
      <c r="AK307" s="921" t="s">
        <v>2503</v>
      </c>
      <c r="AL307" s="908" t="s">
        <v>2503</v>
      </c>
      <c r="AM307" s="909" t="s">
        <v>2503</v>
      </c>
      <c r="AN307" s="908" t="s">
        <v>2503</v>
      </c>
      <c r="AO307" s="908" t="s">
        <v>2503</v>
      </c>
      <c r="AP307" s="908" t="s">
        <v>2503</v>
      </c>
      <c r="AQ307" s="535"/>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row>
    <row r="308" spans="1:212" s="536" customFormat="1">
      <c r="A308" s="504">
        <v>308</v>
      </c>
      <c r="B308" s="525" t="s">
        <v>2474</v>
      </c>
      <c r="C308" s="526">
        <v>691</v>
      </c>
      <c r="D308" s="525" t="s">
        <v>2481</v>
      </c>
      <c r="E308" s="525" t="s">
        <v>2482</v>
      </c>
      <c r="F308" s="525" t="s">
        <v>663</v>
      </c>
      <c r="G308" s="525" t="s">
        <v>2315</v>
      </c>
      <c r="H308" s="527" t="s">
        <v>2474</v>
      </c>
      <c r="I308" s="528" t="s">
        <v>916</v>
      </c>
      <c r="J308" s="529" t="s">
        <v>730</v>
      </c>
      <c r="K308" s="528"/>
      <c r="L308" s="530"/>
      <c r="M308" s="529"/>
      <c r="N308" s="531" t="s">
        <v>671</v>
      </c>
      <c r="O308" s="532" t="s">
        <v>1030</v>
      </c>
      <c r="P308" s="525" t="s">
        <v>827</v>
      </c>
      <c r="Q308" s="532" t="s">
        <v>663</v>
      </c>
      <c r="R308" s="532" t="s">
        <v>662</v>
      </c>
      <c r="S308" s="532" t="s">
        <v>662</v>
      </c>
      <c r="T308" s="525" t="s">
        <v>663</v>
      </c>
      <c r="U308" s="525" t="s">
        <v>663</v>
      </c>
      <c r="V308" s="532" t="s">
        <v>663</v>
      </c>
      <c r="W308" s="532" t="s">
        <v>663</v>
      </c>
      <c r="X308" s="532" t="s">
        <v>663</v>
      </c>
      <c r="Y308" s="532" t="s">
        <v>663</v>
      </c>
      <c r="Z308" s="532" t="s">
        <v>663</v>
      </c>
      <c r="AA308" s="532" t="s">
        <v>663</v>
      </c>
      <c r="AB308" s="525" t="s">
        <v>2501</v>
      </c>
      <c r="AC308" s="525" t="s">
        <v>1192</v>
      </c>
      <c r="AD308" s="533" t="s">
        <v>2502</v>
      </c>
      <c r="AE308" s="534" t="s">
        <v>2505</v>
      </c>
      <c r="AF308" s="910" t="s">
        <v>2503</v>
      </c>
      <c r="AG308" s="911" t="s">
        <v>2504</v>
      </c>
      <c r="AH308" s="911" t="s">
        <v>2504</v>
      </c>
      <c r="AI308" s="911" t="s">
        <v>2503</v>
      </c>
      <c r="AJ308" s="911" t="s">
        <v>2503</v>
      </c>
      <c r="AK308" s="921" t="s">
        <v>2503</v>
      </c>
      <c r="AL308" s="908" t="s">
        <v>2503</v>
      </c>
      <c r="AM308" s="909" t="s">
        <v>2503</v>
      </c>
      <c r="AN308" s="908" t="s">
        <v>2503</v>
      </c>
      <c r="AO308" s="908" t="s">
        <v>2503</v>
      </c>
      <c r="AP308" s="908" t="s">
        <v>2503</v>
      </c>
      <c r="AQ308" s="535"/>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row>
    <row r="309" spans="1:212" s="536" customFormat="1">
      <c r="A309" s="504">
        <v>309</v>
      </c>
      <c r="B309" s="525" t="s">
        <v>2474</v>
      </c>
      <c r="C309" s="526">
        <v>696</v>
      </c>
      <c r="D309" s="525" t="s">
        <v>2483</v>
      </c>
      <c r="E309" s="525" t="s">
        <v>2484</v>
      </c>
      <c r="F309" s="525" t="s">
        <v>663</v>
      </c>
      <c r="G309" s="525" t="s">
        <v>2315</v>
      </c>
      <c r="H309" s="527" t="s">
        <v>2474</v>
      </c>
      <c r="I309" s="528" t="s">
        <v>916</v>
      </c>
      <c r="J309" s="529" t="s">
        <v>730</v>
      </c>
      <c r="K309" s="528"/>
      <c r="L309" s="530"/>
      <c r="M309" s="529"/>
      <c r="N309" s="531" t="s">
        <v>671</v>
      </c>
      <c r="O309" s="532" t="s">
        <v>1030</v>
      </c>
      <c r="P309" s="525" t="s">
        <v>827</v>
      </c>
      <c r="Q309" s="532" t="s">
        <v>663</v>
      </c>
      <c r="R309" s="532" t="s">
        <v>662</v>
      </c>
      <c r="S309" s="532" t="s">
        <v>662</v>
      </c>
      <c r="T309" s="525" t="s">
        <v>663</v>
      </c>
      <c r="U309" s="525" t="s">
        <v>663</v>
      </c>
      <c r="V309" s="532" t="s">
        <v>663</v>
      </c>
      <c r="W309" s="532" t="s">
        <v>663</v>
      </c>
      <c r="X309" s="532" t="s">
        <v>663</v>
      </c>
      <c r="Y309" s="532" t="s">
        <v>663</v>
      </c>
      <c r="Z309" s="532" t="s">
        <v>663</v>
      </c>
      <c r="AA309" s="532" t="s">
        <v>663</v>
      </c>
      <c r="AB309" s="525" t="s">
        <v>2501</v>
      </c>
      <c r="AC309" s="525" t="s">
        <v>1192</v>
      </c>
      <c r="AD309" s="533" t="s">
        <v>2502</v>
      </c>
      <c r="AE309" s="534" t="s">
        <v>2505</v>
      </c>
      <c r="AF309" s="910" t="s">
        <v>2503</v>
      </c>
      <c r="AG309" s="911" t="s">
        <v>2504</v>
      </c>
      <c r="AH309" s="911" t="s">
        <v>2504</v>
      </c>
      <c r="AI309" s="911" t="s">
        <v>2503</v>
      </c>
      <c r="AJ309" s="911" t="s">
        <v>2503</v>
      </c>
      <c r="AK309" s="921" t="s">
        <v>2503</v>
      </c>
      <c r="AL309" s="908" t="s">
        <v>2503</v>
      </c>
      <c r="AM309" s="909" t="s">
        <v>2503</v>
      </c>
      <c r="AN309" s="908" t="s">
        <v>2503</v>
      </c>
      <c r="AO309" s="908" t="s">
        <v>2503</v>
      </c>
      <c r="AP309" s="908" t="s">
        <v>2503</v>
      </c>
      <c r="AQ309" s="535"/>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row>
    <row r="310" spans="1:212" s="536" customFormat="1">
      <c r="A310" s="504">
        <v>310</v>
      </c>
      <c r="B310" s="525" t="s">
        <v>2474</v>
      </c>
      <c r="C310" s="526">
        <v>692</v>
      </c>
      <c r="D310" s="525" t="s">
        <v>2485</v>
      </c>
      <c r="E310" s="525" t="s">
        <v>2486</v>
      </c>
      <c r="F310" s="525" t="s">
        <v>663</v>
      </c>
      <c r="G310" s="525" t="s">
        <v>2315</v>
      </c>
      <c r="H310" s="527" t="s">
        <v>2474</v>
      </c>
      <c r="I310" s="528" t="s">
        <v>929</v>
      </c>
      <c r="J310" s="529" t="s">
        <v>730</v>
      </c>
      <c r="K310" s="528"/>
      <c r="L310" s="530"/>
      <c r="M310" s="529"/>
      <c r="N310" s="531" t="s">
        <v>671</v>
      </c>
      <c r="O310" s="532" t="s">
        <v>1365</v>
      </c>
      <c r="P310" s="525" t="s">
        <v>827</v>
      </c>
      <c r="Q310" s="532" t="s">
        <v>663</v>
      </c>
      <c r="R310" s="532" t="s">
        <v>662</v>
      </c>
      <c r="S310" s="532" t="s">
        <v>662</v>
      </c>
      <c r="T310" s="525" t="s">
        <v>663</v>
      </c>
      <c r="U310" s="525" t="s">
        <v>663</v>
      </c>
      <c r="V310" s="532" t="s">
        <v>663</v>
      </c>
      <c r="W310" s="532" t="s">
        <v>663</v>
      </c>
      <c r="X310" s="532" t="s">
        <v>663</v>
      </c>
      <c r="Y310" s="532" t="s">
        <v>663</v>
      </c>
      <c r="Z310" s="532" t="s">
        <v>663</v>
      </c>
      <c r="AA310" s="532" t="s">
        <v>663</v>
      </c>
      <c r="AB310" s="525" t="s">
        <v>2501</v>
      </c>
      <c r="AC310" s="525" t="s">
        <v>1192</v>
      </c>
      <c r="AD310" s="533" t="s">
        <v>2502</v>
      </c>
      <c r="AE310" s="534" t="s">
        <v>2505</v>
      </c>
      <c r="AF310" s="910" t="s">
        <v>2503</v>
      </c>
      <c r="AG310" s="911" t="s">
        <v>2504</v>
      </c>
      <c r="AH310" s="911" t="s">
        <v>2504</v>
      </c>
      <c r="AI310" s="911" t="s">
        <v>2503</v>
      </c>
      <c r="AJ310" s="911" t="s">
        <v>2503</v>
      </c>
      <c r="AK310" s="921" t="s">
        <v>2503</v>
      </c>
      <c r="AL310" s="908" t="s">
        <v>2503</v>
      </c>
      <c r="AM310" s="909" t="s">
        <v>2503</v>
      </c>
      <c r="AN310" s="908" t="s">
        <v>2503</v>
      </c>
      <c r="AO310" s="908" t="s">
        <v>2503</v>
      </c>
      <c r="AP310" s="908" t="s">
        <v>2503</v>
      </c>
      <c r="AQ310" s="535"/>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row>
    <row r="311" spans="1:212" s="536" customFormat="1">
      <c r="A311" s="504">
        <v>311</v>
      </c>
      <c r="B311" s="525" t="s">
        <v>2474</v>
      </c>
      <c r="C311" s="526">
        <v>693</v>
      </c>
      <c r="D311" s="525" t="s">
        <v>2487</v>
      </c>
      <c r="E311" s="525" t="s">
        <v>2488</v>
      </c>
      <c r="F311" s="525" t="s">
        <v>663</v>
      </c>
      <c r="G311" s="525" t="s">
        <v>2315</v>
      </c>
      <c r="H311" s="527" t="s">
        <v>2474</v>
      </c>
      <c r="I311" s="528" t="s">
        <v>929</v>
      </c>
      <c r="J311" s="529" t="s">
        <v>730</v>
      </c>
      <c r="K311" s="528"/>
      <c r="L311" s="530"/>
      <c r="M311" s="529"/>
      <c r="N311" s="531" t="s">
        <v>671</v>
      </c>
      <c r="O311" s="532" t="s">
        <v>889</v>
      </c>
      <c r="P311" s="525" t="s">
        <v>827</v>
      </c>
      <c r="Q311" s="532" t="s">
        <v>663</v>
      </c>
      <c r="R311" s="532" t="s">
        <v>662</v>
      </c>
      <c r="S311" s="532" t="s">
        <v>662</v>
      </c>
      <c r="T311" s="525" t="s">
        <v>663</v>
      </c>
      <c r="U311" s="525" t="s">
        <v>663</v>
      </c>
      <c r="V311" s="532" t="s">
        <v>663</v>
      </c>
      <c r="W311" s="532" t="s">
        <v>663</v>
      </c>
      <c r="X311" s="532" t="s">
        <v>663</v>
      </c>
      <c r="Y311" s="532" t="s">
        <v>663</v>
      </c>
      <c r="Z311" s="532" t="s">
        <v>663</v>
      </c>
      <c r="AA311" s="532" t="s">
        <v>663</v>
      </c>
      <c r="AB311" s="525" t="s">
        <v>2501</v>
      </c>
      <c r="AC311" s="525" t="s">
        <v>1192</v>
      </c>
      <c r="AD311" s="533" t="s">
        <v>2502</v>
      </c>
      <c r="AE311" s="534" t="s">
        <v>2505</v>
      </c>
      <c r="AF311" s="910" t="s">
        <v>2503</v>
      </c>
      <c r="AG311" s="911" t="s">
        <v>2504</v>
      </c>
      <c r="AH311" s="911" t="s">
        <v>2504</v>
      </c>
      <c r="AI311" s="911" t="s">
        <v>2503</v>
      </c>
      <c r="AJ311" s="911" t="s">
        <v>2503</v>
      </c>
      <c r="AK311" s="921" t="s">
        <v>2503</v>
      </c>
      <c r="AL311" s="908" t="s">
        <v>2503</v>
      </c>
      <c r="AM311" s="909" t="s">
        <v>2503</v>
      </c>
      <c r="AN311" s="908" t="s">
        <v>2503</v>
      </c>
      <c r="AO311" s="908" t="s">
        <v>2503</v>
      </c>
      <c r="AP311" s="908" t="s">
        <v>2503</v>
      </c>
      <c r="AQ311" s="535"/>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row>
    <row r="312" spans="1:212" s="536" customFormat="1">
      <c r="A312" s="504">
        <v>312</v>
      </c>
      <c r="B312" s="525" t="s">
        <v>2474</v>
      </c>
      <c r="C312" s="526">
        <v>679</v>
      </c>
      <c r="D312" s="525" t="s">
        <v>2489</v>
      </c>
      <c r="E312" s="525" t="s">
        <v>2490</v>
      </c>
      <c r="F312" s="525" t="s">
        <v>663</v>
      </c>
      <c r="G312" s="525" t="s">
        <v>2315</v>
      </c>
      <c r="H312" s="527" t="s">
        <v>2474</v>
      </c>
      <c r="I312" s="528" t="s">
        <v>929</v>
      </c>
      <c r="J312" s="529" t="s">
        <v>730</v>
      </c>
      <c r="K312" s="528"/>
      <c r="L312" s="530"/>
      <c r="M312" s="529"/>
      <c r="N312" s="531" t="s">
        <v>671</v>
      </c>
      <c r="O312" s="532" t="s">
        <v>889</v>
      </c>
      <c r="P312" s="525" t="s">
        <v>827</v>
      </c>
      <c r="Q312" s="532" t="s">
        <v>663</v>
      </c>
      <c r="R312" s="532" t="s">
        <v>662</v>
      </c>
      <c r="S312" s="532" t="s">
        <v>662</v>
      </c>
      <c r="T312" s="525" t="s">
        <v>663</v>
      </c>
      <c r="U312" s="525" t="s">
        <v>663</v>
      </c>
      <c r="V312" s="532" t="s">
        <v>663</v>
      </c>
      <c r="W312" s="532" t="s">
        <v>663</v>
      </c>
      <c r="X312" s="532" t="s">
        <v>663</v>
      </c>
      <c r="Y312" s="532" t="s">
        <v>663</v>
      </c>
      <c r="Z312" s="532" t="s">
        <v>663</v>
      </c>
      <c r="AA312" s="532" t="s">
        <v>663</v>
      </c>
      <c r="AB312" s="525" t="s">
        <v>2501</v>
      </c>
      <c r="AC312" s="525" t="s">
        <v>1192</v>
      </c>
      <c r="AD312" s="533" t="s">
        <v>2502</v>
      </c>
      <c r="AE312" s="534" t="s">
        <v>2505</v>
      </c>
      <c r="AF312" s="910" t="s">
        <v>2503</v>
      </c>
      <c r="AG312" s="911" t="s">
        <v>2504</v>
      </c>
      <c r="AH312" s="911" t="s">
        <v>2504</v>
      </c>
      <c r="AI312" s="911" t="s">
        <v>2503</v>
      </c>
      <c r="AJ312" s="911" t="s">
        <v>2503</v>
      </c>
      <c r="AK312" s="921" t="s">
        <v>2503</v>
      </c>
      <c r="AL312" s="908" t="s">
        <v>2503</v>
      </c>
      <c r="AM312" s="909" t="s">
        <v>2503</v>
      </c>
      <c r="AN312" s="908" t="s">
        <v>2503</v>
      </c>
      <c r="AO312" s="908" t="s">
        <v>2503</v>
      </c>
      <c r="AP312" s="908" t="s">
        <v>2503</v>
      </c>
      <c r="AQ312" s="535"/>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row>
    <row r="313" spans="1:212" s="536" customFormat="1">
      <c r="A313" s="504">
        <v>313</v>
      </c>
      <c r="B313" s="525" t="s">
        <v>2474</v>
      </c>
      <c r="C313" s="526" t="s">
        <v>2491</v>
      </c>
      <c r="D313" s="525" t="s">
        <v>2492</v>
      </c>
      <c r="E313" s="525" t="s">
        <v>2493</v>
      </c>
      <c r="F313" s="525" t="s">
        <v>663</v>
      </c>
      <c r="G313" s="525"/>
      <c r="H313" s="527"/>
      <c r="I313" s="528" t="s">
        <v>2494</v>
      </c>
      <c r="J313" s="529" t="s">
        <v>654</v>
      </c>
      <c r="K313" s="528"/>
      <c r="L313" s="530"/>
      <c r="M313" s="529"/>
      <c r="N313" s="531" t="s">
        <v>671</v>
      </c>
      <c r="O313" s="532"/>
      <c r="P313" s="525"/>
      <c r="Q313" s="532" t="s">
        <v>663</v>
      </c>
      <c r="R313" s="532" t="s">
        <v>662</v>
      </c>
      <c r="S313" s="532" t="s">
        <v>662</v>
      </c>
      <c r="T313" s="525" t="s">
        <v>663</v>
      </c>
      <c r="U313" s="525" t="s">
        <v>663</v>
      </c>
      <c r="V313" s="532" t="s">
        <v>663</v>
      </c>
      <c r="W313" s="532" t="s">
        <v>663</v>
      </c>
      <c r="X313" s="532" t="s">
        <v>663</v>
      </c>
      <c r="Y313" s="532" t="s">
        <v>663</v>
      </c>
      <c r="Z313" s="532" t="s">
        <v>663</v>
      </c>
      <c r="AA313" s="532" t="s">
        <v>663</v>
      </c>
      <c r="AB313" s="525" t="s">
        <v>2501</v>
      </c>
      <c r="AC313" s="525" t="s">
        <v>1192</v>
      </c>
      <c r="AD313" s="533" t="s">
        <v>2502</v>
      </c>
      <c r="AE313" s="534"/>
      <c r="AF313" s="910" t="s">
        <v>2503</v>
      </c>
      <c r="AG313" s="911" t="s">
        <v>2504</v>
      </c>
      <c r="AH313" s="911" t="s">
        <v>2504</v>
      </c>
      <c r="AI313" s="911" t="s">
        <v>2503</v>
      </c>
      <c r="AJ313" s="911" t="s">
        <v>2503</v>
      </c>
      <c r="AK313" s="921" t="s">
        <v>2503</v>
      </c>
      <c r="AL313" s="908" t="s">
        <v>2503</v>
      </c>
      <c r="AM313" s="909" t="s">
        <v>2503</v>
      </c>
      <c r="AN313" s="908" t="s">
        <v>2503</v>
      </c>
      <c r="AO313" s="908" t="s">
        <v>2503</v>
      </c>
      <c r="AP313" s="908" t="s">
        <v>2503</v>
      </c>
      <c r="AQ313" s="535"/>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row>
    <row r="314" spans="1:212" s="536" customFormat="1">
      <c r="A314" s="504">
        <v>314</v>
      </c>
      <c r="B314" s="525" t="s">
        <v>2474</v>
      </c>
      <c r="C314" s="526">
        <v>694</v>
      </c>
      <c r="D314" s="525" t="s">
        <v>2495</v>
      </c>
      <c r="E314" s="525" t="s">
        <v>2496</v>
      </c>
      <c r="F314" s="525" t="s">
        <v>663</v>
      </c>
      <c r="G314" s="525"/>
      <c r="H314" s="527" t="s">
        <v>2497</v>
      </c>
      <c r="I314" s="528" t="s">
        <v>2498</v>
      </c>
      <c r="J314" s="529" t="s">
        <v>654</v>
      </c>
      <c r="K314" s="528"/>
      <c r="L314" s="530"/>
      <c r="M314" s="529"/>
      <c r="N314" s="531" t="s">
        <v>671</v>
      </c>
      <c r="O314" s="532"/>
      <c r="P314" s="525"/>
      <c r="Q314" s="532" t="s">
        <v>663</v>
      </c>
      <c r="R314" s="532" t="s">
        <v>662</v>
      </c>
      <c r="S314" s="532" t="s">
        <v>662</v>
      </c>
      <c r="T314" s="525" t="s">
        <v>663</v>
      </c>
      <c r="U314" s="525" t="s">
        <v>663</v>
      </c>
      <c r="V314" s="532" t="s">
        <v>663</v>
      </c>
      <c r="W314" s="532" t="s">
        <v>663</v>
      </c>
      <c r="X314" s="532" t="s">
        <v>663</v>
      </c>
      <c r="Y314" s="532" t="s">
        <v>663</v>
      </c>
      <c r="Z314" s="532" t="s">
        <v>663</v>
      </c>
      <c r="AA314" s="532" t="s">
        <v>663</v>
      </c>
      <c r="AB314" s="525" t="s">
        <v>2501</v>
      </c>
      <c r="AC314" s="525" t="s">
        <v>1192</v>
      </c>
      <c r="AD314" s="533" t="s">
        <v>2502</v>
      </c>
      <c r="AE314" s="534"/>
      <c r="AF314" s="910" t="s">
        <v>2503</v>
      </c>
      <c r="AG314" s="911" t="s">
        <v>2504</v>
      </c>
      <c r="AH314" s="911" t="s">
        <v>2504</v>
      </c>
      <c r="AI314" s="911" t="s">
        <v>2503</v>
      </c>
      <c r="AJ314" s="911" t="s">
        <v>2503</v>
      </c>
      <c r="AK314" s="921" t="s">
        <v>2503</v>
      </c>
      <c r="AL314" s="908" t="s">
        <v>2503</v>
      </c>
      <c r="AM314" s="909" t="s">
        <v>2503</v>
      </c>
      <c r="AN314" s="908" t="s">
        <v>2503</v>
      </c>
      <c r="AO314" s="908" t="s">
        <v>2503</v>
      </c>
      <c r="AP314" s="908" t="s">
        <v>2503</v>
      </c>
      <c r="AQ314" s="535"/>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row>
    <row r="315" spans="1:212" s="536" customFormat="1">
      <c r="A315" s="504">
        <v>315</v>
      </c>
      <c r="B315" s="525" t="s">
        <v>2474</v>
      </c>
      <c r="C315" s="526">
        <v>697</v>
      </c>
      <c r="D315" s="525" t="s">
        <v>2499</v>
      </c>
      <c r="E315" s="525" t="s">
        <v>2500</v>
      </c>
      <c r="F315" s="525" t="s">
        <v>663</v>
      </c>
      <c r="G315" s="525"/>
      <c r="H315" s="527" t="s">
        <v>2497</v>
      </c>
      <c r="I315" s="528" t="s">
        <v>2498</v>
      </c>
      <c r="J315" s="529" t="s">
        <v>654</v>
      </c>
      <c r="K315" s="528"/>
      <c r="L315" s="530"/>
      <c r="M315" s="529"/>
      <c r="N315" s="531" t="s">
        <v>671</v>
      </c>
      <c r="O315" s="532"/>
      <c r="P315" s="525"/>
      <c r="Q315" s="532" t="s">
        <v>663</v>
      </c>
      <c r="R315" s="532" t="s">
        <v>662</v>
      </c>
      <c r="S315" s="532" t="s">
        <v>662</v>
      </c>
      <c r="T315" s="525" t="s">
        <v>663</v>
      </c>
      <c r="U315" s="525" t="s">
        <v>663</v>
      </c>
      <c r="V315" s="532" t="s">
        <v>663</v>
      </c>
      <c r="W315" s="532" t="s">
        <v>663</v>
      </c>
      <c r="X315" s="532" t="s">
        <v>663</v>
      </c>
      <c r="Y315" s="532" t="s">
        <v>663</v>
      </c>
      <c r="Z315" s="532" t="s">
        <v>663</v>
      </c>
      <c r="AA315" s="532" t="s">
        <v>663</v>
      </c>
      <c r="AB315" s="525" t="s">
        <v>2501</v>
      </c>
      <c r="AC315" s="525" t="s">
        <v>1192</v>
      </c>
      <c r="AD315" s="533" t="s">
        <v>2502</v>
      </c>
      <c r="AE315" s="534"/>
      <c r="AF315" s="910" t="s">
        <v>2503</v>
      </c>
      <c r="AG315" s="911" t="s">
        <v>2504</v>
      </c>
      <c r="AH315" s="911" t="s">
        <v>2504</v>
      </c>
      <c r="AI315" s="911" t="s">
        <v>2503</v>
      </c>
      <c r="AJ315" s="911" t="s">
        <v>2503</v>
      </c>
      <c r="AK315" s="921" t="s">
        <v>2503</v>
      </c>
      <c r="AL315" s="908" t="s">
        <v>2503</v>
      </c>
      <c r="AM315" s="909" t="s">
        <v>2503</v>
      </c>
      <c r="AN315" s="908" t="s">
        <v>2503</v>
      </c>
      <c r="AO315" s="908" t="s">
        <v>2503</v>
      </c>
      <c r="AP315" s="908" t="s">
        <v>2503</v>
      </c>
      <c r="AQ315" s="53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row>
    <row r="316" spans="1:212">
      <c r="A316" s="537"/>
      <c r="B316" s="537"/>
      <c r="C316" s="537"/>
      <c r="D316" s="537"/>
      <c r="E316" s="537"/>
      <c r="F316" s="537"/>
      <c r="G316" s="537"/>
      <c r="H316" s="537"/>
      <c r="I316" s="590"/>
      <c r="J316" s="537"/>
      <c r="K316" s="590"/>
      <c r="L316" s="537"/>
      <c r="M316" s="591"/>
      <c r="N316" s="537"/>
      <c r="O316" s="537"/>
      <c r="P316" s="537"/>
      <c r="Q316" s="544"/>
      <c r="R316" s="544"/>
      <c r="S316" s="544"/>
      <c r="T316" s="544"/>
      <c r="U316" s="544"/>
      <c r="V316" s="544"/>
      <c r="W316" s="544"/>
      <c r="X316" s="544"/>
      <c r="Y316" s="544"/>
      <c r="Z316" s="544"/>
      <c r="AA316" s="544"/>
      <c r="AB316" s="544"/>
      <c r="AC316" s="544"/>
      <c r="AD316" s="544"/>
      <c r="AE316" s="592"/>
      <c r="AF316" s="877"/>
      <c r="AG316" s="877"/>
      <c r="AH316" s="877"/>
      <c r="AI316" s="877"/>
      <c r="AJ316" s="877"/>
      <c r="AK316" s="877"/>
      <c r="AL316" s="877"/>
      <c r="AM316" s="877"/>
      <c r="AN316" s="877"/>
      <c r="AO316" s="877"/>
      <c r="AP316" s="405"/>
      <c r="AQ316" s="593"/>
    </row>
    <row r="317" spans="1:212" ht="32.25" customHeight="1">
      <c r="A317" s="537"/>
      <c r="B317" s="537"/>
      <c r="C317" s="537"/>
      <c r="D317" s="537"/>
      <c r="E317" s="931" t="s">
        <v>2316</v>
      </c>
      <c r="F317" s="537"/>
      <c r="G317" s="537"/>
      <c r="H317" s="537"/>
      <c r="I317" s="590"/>
      <c r="J317" s="537"/>
      <c r="K317" s="590"/>
      <c r="L317" s="537"/>
      <c r="M317" s="591"/>
      <c r="N317" s="537"/>
      <c r="O317" s="537"/>
      <c r="P317" s="537"/>
      <c r="Q317" s="544"/>
      <c r="R317" s="544"/>
      <c r="S317" s="544"/>
      <c r="T317" s="544"/>
      <c r="U317" s="544"/>
      <c r="V317" s="544"/>
      <c r="W317" s="544"/>
      <c r="X317" s="544"/>
      <c r="Y317" s="544"/>
      <c r="Z317" s="544"/>
      <c r="AA317" s="544"/>
      <c r="AB317" s="544"/>
      <c r="AC317" s="544"/>
      <c r="AD317" s="544"/>
      <c r="AE317" s="592"/>
      <c r="AF317" s="877"/>
      <c r="AG317" s="877"/>
      <c r="AH317" s="877"/>
      <c r="AI317" s="877"/>
      <c r="AJ317" s="877"/>
      <c r="AK317" s="877"/>
      <c r="AL317" s="877"/>
      <c r="AM317" s="877"/>
      <c r="AN317" s="877"/>
      <c r="AO317" s="877"/>
      <c r="AP317" s="405"/>
      <c r="AQ317" s="593"/>
    </row>
  </sheetData>
  <autoFilter ref="A2:AQ317" xr:uid="{00000000-0009-0000-0000-00000B000000}"/>
  <mergeCells count="5">
    <mergeCell ref="A1:H1"/>
    <mergeCell ref="I1:J1"/>
    <mergeCell ref="K1:M1"/>
    <mergeCell ref="N1:AD1"/>
    <mergeCell ref="AF1:AP1"/>
  </mergeCells>
  <phoneticPr fontId="64" type="noConversion"/>
  <conditionalFormatting sqref="G52:I52 G70:I70 B12 C12:D21 B21 B180:B183 B118:D129 G178:I178 B22:D23 B130:B151 M201:N203 B2:D11 I1 H2:I2 AQ37:AQ44 L82:N88 L186:N186 L198:N198 L194:N195 L143:N143 L145:N151 O21:O22 AQ46 B110:C115 L180:N181 AC186 B46:D46 B90:D109 G48:G51 B63:D88 B62 AQ62:AQ68 O25:O26 AQ133:AQ136 I114:J117 H3:K3 G179:J183 B25:D44 K2:L2 L43:M43 F90:J94 B153:B173 C130:D173 L153:N155 AQ153:AQ173 O154:O155 AQ190:AQ211 N182:N185 N187:N193 N196:N197 N199:N200 N29:N31 M27:O28 N35:N36 L38:N39 N37:O37 N41:N43 L41:M41 O41 L48:N49 N44:O47 L51:N51 N50:O50 N52:O52 N119:N126 N115:O118 L131:N136 N137:N142 N144 N152 L127:O130 O207:O208 O210:O211 O213:O214 O216 O224 N40:O40 L100:N100 L114:N114 L125:M126 N58:N59 N65:N69 N2:N26 L18:M25 B24:C24 O2:P3 O4:O12 N32:O34 B184:C211 G2:G44 G46:I46 G184:I184 H4:J44 F63:F88 G71:J89 N71:N81 N89:N99 N101:N113 AQ89 B89:C89 AQ213:AQ227 AC207:AC211 AC4 AC10 AC15:AC19 AC28 AC67:AC75 AC106 AC108 AC110 AC112 AC180 AC182 H47:J51 H118:J173 AC178 AC150:AC173 AC82 AC85:AC89 AC96:AC101 L10:M10 L29:M29 L47:M47 L89:M89 L204:N227 AB2:AE3 N158 L157:N157 N156 AD4:AE28 L53:N57 AF2:AF55 AC48:AC60 AB4:AB28 G53:J69 F2:F60 B48:D60 L60:N64 AQ48:AQ60 AB47:AB54 AD47:AE55 AE29:AE46 AB61:AB173 AQ2:AQ3 G185:J227 N167 K168:N173 AC176 G176:J177 AQ176:AQ177 C176:D181 B176:B177 F176:F234 G231 G233 H228 J228 N228 N230 N232 AB176:AB231 AC213:AC231 P176:P231 P4:P173 G228:G229 AD56:AL173 O182:O190 F95:G173 K176:K227 F238:F253 N234:N235 N238:N253 H234:H235 L246:M253 J232:J235 G236:H253 J236:N237 AF254:AL257 B213:C253 C275 C278:C289 AE234:AL253 AE254:AE289 V268:AA269 J258:M258 V265:AA266 AC254:AC271 J270:M270 V271:AA271 AD176:AL231 AF261:AL263 AF268:AL269 AF259:AL259 AF265:AL266 AF271:AL271 AF3:AL55 C296 AE296:AP296 AL3:AP293 H270 H268:S269 H271:S271 K182:M182 K159:N166 K4:K155 AC297 J238:K253 H265:S265 H266:H267 J266:M267 Q266:S266 M295:M301 A2:A301 A316:A317 M316:M317 H95:J113 L176:O179 G296:G301 H260:H264 C255:C272 J272:J289 J260:M264 V261:AA263 Q261:S263 F296 F258:H258 F259:AA259 F254:AA257 F260:F271 F235:G237 C182:C183 D182:D300">
    <cfRule type="cellIs" dxfId="1092" priority="552" operator="equal">
      <formula>"Cancelled"</formula>
    </cfRule>
    <cfRule type="cellIs" dxfId="1091" priority="553" operator="equal">
      <formula>"Obsolete"</formula>
    </cfRule>
    <cfRule type="cellIs" dxfId="1090" priority="554" operator="equal">
      <formula>"EOSS"</formula>
    </cfRule>
  </conditionalFormatting>
  <conditionalFormatting sqref="J46">
    <cfRule type="cellIs" dxfId="1089" priority="555" operator="equal">
      <formula>"Cancelled"</formula>
    </cfRule>
    <cfRule type="cellIs" dxfId="1088" priority="556" operator="equal">
      <formula>"Obsolete"</formula>
    </cfRule>
    <cfRule type="cellIs" dxfId="1087" priority="557" operator="equal">
      <formula>"EOSS"</formula>
    </cfRule>
  </conditionalFormatting>
  <conditionalFormatting sqref="J52">
    <cfRule type="cellIs" dxfId="1086" priority="558" operator="equal">
      <formula>"Cancelled"</formula>
    </cfRule>
    <cfRule type="cellIs" dxfId="1085" priority="559" operator="equal">
      <formula>"Obsolete"</formula>
    </cfRule>
    <cfRule type="cellIs" dxfId="1084" priority="560" operator="equal">
      <formula>"EOSS"</formula>
    </cfRule>
  </conditionalFormatting>
  <conditionalFormatting sqref="J70">
    <cfRule type="cellIs" dxfId="1083" priority="561" operator="equal">
      <formula>"Cancelled"</formula>
    </cfRule>
    <cfRule type="cellIs" dxfId="1082" priority="562" operator="equal">
      <formula>"Obsolete"</formula>
    </cfRule>
    <cfRule type="cellIs" dxfId="1081" priority="563" operator="equal">
      <formula>"EOSS"</formula>
    </cfRule>
  </conditionalFormatting>
  <conditionalFormatting sqref="N70">
    <cfRule type="cellIs" dxfId="1080" priority="564" operator="equal">
      <formula>"Cancelled"</formula>
    </cfRule>
    <cfRule type="cellIs" dxfId="1079" priority="565" operator="equal">
      <formula>"Obsolete"</formula>
    </cfRule>
    <cfRule type="cellIs" dxfId="1078" priority="566" operator="equal">
      <formula>"EOSS"</formula>
    </cfRule>
  </conditionalFormatting>
  <conditionalFormatting sqref="AQ23 AQ25 AQ27 AQ70 AQ186:AQ188 AQ180:AQ183 AC181 AQ72:AQ88 AC121:AC122 AC124:AC128 AQ29:AQ36 AQ12:AQ21 AQ90:AQ115 AC191 AQ130:AQ132 AQ124:AQ128 AQ121:AQ122 AQ118:AQ119 AQ137:AQ148 AC5:AC9 AC20:AC27 AC83:AC84 AC113:AC119 AC193 AC196 AQ4:AQ10">
    <cfRule type="cellIs" dxfId="1077" priority="570" operator="equal">
      <formula>"Cancelled"</formula>
    </cfRule>
    <cfRule type="cellIs" dxfId="1076" priority="571" operator="equal">
      <formula>"Obsolete"</formula>
    </cfRule>
    <cfRule type="cellIs" dxfId="1075" priority="572" operator="equal">
      <formula>"EOSS"</formula>
    </cfRule>
  </conditionalFormatting>
  <conditionalFormatting sqref="AQ189">
    <cfRule type="cellIs" dxfId="1074" priority="573" operator="equal">
      <formula>"Cancelled"</formula>
    </cfRule>
    <cfRule type="cellIs" dxfId="1073" priority="574" operator="equal">
      <formula>"Obsolete"</formula>
    </cfRule>
    <cfRule type="cellIs" dxfId="1072" priority="575" operator="equal">
      <formula>"EOSS"</formula>
    </cfRule>
  </conditionalFormatting>
  <conditionalFormatting sqref="AQ11 AC11:AC14 AC105 AC107 AC109 AC111 AC183:AC184 AC189:AC190 AC192 AC194:AC195 AC197:AC198 AC200:AC201 AC203 AC205">
    <cfRule type="cellIs" dxfId="1071" priority="576" operator="equal">
      <formula>"Cancelled"</formula>
    </cfRule>
    <cfRule type="cellIs" dxfId="1070" priority="577" operator="equal">
      <formula>"Obsolete"</formula>
    </cfRule>
    <cfRule type="cellIs" dxfId="1069" priority="578" operator="equal">
      <formula>"EOSS"</formula>
    </cfRule>
  </conditionalFormatting>
  <conditionalFormatting sqref="AQ71">
    <cfRule type="cellIs" dxfId="1068" priority="579" operator="equal">
      <formula>"Cancelled"</formula>
    </cfRule>
    <cfRule type="cellIs" dxfId="1067" priority="580" operator="equal">
      <formula>"Obsolete"</formula>
    </cfRule>
    <cfRule type="cellIs" dxfId="1066" priority="581" operator="equal">
      <formula>"EOSS"</formula>
    </cfRule>
  </conditionalFormatting>
  <conditionalFormatting sqref="AQ69">
    <cfRule type="cellIs" dxfId="1065" priority="582" operator="equal">
      <formula>"Cancelled"</formula>
    </cfRule>
    <cfRule type="cellIs" dxfId="1064" priority="583" operator="equal">
      <formula>"Obsolete"</formula>
    </cfRule>
    <cfRule type="cellIs" dxfId="1063" priority="584" operator="equal">
      <formula>"EOSS"</formula>
    </cfRule>
  </conditionalFormatting>
  <conditionalFormatting sqref="AQ184">
    <cfRule type="cellIs" dxfId="1062" priority="585" operator="equal">
      <formula>"Cancelled"</formula>
    </cfRule>
    <cfRule type="cellIs" dxfId="1061" priority="586" operator="equal">
      <formula>"Obsolete"</formula>
    </cfRule>
    <cfRule type="cellIs" dxfId="1060" priority="587" operator="equal">
      <formula>"EOSS"</formula>
    </cfRule>
  </conditionalFormatting>
  <conditionalFormatting sqref="AQ28">
    <cfRule type="cellIs" dxfId="1059" priority="588" operator="equal">
      <formula>"Cancelled"</formula>
    </cfRule>
    <cfRule type="cellIs" dxfId="1058" priority="589" operator="equal">
      <formula>"Obsolete"</formula>
    </cfRule>
    <cfRule type="cellIs" dxfId="1057" priority="590" operator="equal">
      <formula>"EOSS"</formula>
    </cfRule>
  </conditionalFormatting>
  <conditionalFormatting sqref="AQ22">
    <cfRule type="cellIs" dxfId="1056" priority="591" operator="equal">
      <formula>"Cancelled"</formula>
    </cfRule>
    <cfRule type="cellIs" dxfId="1055" priority="592" operator="equal">
      <formula>"Obsolete"</formula>
    </cfRule>
    <cfRule type="cellIs" dxfId="1054" priority="593" operator="equal">
      <formula>"EOSS"</formula>
    </cfRule>
  </conditionalFormatting>
  <conditionalFormatting sqref="AQ26">
    <cfRule type="cellIs" dxfId="1053" priority="594" operator="equal">
      <formula>"Cancelled"</formula>
    </cfRule>
    <cfRule type="cellIs" dxfId="1052" priority="595" operator="equal">
      <formula>"Obsolete"</formula>
    </cfRule>
    <cfRule type="cellIs" dxfId="1051" priority="596" operator="equal">
      <formula>"EOSS"</formula>
    </cfRule>
  </conditionalFormatting>
  <conditionalFormatting sqref="J178">
    <cfRule type="cellIs" dxfId="1050" priority="597" operator="equal">
      <formula>"Cancelled"</formula>
    </cfRule>
    <cfRule type="cellIs" dxfId="1049" priority="598" operator="equal">
      <formula>"Obsolete"</formula>
    </cfRule>
    <cfRule type="cellIs" dxfId="1048" priority="599" operator="equal">
      <formula>"EOSS"</formula>
    </cfRule>
  </conditionalFormatting>
  <conditionalFormatting sqref="N178">
    <cfRule type="cellIs" dxfId="1047" priority="600" operator="equal">
      <formula>"Cancelled"</formula>
    </cfRule>
    <cfRule type="cellIs" dxfId="1046" priority="601" operator="equal">
      <formula>"Obsolete"</formula>
    </cfRule>
    <cfRule type="cellIs" dxfId="1045" priority="602" operator="equal">
      <formula>"EOSS"</formula>
    </cfRule>
  </conditionalFormatting>
  <conditionalFormatting sqref="AQ178">
    <cfRule type="cellIs" dxfId="1044" priority="603" operator="equal">
      <formula>"Cancelled"</formula>
    </cfRule>
    <cfRule type="cellIs" dxfId="1043" priority="604" operator="equal">
      <formula>"Obsolete"</formula>
    </cfRule>
    <cfRule type="cellIs" dxfId="1042" priority="605" operator="equal">
      <formula>"EOSS"</formula>
    </cfRule>
  </conditionalFormatting>
  <conditionalFormatting sqref="AQ179">
    <cfRule type="cellIs" dxfId="1041" priority="606" operator="equal">
      <formula>"Cancelled"</formula>
    </cfRule>
    <cfRule type="cellIs" dxfId="1040" priority="607" operator="equal">
      <formula>"Obsolete"</formula>
    </cfRule>
    <cfRule type="cellIs" dxfId="1039" priority="608" operator="equal">
      <formula>"EOSS"</formula>
    </cfRule>
  </conditionalFormatting>
  <conditionalFormatting sqref="B178:C179">
    <cfRule type="cellIs" dxfId="1038" priority="609" operator="equal">
      <formula>"Cancelled"</formula>
    </cfRule>
    <cfRule type="cellIs" dxfId="1037" priority="610" operator="equal">
      <formula>"Obsolete"</formula>
    </cfRule>
    <cfRule type="cellIs" dxfId="1036" priority="611" operator="equal">
      <formula>"EOSS"</formula>
    </cfRule>
  </conditionalFormatting>
  <conditionalFormatting sqref="L3 L5:L8 L11:L13 L15:L16 L31 L58:L60">
    <cfRule type="cellIs" dxfId="1035" priority="612" operator="equal">
      <formula>"Cancelled"</formula>
    </cfRule>
    <cfRule type="cellIs" dxfId="1034" priority="613" operator="equal">
      <formula>"Obsolete"</formula>
    </cfRule>
    <cfRule type="cellIs" dxfId="1033" priority="614" operator="equal">
      <formula>"EOSS"</formula>
    </cfRule>
  </conditionalFormatting>
  <conditionalFormatting sqref="M3:P3 M5:M8 M11:M13 M15:M16 M31 M58:M60">
    <cfRule type="cellIs" dxfId="1032" priority="615" operator="equal">
      <formula>"Cancelled"</formula>
    </cfRule>
    <cfRule type="cellIs" dxfId="1031" priority="616" operator="equal">
      <formula>"Obsolete"</formula>
    </cfRule>
    <cfRule type="cellIs" dxfId="1030" priority="617" operator="equal">
      <formula>"EOSS"</formula>
    </cfRule>
  </conditionalFormatting>
  <conditionalFormatting sqref="N7:O8">
    <cfRule type="cellIs" dxfId="1029" priority="618" operator="equal">
      <formula>"Cancelled"</formula>
    </cfRule>
    <cfRule type="cellIs" dxfId="1028" priority="619" operator="equal">
      <formula>"Obsolete"</formula>
    </cfRule>
    <cfRule type="cellIs" dxfId="1027" priority="620" operator="equal">
      <formula>"EOSS"</formula>
    </cfRule>
  </conditionalFormatting>
  <conditionalFormatting sqref="L9:L10">
    <cfRule type="cellIs" dxfId="1026" priority="621" operator="equal">
      <formula>"Cancelled"</formula>
    </cfRule>
    <cfRule type="cellIs" dxfId="1025" priority="622" operator="equal">
      <formula>"Obsolete"</formula>
    </cfRule>
    <cfRule type="cellIs" dxfId="1024" priority="623" operator="equal">
      <formula>"EOSS"</formula>
    </cfRule>
  </conditionalFormatting>
  <conditionalFormatting sqref="M9:O10 N7:O8 N11:O11">
    <cfRule type="cellIs" dxfId="1023" priority="624" operator="equal">
      <formula>"Cancelled"</formula>
    </cfRule>
    <cfRule type="cellIs" dxfId="1022" priority="625" operator="equal">
      <formula>"Obsolete"</formula>
    </cfRule>
    <cfRule type="cellIs" dxfId="1021" priority="626" operator="equal">
      <formula>"EOSS"</formula>
    </cfRule>
  </conditionalFormatting>
  <conditionalFormatting sqref="L9:O10 N28:O28 N37:O37 N40:O40 N44:O47 N50:O50 N52:O52 N115:O118 N127:O130 O183:O190 O207:O208 O210:O211 O213:O214 O216 O224 N5:O8 N11:O11 N32:O34">
    <cfRule type="cellIs" dxfId="1020" priority="627" operator="equal">
      <formula>"Cancelled"</formula>
    </cfRule>
    <cfRule type="cellIs" dxfId="1019" priority="628" operator="equal">
      <formula>"Obsolete"</formula>
    </cfRule>
    <cfRule type="cellIs" dxfId="1018" priority="629" operator="equal">
      <formula>"EOSS"</formula>
    </cfRule>
  </conditionalFormatting>
  <conditionalFormatting sqref="N11:O11">
    <cfRule type="cellIs" dxfId="1017" priority="630" operator="equal">
      <formula>"Cancelled"</formula>
    </cfRule>
    <cfRule type="cellIs" dxfId="1016" priority="631" operator="equal">
      <formula>"Obsolete"</formula>
    </cfRule>
    <cfRule type="cellIs" dxfId="1015" priority="632" operator="equal">
      <formula>"EOSS"</formula>
    </cfRule>
  </conditionalFormatting>
  <conditionalFormatting sqref="L33 L35:L36">
    <cfRule type="cellIs" dxfId="1014" priority="633" operator="equal">
      <formula>"Cancelled"</formula>
    </cfRule>
    <cfRule type="cellIs" dxfId="1013" priority="634" operator="equal">
      <formula>"Obsolete"</formula>
    </cfRule>
    <cfRule type="cellIs" dxfId="1012" priority="635" operator="equal">
      <formula>"EOSS"</formula>
    </cfRule>
  </conditionalFormatting>
  <conditionalFormatting sqref="M35:N36 M33">
    <cfRule type="cellIs" dxfId="1011" priority="636" operator="equal">
      <formula>"Cancelled"</formula>
    </cfRule>
    <cfRule type="cellIs" dxfId="1010" priority="637" operator="equal">
      <formula>"Obsolete"</formula>
    </cfRule>
    <cfRule type="cellIs" dxfId="1009" priority="638" operator="equal">
      <formula>"EOSS"</formula>
    </cfRule>
  </conditionalFormatting>
  <conditionalFormatting sqref="L62">
    <cfRule type="cellIs" dxfId="1008" priority="639" operator="equal">
      <formula>"Cancelled"</formula>
    </cfRule>
    <cfRule type="cellIs" dxfId="1007" priority="640" operator="equal">
      <formula>"Obsolete"</formula>
    </cfRule>
    <cfRule type="cellIs" dxfId="1006" priority="641" operator="equal">
      <formula>"EOSS"</formula>
    </cfRule>
  </conditionalFormatting>
  <conditionalFormatting sqref="M62:N62">
    <cfRule type="cellIs" dxfId="1005" priority="642" operator="equal">
      <formula>"Cancelled"</formula>
    </cfRule>
    <cfRule type="cellIs" dxfId="1004" priority="643" operator="equal">
      <formula>"Obsolete"</formula>
    </cfRule>
    <cfRule type="cellIs" dxfId="1003" priority="644" operator="equal">
      <formula>"EOSS"</formula>
    </cfRule>
  </conditionalFormatting>
  <conditionalFormatting sqref="L65">
    <cfRule type="cellIs" dxfId="1002" priority="645" operator="equal">
      <formula>"Cancelled"</formula>
    </cfRule>
    <cfRule type="cellIs" dxfId="1001" priority="646" operator="equal">
      <formula>"Obsolete"</formula>
    </cfRule>
    <cfRule type="cellIs" dxfId="1000" priority="647" operator="equal">
      <formula>"EOSS"</formula>
    </cfRule>
  </conditionalFormatting>
  <conditionalFormatting sqref="M65:N65">
    <cfRule type="cellIs" dxfId="999" priority="648" operator="equal">
      <formula>"Cancelled"</formula>
    </cfRule>
    <cfRule type="cellIs" dxfId="998" priority="649" operator="equal">
      <formula>"Obsolete"</formula>
    </cfRule>
    <cfRule type="cellIs" dxfId="997" priority="650" operator="equal">
      <formula>"EOSS"</formula>
    </cfRule>
  </conditionalFormatting>
  <conditionalFormatting sqref="L66">
    <cfRule type="cellIs" dxfId="996" priority="651" operator="equal">
      <formula>"Cancelled"</formula>
    </cfRule>
    <cfRule type="cellIs" dxfId="995" priority="652" operator="equal">
      <formula>"Obsolete"</formula>
    </cfRule>
    <cfRule type="cellIs" dxfId="994" priority="653" operator="equal">
      <formula>"EOSS"</formula>
    </cfRule>
  </conditionalFormatting>
  <conditionalFormatting sqref="M66:N66">
    <cfRule type="cellIs" dxfId="993" priority="654" operator="equal">
      <formula>"Cancelled"</formula>
    </cfRule>
    <cfRule type="cellIs" dxfId="992" priority="655" operator="equal">
      <formula>"Obsolete"</formula>
    </cfRule>
    <cfRule type="cellIs" dxfId="991" priority="656" operator="equal">
      <formula>"EOSS"</formula>
    </cfRule>
  </conditionalFormatting>
  <conditionalFormatting sqref="L78:L81">
    <cfRule type="cellIs" dxfId="990" priority="657" operator="equal">
      <formula>"Cancelled"</formula>
    </cfRule>
    <cfRule type="cellIs" dxfId="989" priority="658" operator="equal">
      <formula>"Obsolete"</formula>
    </cfRule>
    <cfRule type="cellIs" dxfId="988" priority="659" operator="equal">
      <formula>"EOSS"</formula>
    </cfRule>
  </conditionalFormatting>
  <conditionalFormatting sqref="M78:N81">
    <cfRule type="cellIs" dxfId="987" priority="660" operator="equal">
      <formula>"Cancelled"</formula>
    </cfRule>
    <cfRule type="cellIs" dxfId="986" priority="661" operator="equal">
      <formula>"Obsolete"</formula>
    </cfRule>
    <cfRule type="cellIs" dxfId="985" priority="662" operator="equal">
      <formula>"EOSS"</formula>
    </cfRule>
  </conditionalFormatting>
  <conditionalFormatting sqref="L90:L95">
    <cfRule type="cellIs" dxfId="984" priority="663" operator="equal">
      <formula>"Cancelled"</formula>
    </cfRule>
    <cfRule type="cellIs" dxfId="983" priority="664" operator="equal">
      <formula>"Obsolete"</formula>
    </cfRule>
    <cfRule type="cellIs" dxfId="982" priority="665" operator="equal">
      <formula>"EOSS"</formula>
    </cfRule>
  </conditionalFormatting>
  <conditionalFormatting sqref="M90:N95 N102">
    <cfRule type="cellIs" dxfId="981" priority="666" operator="equal">
      <formula>"Cancelled"</formula>
    </cfRule>
    <cfRule type="cellIs" dxfId="980" priority="667" operator="equal">
      <formula>"Obsolete"</formula>
    </cfRule>
    <cfRule type="cellIs" dxfId="979" priority="668" operator="equal">
      <formula>"EOSS"</formula>
    </cfRule>
  </conditionalFormatting>
  <conditionalFormatting sqref="L108 L124">
    <cfRule type="cellIs" dxfId="978" priority="669" operator="equal">
      <formula>"Cancelled"</formula>
    </cfRule>
    <cfRule type="cellIs" dxfId="977" priority="670" operator="equal">
      <formula>"Obsolete"</formula>
    </cfRule>
    <cfRule type="cellIs" dxfId="976" priority="671" operator="equal">
      <formula>"EOSS"</formula>
    </cfRule>
  </conditionalFormatting>
  <conditionalFormatting sqref="M108:N108 N119 M124:N124 N121:N122 N109">
    <cfRule type="cellIs" dxfId="975" priority="672" operator="equal">
      <formula>"Cancelled"</formula>
    </cfRule>
    <cfRule type="cellIs" dxfId="974" priority="673" operator="equal">
      <formula>"Obsolete"</formula>
    </cfRule>
    <cfRule type="cellIs" dxfId="973" priority="674" operator="equal">
      <formula>"EOSS"</formula>
    </cfRule>
  </conditionalFormatting>
  <conditionalFormatting sqref="L137:L142">
    <cfRule type="cellIs" dxfId="972" priority="675" operator="equal">
      <formula>"Cancelled"</formula>
    </cfRule>
    <cfRule type="cellIs" dxfId="971" priority="676" operator="equal">
      <formula>"Obsolete"</formula>
    </cfRule>
    <cfRule type="cellIs" dxfId="970" priority="677" operator="equal">
      <formula>"EOSS"</formula>
    </cfRule>
  </conditionalFormatting>
  <conditionalFormatting sqref="M137:N142">
    <cfRule type="cellIs" dxfId="969" priority="678" operator="equal">
      <formula>"Cancelled"</formula>
    </cfRule>
    <cfRule type="cellIs" dxfId="968" priority="679" operator="equal">
      <formula>"Obsolete"</formula>
    </cfRule>
    <cfRule type="cellIs" dxfId="967" priority="680" operator="equal">
      <formula>"EOSS"</formula>
    </cfRule>
  </conditionalFormatting>
  <conditionalFormatting sqref="L154">
    <cfRule type="cellIs" dxfId="966" priority="681" operator="equal">
      <formula>"Cancelled"</formula>
    </cfRule>
    <cfRule type="cellIs" dxfId="965" priority="682" operator="equal">
      <formula>"Obsolete"</formula>
    </cfRule>
    <cfRule type="cellIs" dxfId="964" priority="683" operator="equal">
      <formula>"EOSS"</formula>
    </cfRule>
  </conditionalFormatting>
  <conditionalFormatting sqref="M154:O154">
    <cfRule type="cellIs" dxfId="963" priority="684" operator="equal">
      <formula>"Cancelled"</formula>
    </cfRule>
    <cfRule type="cellIs" dxfId="962" priority="685" operator="equal">
      <formula>"Obsolete"</formula>
    </cfRule>
    <cfRule type="cellIs" dxfId="961" priority="686" operator="equal">
      <formula>"EOSS"</formula>
    </cfRule>
  </conditionalFormatting>
  <conditionalFormatting sqref="N182">
    <cfRule type="cellIs" dxfId="960" priority="690" operator="equal">
      <formula>"Cancelled"</formula>
    </cfRule>
    <cfRule type="cellIs" dxfId="959" priority="691" operator="equal">
      <formula>"Obsolete"</formula>
    </cfRule>
    <cfRule type="cellIs" dxfId="958" priority="692" operator="equal">
      <formula>"EOSS"</formula>
    </cfRule>
  </conditionalFormatting>
  <conditionalFormatting sqref="L183">
    <cfRule type="cellIs" dxfId="957" priority="693" operator="equal">
      <formula>"Cancelled"</formula>
    </cfRule>
    <cfRule type="cellIs" dxfId="956" priority="694" operator="equal">
      <formula>"Obsolete"</formula>
    </cfRule>
    <cfRule type="cellIs" dxfId="955" priority="695" operator="equal">
      <formula>"EOSS"</formula>
    </cfRule>
  </conditionalFormatting>
  <conditionalFormatting sqref="M183:N183">
    <cfRule type="cellIs" dxfId="954" priority="696" operator="equal">
      <formula>"Cancelled"</formula>
    </cfRule>
    <cfRule type="cellIs" dxfId="953" priority="697" operator="equal">
      <formula>"Obsolete"</formula>
    </cfRule>
    <cfRule type="cellIs" dxfId="952" priority="698" operator="equal">
      <formula>"EOSS"</formula>
    </cfRule>
  </conditionalFormatting>
  <conditionalFormatting sqref="L184">
    <cfRule type="cellIs" dxfId="951" priority="699" operator="equal">
      <formula>"Cancelled"</formula>
    </cfRule>
    <cfRule type="cellIs" dxfId="950" priority="700" operator="equal">
      <formula>"Obsolete"</formula>
    </cfRule>
    <cfRule type="cellIs" dxfId="949" priority="701" operator="equal">
      <formula>"EOSS"</formula>
    </cfRule>
  </conditionalFormatting>
  <conditionalFormatting sqref="M184:N184">
    <cfRule type="cellIs" dxfId="948" priority="702" operator="equal">
      <formula>"Cancelled"</formula>
    </cfRule>
    <cfRule type="cellIs" dxfId="947" priority="703" operator="equal">
      <formula>"Obsolete"</formula>
    </cfRule>
    <cfRule type="cellIs" dxfId="946" priority="704" operator="equal">
      <formula>"EOSS"</formula>
    </cfRule>
  </conditionalFormatting>
  <conditionalFormatting sqref="L189:L191">
    <cfRule type="cellIs" dxfId="945" priority="705" operator="equal">
      <formula>"Cancelled"</formula>
    </cfRule>
    <cfRule type="cellIs" dxfId="944" priority="706" operator="equal">
      <formula>"Obsolete"</formula>
    </cfRule>
    <cfRule type="cellIs" dxfId="943" priority="707" operator="equal">
      <formula>"EOSS"</formula>
    </cfRule>
  </conditionalFormatting>
  <conditionalFormatting sqref="M189:N191">
    <cfRule type="cellIs" dxfId="942" priority="708" operator="equal">
      <formula>"Cancelled"</formula>
    </cfRule>
    <cfRule type="cellIs" dxfId="941" priority="709" operator="equal">
      <formula>"Obsolete"</formula>
    </cfRule>
    <cfRule type="cellIs" dxfId="940" priority="710" operator="equal">
      <formula>"EOSS"</formula>
    </cfRule>
  </conditionalFormatting>
  <conditionalFormatting sqref="L201:L203">
    <cfRule type="cellIs" dxfId="939" priority="711" operator="equal">
      <formula>"Cancelled"</formula>
    </cfRule>
    <cfRule type="cellIs" dxfId="938" priority="712" operator="equal">
      <formula>"Obsolete"</formula>
    </cfRule>
    <cfRule type="cellIs" dxfId="937" priority="713" operator="equal">
      <formula>"EOSS"</formula>
    </cfRule>
  </conditionalFormatting>
  <conditionalFormatting sqref="L196">
    <cfRule type="cellIs" dxfId="936" priority="714" operator="equal">
      <formula>"Cancelled"</formula>
    </cfRule>
    <cfRule type="cellIs" dxfId="935" priority="715" operator="equal">
      <formula>"Obsolete"</formula>
    </cfRule>
    <cfRule type="cellIs" dxfId="934" priority="716" operator="equal">
      <formula>"EOSS"</formula>
    </cfRule>
  </conditionalFormatting>
  <conditionalFormatting sqref="M196:N196">
    <cfRule type="cellIs" dxfId="933" priority="717" operator="equal">
      <formula>"Cancelled"</formula>
    </cfRule>
    <cfRule type="cellIs" dxfId="932" priority="718" operator="equal">
      <formula>"Obsolete"</formula>
    </cfRule>
    <cfRule type="cellIs" dxfId="931" priority="719" operator="equal">
      <formula>"EOSS"</formula>
    </cfRule>
  </conditionalFormatting>
  <conditionalFormatting sqref="L197">
    <cfRule type="cellIs" dxfId="930" priority="720" operator="equal">
      <formula>"Cancelled"</formula>
    </cfRule>
    <cfRule type="cellIs" dxfId="929" priority="721" operator="equal">
      <formula>"Obsolete"</formula>
    </cfRule>
    <cfRule type="cellIs" dxfId="928" priority="722" operator="equal">
      <formula>"EOSS"</formula>
    </cfRule>
  </conditionalFormatting>
  <conditionalFormatting sqref="M197:N197">
    <cfRule type="cellIs" dxfId="927" priority="723" operator="equal">
      <formula>"Cancelled"</formula>
    </cfRule>
    <cfRule type="cellIs" dxfId="926" priority="724" operator="equal">
      <formula>"Obsolete"</formula>
    </cfRule>
    <cfRule type="cellIs" dxfId="925" priority="725" operator="equal">
      <formula>"EOSS"</formula>
    </cfRule>
  </conditionalFormatting>
  <conditionalFormatting sqref="L42">
    <cfRule type="cellIs" dxfId="924" priority="726" operator="equal">
      <formula>"Cancelled"</formula>
    </cfRule>
    <cfRule type="cellIs" dxfId="923" priority="727" operator="equal">
      <formula>"Obsolete"</formula>
    </cfRule>
    <cfRule type="cellIs" dxfId="922" priority="728" operator="equal">
      <formula>"EOSS"</formula>
    </cfRule>
  </conditionalFormatting>
  <conditionalFormatting sqref="M42:N42">
    <cfRule type="cellIs" dxfId="921" priority="729" operator="equal">
      <formula>"Cancelled"</formula>
    </cfRule>
    <cfRule type="cellIs" dxfId="920" priority="730" operator="equal">
      <formula>"Obsolete"</formula>
    </cfRule>
    <cfRule type="cellIs" dxfId="919" priority="731" operator="equal">
      <formula>"EOSS"</formula>
    </cfRule>
  </conditionalFormatting>
  <conditionalFormatting sqref="AC62:AC63">
    <cfRule type="cellIs" dxfId="918" priority="732" operator="equal">
      <formula>"Cancelled"</formula>
    </cfRule>
    <cfRule type="cellIs" dxfId="917" priority="733" operator="equal">
      <formula>"Obsolete"</formula>
    </cfRule>
    <cfRule type="cellIs" dxfId="916" priority="734" operator="equal">
      <formula>"EOSS"</formula>
    </cfRule>
  </conditionalFormatting>
  <conditionalFormatting sqref="L72:N77">
    <cfRule type="cellIs" dxfId="915" priority="735" operator="equal">
      <formula>"Cancelled"</formula>
    </cfRule>
    <cfRule type="cellIs" dxfId="914" priority="736" operator="equal">
      <formula>"Obsolete"</formula>
    </cfRule>
    <cfRule type="cellIs" dxfId="913" priority="737" operator="equal">
      <formula>"EOSS"</formula>
    </cfRule>
  </conditionalFormatting>
  <conditionalFormatting sqref="AC76">
    <cfRule type="cellIs" dxfId="912" priority="738" operator="equal">
      <formula>"Cancelled"</formula>
    </cfRule>
    <cfRule type="cellIs" dxfId="911" priority="739" operator="equal">
      <formula>"Obsolete"</formula>
    </cfRule>
    <cfRule type="cellIs" dxfId="910" priority="740" operator="equal">
      <formula>"EOSS"</formula>
    </cfRule>
  </conditionalFormatting>
  <conditionalFormatting sqref="L107:N107 N103:N106">
    <cfRule type="cellIs" dxfId="909" priority="741" operator="equal">
      <formula>"Cancelled"</formula>
    </cfRule>
    <cfRule type="cellIs" dxfId="908" priority="742" operator="equal">
      <formula>"Obsolete"</formula>
    </cfRule>
    <cfRule type="cellIs" dxfId="907" priority="743" operator="equal">
      <formula>"EOSS"</formula>
    </cfRule>
  </conditionalFormatting>
  <conditionalFormatting sqref="L187:N188 AC187:AC188">
    <cfRule type="cellIs" dxfId="906" priority="744" operator="equal">
      <formula>"Cancelled"</formula>
    </cfRule>
    <cfRule type="cellIs" dxfId="905" priority="745" operator="equal">
      <formula>"Obsolete"</formula>
    </cfRule>
    <cfRule type="cellIs" dxfId="904" priority="746" operator="equal">
      <formula>"EOSS"</formula>
    </cfRule>
  </conditionalFormatting>
  <conditionalFormatting sqref="L192:N193">
    <cfRule type="cellIs" dxfId="903" priority="747" operator="equal">
      <formula>"Cancelled"</formula>
    </cfRule>
    <cfRule type="cellIs" dxfId="902" priority="748" operator="equal">
      <formula>"Obsolete"</formula>
    </cfRule>
    <cfRule type="cellIs" dxfId="901" priority="749" operator="equal">
      <formula>"EOSS"</formula>
    </cfRule>
  </conditionalFormatting>
  <conditionalFormatting sqref="L199:N200">
    <cfRule type="cellIs" dxfId="900" priority="750" operator="equal">
      <formula>"Cancelled"</formula>
    </cfRule>
    <cfRule type="cellIs" dxfId="899" priority="751" operator="equal">
      <formula>"Obsolete"</formula>
    </cfRule>
    <cfRule type="cellIs" dxfId="898" priority="752" operator="equal">
      <formula>"EOSS"</formula>
    </cfRule>
  </conditionalFormatting>
  <conditionalFormatting sqref="B13:C14 B17:C20 C15:C16">
    <cfRule type="cellIs" dxfId="897" priority="753" operator="equal">
      <formula>"Cancelled"</formula>
    </cfRule>
    <cfRule type="cellIs" dxfId="896" priority="754" operator="equal">
      <formula>"Obsolete"</formula>
    </cfRule>
    <cfRule type="cellIs" dxfId="895" priority="755" operator="equal">
      <formula>"EOSS"</formula>
    </cfRule>
  </conditionalFormatting>
  <conditionalFormatting sqref="K157">
    <cfRule type="cellIs" dxfId="894" priority="774" operator="equal">
      <formula>"Cancelled"</formula>
    </cfRule>
    <cfRule type="cellIs" dxfId="893" priority="775" operator="equal">
      <formula>"Obsolete"</formula>
    </cfRule>
    <cfRule type="cellIs" dxfId="892" priority="776" operator="equal">
      <formula>"EOSS"</formula>
    </cfRule>
  </conditionalFormatting>
  <conditionalFormatting sqref="L4">
    <cfRule type="cellIs" dxfId="891" priority="777" operator="equal">
      <formula>"Cancelled"</formula>
    </cfRule>
    <cfRule type="cellIs" dxfId="890" priority="778" operator="equal">
      <formula>"Obsolete"</formula>
    </cfRule>
    <cfRule type="cellIs" dxfId="889" priority="779" operator="equal">
      <formula>"EOSS"</formula>
    </cfRule>
  </conditionalFormatting>
  <conditionalFormatting sqref="M4:O4">
    <cfRule type="cellIs" dxfId="888" priority="780" operator="equal">
      <formula>"Cancelled"</formula>
    </cfRule>
    <cfRule type="cellIs" dxfId="887" priority="781" operator="equal">
      <formula>"Obsolete"</formula>
    </cfRule>
    <cfRule type="cellIs" dxfId="886" priority="782" operator="equal">
      <formula>"EOSS"</formula>
    </cfRule>
  </conditionalFormatting>
  <conditionalFormatting sqref="N12:O12">
    <cfRule type="cellIs" dxfId="885" priority="783" operator="equal">
      <formula>"Cancelled"</formula>
    </cfRule>
    <cfRule type="cellIs" dxfId="884" priority="784" operator="equal">
      <formula>"Obsolete"</formula>
    </cfRule>
    <cfRule type="cellIs" dxfId="883" priority="785" operator="equal">
      <formula>"EOSS"</formula>
    </cfRule>
  </conditionalFormatting>
  <conditionalFormatting sqref="N15:N16">
    <cfRule type="cellIs" dxfId="882" priority="786" operator="equal">
      <formula>"Cancelled"</formula>
    </cfRule>
    <cfRule type="cellIs" dxfId="881" priority="787" operator="equal">
      <formula>"Obsolete"</formula>
    </cfRule>
    <cfRule type="cellIs" dxfId="880" priority="788" operator="equal">
      <formula>"EOSS"</formula>
    </cfRule>
  </conditionalFormatting>
  <conditionalFormatting sqref="O21:O23 L27:L28">
    <cfRule type="cellIs" dxfId="879" priority="789" operator="equal">
      <formula>"Cancelled"</formula>
    </cfRule>
    <cfRule type="cellIs" dxfId="878" priority="790" operator="equal">
      <formula>"Obsolete"</formula>
    </cfRule>
    <cfRule type="cellIs" dxfId="877" priority="791" operator="equal">
      <formula>"EOSS"</formula>
    </cfRule>
  </conditionalFormatting>
  <conditionalFormatting sqref="L30:N30 L32:M32 N31">
    <cfRule type="cellIs" dxfId="876" priority="792" operator="equal">
      <formula>"Cancelled"</formula>
    </cfRule>
    <cfRule type="cellIs" dxfId="875" priority="793" operator="equal">
      <formula>"Obsolete"</formula>
    </cfRule>
    <cfRule type="cellIs" dxfId="874" priority="794" operator="equal">
      <formula>"EOSS"</formula>
    </cfRule>
  </conditionalFormatting>
  <conditionalFormatting sqref="L155:O155">
    <cfRule type="cellIs" dxfId="873" priority="795" operator="equal">
      <formula>"Cancelled"</formula>
    </cfRule>
    <cfRule type="cellIs" dxfId="872" priority="796" operator="equal">
      <formula>"Obsolete"</formula>
    </cfRule>
    <cfRule type="cellIs" dxfId="871" priority="797" operator="equal">
      <formula>"EOSS"</formula>
    </cfRule>
  </conditionalFormatting>
  <conditionalFormatting sqref="B115:C115">
    <cfRule type="cellIs" dxfId="870" priority="798" operator="equal">
      <formula>"Cancelled"</formula>
    </cfRule>
    <cfRule type="cellIs" dxfId="869" priority="799" operator="equal">
      <formula>"Obsolete"</formula>
    </cfRule>
    <cfRule type="cellIs" dxfId="868" priority="800" operator="equal">
      <formula>"EOSS"</formula>
    </cfRule>
  </conditionalFormatting>
  <conditionalFormatting sqref="AQ117">
    <cfRule type="cellIs" dxfId="867" priority="801" operator="equal">
      <formula>"Cancelled"</formula>
    </cfRule>
    <cfRule type="cellIs" dxfId="866" priority="802" operator="equal">
      <formula>"Obsolete"</formula>
    </cfRule>
    <cfRule type="cellIs" dxfId="865" priority="803" operator="equal">
      <formula>"EOSS"</formula>
    </cfRule>
  </conditionalFormatting>
  <conditionalFormatting sqref="B117:C117">
    <cfRule type="cellIs" dxfId="864" priority="804" operator="equal">
      <formula>"Cancelled"</formula>
    </cfRule>
    <cfRule type="cellIs" dxfId="863" priority="805" operator="equal">
      <formula>"Obsolete"</formula>
    </cfRule>
    <cfRule type="cellIs" dxfId="862" priority="806" operator="equal">
      <formula>"EOSS"</formula>
    </cfRule>
  </conditionalFormatting>
  <conditionalFormatting sqref="AQ116">
    <cfRule type="cellIs" dxfId="861" priority="807" operator="equal">
      <formula>"Cancelled"</formula>
    </cfRule>
    <cfRule type="cellIs" dxfId="860" priority="808" operator="equal">
      <formula>"Obsolete"</formula>
    </cfRule>
    <cfRule type="cellIs" dxfId="859" priority="809" operator="equal">
      <formula>"EOSS"</formula>
    </cfRule>
  </conditionalFormatting>
  <conditionalFormatting sqref="B116:C116">
    <cfRule type="cellIs" dxfId="858" priority="810" operator="equal">
      <formula>"Cancelled"</formula>
    </cfRule>
    <cfRule type="cellIs" dxfId="857" priority="811" operator="equal">
      <formula>"Obsolete"</formula>
    </cfRule>
    <cfRule type="cellIs" dxfId="856" priority="812" operator="equal">
      <formula>"EOSS"</formula>
    </cfRule>
  </conditionalFormatting>
  <conditionalFormatting sqref="O27">
    <cfRule type="cellIs" dxfId="855" priority="813" operator="equal">
      <formula>"Cancelled"</formula>
    </cfRule>
    <cfRule type="cellIs" dxfId="854" priority="814" operator="equal">
      <formula>"Obsolete"</formula>
    </cfRule>
    <cfRule type="cellIs" dxfId="853" priority="815" operator="equal">
      <formula>"EOSS"</formula>
    </cfRule>
  </conditionalFormatting>
  <conditionalFormatting sqref="L68:N71">
    <cfRule type="cellIs" dxfId="852" priority="816" operator="equal">
      <formula>"Cancelled"</formula>
    </cfRule>
    <cfRule type="cellIs" dxfId="851" priority="817" operator="equal">
      <formula>"Obsolete"</formula>
    </cfRule>
    <cfRule type="cellIs" dxfId="850" priority="818" operator="equal">
      <formula>"EOSS"</formula>
    </cfRule>
  </conditionalFormatting>
  <conditionalFormatting sqref="L67:N67">
    <cfRule type="cellIs" dxfId="849" priority="819" operator="equal">
      <formula>"Cancelled"</formula>
    </cfRule>
    <cfRule type="cellIs" dxfId="848" priority="820" operator="equal">
      <formula>"Obsolete"</formula>
    </cfRule>
    <cfRule type="cellIs" dxfId="847" priority="821" operator="equal">
      <formula>"EOSS"</formula>
    </cfRule>
  </conditionalFormatting>
  <conditionalFormatting sqref="O23">
    <cfRule type="cellIs" dxfId="846" priority="822" operator="equal">
      <formula>"Cancelled"</formula>
    </cfRule>
    <cfRule type="cellIs" dxfId="845" priority="823" operator="equal">
      <formula>"Obsolete"</formula>
    </cfRule>
    <cfRule type="cellIs" dxfId="844" priority="824" operator="equal">
      <formula>"EOSS"</formula>
    </cfRule>
  </conditionalFormatting>
  <conditionalFormatting sqref="O25">
    <cfRule type="cellIs" dxfId="843" priority="825" operator="equal">
      <formula>"Cancelled"</formula>
    </cfRule>
    <cfRule type="cellIs" dxfId="842" priority="826" operator="equal">
      <formula>"Obsolete"</formula>
    </cfRule>
    <cfRule type="cellIs" dxfId="841" priority="827" operator="equal">
      <formula>"EOSS"</formula>
    </cfRule>
  </conditionalFormatting>
  <conditionalFormatting sqref="O26">
    <cfRule type="cellIs" dxfId="840" priority="828" operator="equal">
      <formula>"Cancelled"</formula>
    </cfRule>
    <cfRule type="cellIs" dxfId="839" priority="829" operator="equal">
      <formula>"Obsolete"</formula>
    </cfRule>
    <cfRule type="cellIs" dxfId="838" priority="830" operator="equal">
      <formula>"EOSS"</formula>
    </cfRule>
  </conditionalFormatting>
  <conditionalFormatting sqref="AQ150">
    <cfRule type="cellIs" dxfId="837" priority="831" operator="equal">
      <formula>"Cancelled"</formula>
    </cfRule>
    <cfRule type="cellIs" dxfId="836" priority="832" operator="equal">
      <formula>"Obsolete"</formula>
    </cfRule>
    <cfRule type="cellIs" dxfId="835" priority="833" operator="equal">
      <formula>"EOSS"</formula>
    </cfRule>
  </conditionalFormatting>
  <conditionalFormatting sqref="AQ149">
    <cfRule type="cellIs" dxfId="834" priority="834" operator="equal">
      <formula>"Cancelled"</formula>
    </cfRule>
    <cfRule type="cellIs" dxfId="833" priority="835" operator="equal">
      <formula>"Obsolete"</formula>
    </cfRule>
    <cfRule type="cellIs" dxfId="832" priority="836" operator="equal">
      <formula>"EOSS"</formula>
    </cfRule>
  </conditionalFormatting>
  <conditionalFormatting sqref="B152:C152">
    <cfRule type="cellIs" dxfId="831" priority="837" operator="equal">
      <formula>"Cancelled"</formula>
    </cfRule>
    <cfRule type="cellIs" dxfId="830" priority="838" operator="equal">
      <formula>"Obsolete"</formula>
    </cfRule>
    <cfRule type="cellIs" dxfId="829" priority="839" operator="equal">
      <formula>"EOSS"</formula>
    </cfRule>
  </conditionalFormatting>
  <conditionalFormatting sqref="AQ152">
    <cfRule type="cellIs" dxfId="828" priority="843" operator="equal">
      <formula>"Cancelled"</formula>
    </cfRule>
    <cfRule type="cellIs" dxfId="827" priority="844" operator="equal">
      <formula>"Obsolete"</formula>
    </cfRule>
    <cfRule type="cellIs" dxfId="826" priority="845" operator="equal">
      <formula>"EOSS"</formula>
    </cfRule>
  </conditionalFormatting>
  <conditionalFormatting sqref="L152:N152">
    <cfRule type="cellIs" dxfId="825" priority="846" operator="equal">
      <formula>"Cancelled"</formula>
    </cfRule>
    <cfRule type="cellIs" dxfId="824" priority="847" operator="equal">
      <formula>"Obsolete"</formula>
    </cfRule>
    <cfRule type="cellIs" dxfId="823" priority="848" operator="equal">
      <formula>"EOSS"</formula>
    </cfRule>
  </conditionalFormatting>
  <conditionalFormatting sqref="AQ151">
    <cfRule type="cellIs" dxfId="822" priority="849" operator="equal">
      <formula>"Cancelled"</formula>
    </cfRule>
    <cfRule type="cellIs" dxfId="821" priority="850" operator="equal">
      <formula>"Obsolete"</formula>
    </cfRule>
    <cfRule type="cellIs" dxfId="820" priority="851" operator="equal">
      <formula>"EOSS"</formula>
    </cfRule>
  </conditionalFormatting>
  <conditionalFormatting sqref="J184">
    <cfRule type="cellIs" dxfId="819" priority="870" operator="equal">
      <formula>"Cancelled"</formula>
    </cfRule>
    <cfRule type="cellIs" dxfId="818" priority="871" operator="equal">
      <formula>"Obsolete"</formula>
    </cfRule>
    <cfRule type="cellIs" dxfId="817" priority="872" operator="equal">
      <formula>"EOSS"</formula>
    </cfRule>
  </conditionalFormatting>
  <conditionalFormatting sqref="AC120 AQ120">
    <cfRule type="cellIs" dxfId="816" priority="873" operator="equal">
      <formula>"Cancelled"</formula>
    </cfRule>
    <cfRule type="cellIs" dxfId="815" priority="874" operator="equal">
      <formula>"Obsolete"</formula>
    </cfRule>
    <cfRule type="cellIs" dxfId="814" priority="875" operator="equal">
      <formula>"EOSS"</formula>
    </cfRule>
  </conditionalFormatting>
  <conditionalFormatting sqref="N120">
    <cfRule type="cellIs" dxfId="813" priority="876" operator="equal">
      <formula>"Cancelled"</formula>
    </cfRule>
    <cfRule type="cellIs" dxfId="812" priority="877" operator="equal">
      <formula>"Obsolete"</formula>
    </cfRule>
    <cfRule type="cellIs" dxfId="811" priority="878" operator="equal">
      <formula>"EOSS"</formula>
    </cfRule>
  </conditionalFormatting>
  <conditionalFormatting sqref="AC123 AQ123">
    <cfRule type="cellIs" dxfId="810" priority="879" operator="equal">
      <formula>"Cancelled"</formula>
    </cfRule>
    <cfRule type="cellIs" dxfId="809" priority="880" operator="equal">
      <formula>"Obsolete"</formula>
    </cfRule>
    <cfRule type="cellIs" dxfId="808" priority="881" operator="equal">
      <formula>"EOSS"</formula>
    </cfRule>
  </conditionalFormatting>
  <conditionalFormatting sqref="N123">
    <cfRule type="cellIs" dxfId="807" priority="882" operator="equal">
      <formula>"Cancelled"</formula>
    </cfRule>
    <cfRule type="cellIs" dxfId="806" priority="883" operator="equal">
      <formula>"Obsolete"</formula>
    </cfRule>
    <cfRule type="cellIs" dxfId="805" priority="884" operator="equal">
      <formula>"EOSS"</formula>
    </cfRule>
  </conditionalFormatting>
  <conditionalFormatting sqref="AC129 AQ129">
    <cfRule type="cellIs" dxfId="804" priority="885" operator="equal">
      <formula>"Cancelled"</formula>
    </cfRule>
    <cfRule type="cellIs" dxfId="803" priority="886" operator="equal">
      <formula>"Obsolete"</formula>
    </cfRule>
    <cfRule type="cellIs" dxfId="802" priority="887" operator="equal">
      <formula>"EOSS"</formula>
    </cfRule>
  </conditionalFormatting>
  <conditionalFormatting sqref="C45">
    <cfRule type="cellIs" dxfId="801" priority="891" operator="equal">
      <formula>"Cancelled"</formula>
    </cfRule>
    <cfRule type="cellIs" dxfId="800" priority="892" operator="equal">
      <formula>"Obsolete"</formula>
    </cfRule>
    <cfRule type="cellIs" dxfId="799" priority="893" operator="equal">
      <formula>"EOSS"</formula>
    </cfRule>
  </conditionalFormatting>
  <conditionalFormatting sqref="AQ45 B45 G45:I45">
    <cfRule type="cellIs" dxfId="798" priority="894" operator="equal">
      <formula>"Cancelled"</formula>
    </cfRule>
    <cfRule type="cellIs" dxfId="797" priority="895" operator="equal">
      <formula>"Obsolete"</formula>
    </cfRule>
    <cfRule type="cellIs" dxfId="796" priority="896" operator="equal">
      <formula>"EOSS"</formula>
    </cfRule>
  </conditionalFormatting>
  <conditionalFormatting sqref="J45">
    <cfRule type="cellIs" dxfId="795" priority="897" operator="equal">
      <formula>"Cancelled"</formula>
    </cfRule>
    <cfRule type="cellIs" dxfId="794" priority="898" operator="equal">
      <formula>"Obsolete"</formula>
    </cfRule>
    <cfRule type="cellIs" dxfId="793" priority="899" operator="equal">
      <formula>"EOSS"</formula>
    </cfRule>
  </conditionalFormatting>
  <conditionalFormatting sqref="AC185 AQ185">
    <cfRule type="cellIs" dxfId="792" priority="906" operator="equal">
      <formula>"Cancelled"</formula>
    </cfRule>
    <cfRule type="cellIs" dxfId="791" priority="907" operator="equal">
      <formula>"Obsolete"</formula>
    </cfRule>
    <cfRule type="cellIs" dxfId="790" priority="908" operator="equal">
      <formula>"EOSS"</formula>
    </cfRule>
  </conditionalFormatting>
  <conditionalFormatting sqref="L185">
    <cfRule type="cellIs" dxfId="789" priority="909" operator="equal">
      <formula>"Cancelled"</formula>
    </cfRule>
    <cfRule type="cellIs" dxfId="788" priority="910" operator="equal">
      <formula>"Obsolete"</formula>
    </cfRule>
    <cfRule type="cellIs" dxfId="787" priority="911" operator="equal">
      <formula>"EOSS"</formula>
    </cfRule>
  </conditionalFormatting>
  <conditionalFormatting sqref="M185:N185">
    <cfRule type="cellIs" dxfId="786" priority="912" operator="equal">
      <formula>"Cancelled"</formula>
    </cfRule>
    <cfRule type="cellIs" dxfId="785" priority="913" operator="equal">
      <formula>"Obsolete"</formula>
    </cfRule>
    <cfRule type="cellIs" dxfId="784" priority="914" operator="equal">
      <formula>"EOSS"</formula>
    </cfRule>
  </conditionalFormatting>
  <conditionalFormatting sqref="O24">
    <cfRule type="cellIs" dxfId="783" priority="915" operator="equal">
      <formula>"Cancelled"</formula>
    </cfRule>
    <cfRule type="cellIs" dxfId="782" priority="916" operator="equal">
      <formula>"Obsolete"</formula>
    </cfRule>
    <cfRule type="cellIs" dxfId="781" priority="917" operator="equal">
      <formula>"EOSS"</formula>
    </cfRule>
  </conditionalFormatting>
  <conditionalFormatting sqref="AQ24">
    <cfRule type="cellIs" dxfId="780" priority="918" operator="equal">
      <formula>"Cancelled"</formula>
    </cfRule>
    <cfRule type="cellIs" dxfId="779" priority="919" operator="equal">
      <formula>"Obsolete"</formula>
    </cfRule>
    <cfRule type="cellIs" dxfId="778" priority="920" operator="equal">
      <formula>"EOSS"</formula>
    </cfRule>
  </conditionalFormatting>
  <conditionalFormatting sqref="O24">
    <cfRule type="cellIs" dxfId="777" priority="921" operator="equal">
      <formula>"Cancelled"</formula>
    </cfRule>
    <cfRule type="cellIs" dxfId="776" priority="922" operator="equal">
      <formula>"Obsolete"</formula>
    </cfRule>
    <cfRule type="cellIs" dxfId="775" priority="923" operator="equal">
      <formula>"EOSS"</formula>
    </cfRule>
  </conditionalFormatting>
  <conditionalFormatting sqref="B212 AQ212">
    <cfRule type="cellIs" dxfId="774" priority="924" operator="equal">
      <formula>"Cancelled"</formula>
    </cfRule>
    <cfRule type="cellIs" dxfId="773" priority="925" operator="equal">
      <formula>"Obsolete"</formula>
    </cfRule>
    <cfRule type="cellIs" dxfId="772" priority="926" operator="equal">
      <formula>"EOSS"</formula>
    </cfRule>
  </conditionalFormatting>
  <conditionalFormatting sqref="C212">
    <cfRule type="cellIs" dxfId="771" priority="930" operator="equal">
      <formula>"Cancelled"</formula>
    </cfRule>
    <cfRule type="cellIs" dxfId="770" priority="931" operator="equal">
      <formula>"Obsolete"</formula>
    </cfRule>
    <cfRule type="cellIs" dxfId="769" priority="932" operator="equal">
      <formula>"EOSS"</formula>
    </cfRule>
  </conditionalFormatting>
  <conditionalFormatting sqref="C60">
    <cfRule type="cellIs" dxfId="768" priority="933" operator="equal">
      <formula>"Cancelled"</formula>
    </cfRule>
    <cfRule type="cellIs" dxfId="767" priority="934" operator="equal">
      <formula>"Obsolete"</formula>
    </cfRule>
    <cfRule type="cellIs" dxfId="766" priority="935" operator="equal">
      <formula>"EOSS"</formula>
    </cfRule>
  </conditionalFormatting>
  <conditionalFormatting sqref="B60 AQ60">
    <cfRule type="cellIs" dxfId="765" priority="936" operator="equal">
      <formula>"Cancelled"</formula>
    </cfRule>
    <cfRule type="cellIs" dxfId="764" priority="937" operator="equal">
      <formula>"Obsolete"</formula>
    </cfRule>
    <cfRule type="cellIs" dxfId="763" priority="938" operator="equal">
      <formula>"EOSS"</formula>
    </cfRule>
  </conditionalFormatting>
  <conditionalFormatting sqref="C62">
    <cfRule type="cellIs" dxfId="762" priority="942" operator="equal">
      <formula>"Cancelled"</formula>
    </cfRule>
    <cfRule type="cellIs" dxfId="761" priority="943" operator="equal">
      <formula>"Obsolete"</formula>
    </cfRule>
    <cfRule type="cellIs" dxfId="760" priority="944" operator="equal">
      <formula>"EOSS"</formula>
    </cfRule>
  </conditionalFormatting>
  <conditionalFormatting sqref="AC47 B47 AQ47">
    <cfRule type="cellIs" dxfId="759" priority="945" operator="equal">
      <formula>"Cancelled"</formula>
    </cfRule>
    <cfRule type="cellIs" dxfId="758" priority="946" operator="equal">
      <formula>"Obsolete"</formula>
    </cfRule>
    <cfRule type="cellIs" dxfId="757" priority="947" operator="equal">
      <formula>"EOSS"</formula>
    </cfRule>
  </conditionalFormatting>
  <conditionalFormatting sqref="C47">
    <cfRule type="cellIs" dxfId="756" priority="951" operator="equal">
      <formula>"Cancelled"</formula>
    </cfRule>
    <cfRule type="cellIs" dxfId="755" priority="952" operator="equal">
      <formula>"Obsolete"</formula>
    </cfRule>
    <cfRule type="cellIs" dxfId="754" priority="953" operator="equal">
      <formula>"EOSS"</formula>
    </cfRule>
  </conditionalFormatting>
  <conditionalFormatting sqref="G47">
    <cfRule type="cellIs" dxfId="753" priority="954" operator="equal">
      <formula>"Cancelled"</formula>
    </cfRule>
    <cfRule type="cellIs" dxfId="752" priority="955" operator="equal">
      <formula>"Obsolete"</formula>
    </cfRule>
    <cfRule type="cellIs" dxfId="751" priority="956" operator="equal">
      <formula>"EOSS"</formula>
    </cfRule>
  </conditionalFormatting>
  <conditionalFormatting sqref="B61 AQ61">
    <cfRule type="cellIs" dxfId="750" priority="957" operator="equal">
      <formula>"Cancelled"</formula>
    </cfRule>
    <cfRule type="cellIs" dxfId="749" priority="958" operator="equal">
      <formula>"Obsolete"</formula>
    </cfRule>
    <cfRule type="cellIs" dxfId="748" priority="959" operator="equal">
      <formula>"EOSS"</formula>
    </cfRule>
  </conditionalFormatting>
  <conditionalFormatting sqref="L61">
    <cfRule type="cellIs" dxfId="747" priority="960" operator="equal">
      <formula>"Cancelled"</formula>
    </cfRule>
    <cfRule type="cellIs" dxfId="746" priority="961" operator="equal">
      <formula>"Obsolete"</formula>
    </cfRule>
    <cfRule type="cellIs" dxfId="745" priority="962" operator="equal">
      <formula>"EOSS"</formula>
    </cfRule>
  </conditionalFormatting>
  <conditionalFormatting sqref="M61:N61">
    <cfRule type="cellIs" dxfId="744" priority="963" operator="equal">
      <formula>"Cancelled"</formula>
    </cfRule>
    <cfRule type="cellIs" dxfId="743" priority="964" operator="equal">
      <formula>"Obsolete"</formula>
    </cfRule>
    <cfRule type="cellIs" dxfId="742" priority="965" operator="equal">
      <formula>"EOSS"</formula>
    </cfRule>
  </conditionalFormatting>
  <conditionalFormatting sqref="AC61">
    <cfRule type="cellIs" dxfId="741" priority="966" operator="equal">
      <formula>"Cancelled"</formula>
    </cfRule>
    <cfRule type="cellIs" dxfId="740" priority="967" operator="equal">
      <formula>"Obsolete"</formula>
    </cfRule>
    <cfRule type="cellIs" dxfId="739" priority="968" operator="equal">
      <formula>"EOSS"</formula>
    </cfRule>
  </conditionalFormatting>
  <conditionalFormatting sqref="C61">
    <cfRule type="cellIs" dxfId="738" priority="972" operator="equal">
      <formula>"Cancelled"</formula>
    </cfRule>
    <cfRule type="cellIs" dxfId="737" priority="973" operator="equal">
      <formula>"Obsolete"</formula>
    </cfRule>
    <cfRule type="cellIs" dxfId="736" priority="974" operator="equal">
      <formula>"EOSS"</formula>
    </cfRule>
  </conditionalFormatting>
  <conditionalFormatting sqref="B155">
    <cfRule type="cellIs" dxfId="735" priority="975" operator="equal">
      <formula>"Cancelled"</formula>
    </cfRule>
    <cfRule type="cellIs" dxfId="734" priority="976" operator="equal">
      <formula>"Obsolete"</formula>
    </cfRule>
    <cfRule type="cellIs" dxfId="733" priority="977" operator="equal">
      <formula>"EOSS"</formula>
    </cfRule>
  </conditionalFormatting>
  <conditionalFormatting sqref="B154">
    <cfRule type="cellIs" dxfId="732" priority="978" operator="equal">
      <formula>"Cancelled"</formula>
    </cfRule>
    <cfRule type="cellIs" dxfId="731" priority="979" operator="equal">
      <formula>"Obsolete"</formula>
    </cfRule>
    <cfRule type="cellIs" dxfId="730" priority="980" operator="equal">
      <formula>"EOSS"</formula>
    </cfRule>
  </conditionalFormatting>
  <conditionalFormatting sqref="L34:M34">
    <cfRule type="cellIs" dxfId="729" priority="981" operator="equal">
      <formula>"Cancelled"</formula>
    </cfRule>
    <cfRule type="cellIs" dxfId="728" priority="982" operator="equal">
      <formula>"Obsolete"</formula>
    </cfRule>
    <cfRule type="cellIs" dxfId="727" priority="983" operator="equal">
      <formula>"EOSS"</formula>
    </cfRule>
  </conditionalFormatting>
  <conditionalFormatting sqref="L37:M37">
    <cfRule type="cellIs" dxfId="726" priority="984" operator="equal">
      <formula>"Cancelled"</formula>
    </cfRule>
    <cfRule type="cellIs" dxfId="725" priority="985" operator="equal">
      <formula>"Obsolete"</formula>
    </cfRule>
    <cfRule type="cellIs" dxfId="724" priority="986" operator="equal">
      <formula>"EOSS"</formula>
    </cfRule>
  </conditionalFormatting>
  <conditionalFormatting sqref="L40:M40">
    <cfRule type="cellIs" dxfId="723" priority="987" operator="equal">
      <formula>"Cancelled"</formula>
    </cfRule>
    <cfRule type="cellIs" dxfId="722" priority="988" operator="equal">
      <formula>"Obsolete"</formula>
    </cfRule>
    <cfRule type="cellIs" dxfId="721" priority="989" operator="equal">
      <formula>"EOSS"</formula>
    </cfRule>
  </conditionalFormatting>
  <conditionalFormatting sqref="L44:M44">
    <cfRule type="cellIs" dxfId="720" priority="990" operator="equal">
      <formula>"Cancelled"</formula>
    </cfRule>
    <cfRule type="cellIs" dxfId="719" priority="991" operator="equal">
      <formula>"Obsolete"</formula>
    </cfRule>
    <cfRule type="cellIs" dxfId="718" priority="992" operator="equal">
      <formula>"EOSS"</formula>
    </cfRule>
  </conditionalFormatting>
  <conditionalFormatting sqref="L45:M45">
    <cfRule type="cellIs" dxfId="717" priority="993" operator="equal">
      <formula>"Cancelled"</formula>
    </cfRule>
    <cfRule type="cellIs" dxfId="716" priority="994" operator="equal">
      <formula>"Obsolete"</formula>
    </cfRule>
    <cfRule type="cellIs" dxfId="715" priority="995" operator="equal">
      <formula>"EOSS"</formula>
    </cfRule>
  </conditionalFormatting>
  <conditionalFormatting sqref="L46:M46">
    <cfRule type="cellIs" dxfId="714" priority="996" operator="equal">
      <formula>"Cancelled"</formula>
    </cfRule>
    <cfRule type="cellIs" dxfId="713" priority="997" operator="equal">
      <formula>"Obsolete"</formula>
    </cfRule>
    <cfRule type="cellIs" dxfId="712" priority="998" operator="equal">
      <formula>"EOSS"</formula>
    </cfRule>
  </conditionalFormatting>
  <conditionalFormatting sqref="L50:M50">
    <cfRule type="cellIs" dxfId="711" priority="999" operator="equal">
      <formula>"Cancelled"</formula>
    </cfRule>
    <cfRule type="cellIs" dxfId="710" priority="1000" operator="equal">
      <formula>"Obsolete"</formula>
    </cfRule>
    <cfRule type="cellIs" dxfId="709" priority="1001" operator="equal">
      <formula>"EOSS"</formula>
    </cfRule>
  </conditionalFormatting>
  <conditionalFormatting sqref="L52:M52">
    <cfRule type="cellIs" dxfId="708" priority="1002" operator="equal">
      <formula>"Cancelled"</formula>
    </cfRule>
    <cfRule type="cellIs" dxfId="707" priority="1003" operator="equal">
      <formula>"Obsolete"</formula>
    </cfRule>
    <cfRule type="cellIs" dxfId="706" priority="1004" operator="equal">
      <formula>"EOSS"</formula>
    </cfRule>
  </conditionalFormatting>
  <conditionalFormatting sqref="L96:M99 L102:M106 L109:M113 L119:M123 L238:M245">
    <cfRule type="cellIs" dxfId="705" priority="1005" operator="equal">
      <formula>"Cancelled"</formula>
    </cfRule>
    <cfRule type="cellIs" dxfId="704" priority="1006" operator="equal">
      <formula>"Obsolete"</formula>
    </cfRule>
    <cfRule type="cellIs" dxfId="703" priority="1007" operator="equal">
      <formula>"EOSS"</formula>
    </cfRule>
  </conditionalFormatting>
  <conditionalFormatting sqref="L115:M115">
    <cfRule type="cellIs" dxfId="702" priority="1008" operator="equal">
      <formula>"Cancelled"</formula>
    </cfRule>
    <cfRule type="cellIs" dxfId="701" priority="1009" operator="equal">
      <formula>"Obsolete"</formula>
    </cfRule>
    <cfRule type="cellIs" dxfId="700" priority="1010" operator="equal">
      <formula>"EOSS"</formula>
    </cfRule>
  </conditionalFormatting>
  <conditionalFormatting sqref="L116:M116">
    <cfRule type="cellIs" dxfId="699" priority="1011" operator="equal">
      <formula>"Cancelled"</formula>
    </cfRule>
    <cfRule type="cellIs" dxfId="698" priority="1012" operator="equal">
      <formula>"Obsolete"</formula>
    </cfRule>
    <cfRule type="cellIs" dxfId="697" priority="1013" operator="equal">
      <formula>"EOSS"</formula>
    </cfRule>
  </conditionalFormatting>
  <conditionalFormatting sqref="L117:M117">
    <cfRule type="cellIs" dxfId="696" priority="1014" operator="equal">
      <formula>"Cancelled"</formula>
    </cfRule>
    <cfRule type="cellIs" dxfId="695" priority="1015" operator="equal">
      <formula>"Obsolete"</formula>
    </cfRule>
    <cfRule type="cellIs" dxfId="694" priority="1016" operator="equal">
      <formula>"EOSS"</formula>
    </cfRule>
  </conditionalFormatting>
  <conditionalFormatting sqref="L118:M118">
    <cfRule type="cellIs" dxfId="693" priority="1017" operator="equal">
      <formula>"Cancelled"</formula>
    </cfRule>
    <cfRule type="cellIs" dxfId="692" priority="1018" operator="equal">
      <formula>"Obsolete"</formula>
    </cfRule>
    <cfRule type="cellIs" dxfId="691" priority="1019" operator="equal">
      <formula>"EOSS"</formula>
    </cfRule>
  </conditionalFormatting>
  <conditionalFormatting sqref="S176 Q2:Q12 Q28:S28 Q21:Q22 Q40:S40 Q154:Q155 Q176:R179 Q24:Q27 Q41:R41 X177 V176:W176 S2:AA2 X154:AA155 Y176:AA177 V22:AA28 Q272:Q289">
    <cfRule type="cellIs" dxfId="690" priority="1020" operator="equal">
      <formula>"Cancelled"</formula>
    </cfRule>
    <cfRule type="cellIs" dxfId="689" priority="1021" operator="equal">
      <formula>"Obsolete"</formula>
    </cfRule>
    <cfRule type="cellIs" dxfId="688" priority="1022" operator="equal">
      <formula>"EOSS"</formula>
    </cfRule>
  </conditionalFormatting>
  <conditionalFormatting sqref="R2 R154:R155">
    <cfRule type="cellIs" dxfId="687" priority="1023" operator="equal">
      <formula>"Cancelled"</formula>
    </cfRule>
    <cfRule type="cellIs" dxfId="686" priority="1024" operator="equal">
      <formula>"Obsolete"</formula>
    </cfRule>
    <cfRule type="cellIs" dxfId="685" priority="1025" operator="equal">
      <formula>"EOSS"</formula>
    </cfRule>
  </conditionalFormatting>
  <conditionalFormatting sqref="V21:AA21">
    <cfRule type="cellIs" dxfId="684" priority="1026" operator="equal">
      <formula>"Cancelled"</formula>
    </cfRule>
    <cfRule type="cellIs" dxfId="683" priority="1027" operator="equal">
      <formula>"Obsolete"</formula>
    </cfRule>
    <cfRule type="cellIs" dxfId="682" priority="1028" operator="equal">
      <formula>"EOSS"</formula>
    </cfRule>
  </conditionalFormatting>
  <conditionalFormatting sqref="S178 V178:W178 Y178:AA178">
    <cfRule type="cellIs" dxfId="681" priority="1029" operator="equal">
      <formula>"Cancelled"</formula>
    </cfRule>
    <cfRule type="cellIs" dxfId="680" priority="1030" operator="equal">
      <formula>"Obsolete"</formula>
    </cfRule>
    <cfRule type="cellIs" dxfId="679" priority="1031" operator="equal">
      <formula>"EOSS"</formula>
    </cfRule>
  </conditionalFormatting>
  <conditionalFormatting sqref="X179:AA179">
    <cfRule type="cellIs" dxfId="678" priority="1032" operator="equal">
      <formula>"Cancelled"</formula>
    </cfRule>
    <cfRule type="cellIs" dxfId="677" priority="1033" operator="equal">
      <formula>"Obsolete"</formula>
    </cfRule>
    <cfRule type="cellIs" dxfId="676" priority="1034" operator="equal">
      <formula>"EOSS"</formula>
    </cfRule>
  </conditionalFormatting>
  <conditionalFormatting sqref="Q3:Q12 Q21:Q23 Q40:Q41 R40:S40 R41 Q25:Q28 Q272:Q289">
    <cfRule type="cellIs" dxfId="675" priority="1035" operator="equal">
      <formula>"Cancelled"</formula>
    </cfRule>
    <cfRule type="cellIs" dxfId="674" priority="1036" operator="equal">
      <formula>"Obsolete"</formula>
    </cfRule>
    <cfRule type="cellIs" dxfId="673" priority="1037" operator="equal">
      <formula>"EOSS"</formula>
    </cfRule>
  </conditionalFormatting>
  <conditionalFormatting sqref="Q7:Q8">
    <cfRule type="cellIs" dxfId="672" priority="1038" operator="equal">
      <formula>"Cancelled"</formula>
    </cfRule>
    <cfRule type="cellIs" dxfId="671" priority="1039" operator="equal">
      <formula>"Obsolete"</formula>
    </cfRule>
    <cfRule type="cellIs" dxfId="670" priority="1040" operator="equal">
      <formula>"EOSS"</formula>
    </cfRule>
  </conditionalFormatting>
  <conditionalFormatting sqref="Q7:Q11 Q272:Q289">
    <cfRule type="cellIs" dxfId="669" priority="1041" operator="equal">
      <formula>"Cancelled"</formula>
    </cfRule>
    <cfRule type="cellIs" dxfId="668" priority="1042" operator="equal">
      <formula>"Obsolete"</formula>
    </cfRule>
    <cfRule type="cellIs" dxfId="667" priority="1043" operator="equal">
      <formula>"EOSS"</formula>
    </cfRule>
  </conditionalFormatting>
  <conditionalFormatting sqref="Q5:Q11 Q272:Q289">
    <cfRule type="cellIs" dxfId="666" priority="1044" operator="equal">
      <formula>"Cancelled"</formula>
    </cfRule>
    <cfRule type="cellIs" dxfId="665" priority="1045" operator="equal">
      <formula>"Obsolete"</formula>
    </cfRule>
    <cfRule type="cellIs" dxfId="664" priority="1046" operator="equal">
      <formula>"EOSS"</formula>
    </cfRule>
  </conditionalFormatting>
  <conditionalFormatting sqref="Q11">
    <cfRule type="cellIs" dxfId="663" priority="1047" operator="equal">
      <formula>"Cancelled"</formula>
    </cfRule>
    <cfRule type="cellIs" dxfId="662" priority="1048" operator="equal">
      <formula>"Obsolete"</formula>
    </cfRule>
    <cfRule type="cellIs" dxfId="661" priority="1049" operator="equal">
      <formula>"EOSS"</formula>
    </cfRule>
  </conditionalFormatting>
  <conditionalFormatting sqref="Q154">
    <cfRule type="cellIs" dxfId="660" priority="1050" operator="equal">
      <formula>"Cancelled"</formula>
    </cfRule>
    <cfRule type="cellIs" dxfId="659" priority="1051" operator="equal">
      <formula>"Obsolete"</formula>
    </cfRule>
    <cfRule type="cellIs" dxfId="658" priority="1052" operator="equal">
      <formula>"EOSS"</formula>
    </cfRule>
  </conditionalFormatting>
  <conditionalFormatting sqref="Q4">
    <cfRule type="cellIs" dxfId="657" priority="1053" operator="equal">
      <formula>"Cancelled"</formula>
    </cfRule>
    <cfRule type="cellIs" dxfId="656" priority="1054" operator="equal">
      <formula>"Obsolete"</formula>
    </cfRule>
    <cfRule type="cellIs" dxfId="655" priority="1055" operator="equal">
      <formula>"EOSS"</formula>
    </cfRule>
  </conditionalFormatting>
  <conditionalFormatting sqref="Q12">
    <cfRule type="cellIs" dxfId="654" priority="1056" operator="equal">
      <formula>"Cancelled"</formula>
    </cfRule>
    <cfRule type="cellIs" dxfId="653" priority="1057" operator="equal">
      <formula>"Obsolete"</formula>
    </cfRule>
    <cfRule type="cellIs" dxfId="652" priority="1058" operator="equal">
      <formula>"EOSS"</formula>
    </cfRule>
  </conditionalFormatting>
  <conditionalFormatting sqref="Q21:Q23">
    <cfRule type="cellIs" dxfId="651" priority="1059" operator="equal">
      <formula>"Cancelled"</formula>
    </cfRule>
    <cfRule type="cellIs" dxfId="650" priority="1060" operator="equal">
      <formula>"Obsolete"</formula>
    </cfRule>
    <cfRule type="cellIs" dxfId="649" priority="1061" operator="equal">
      <formula>"EOSS"</formula>
    </cfRule>
  </conditionalFormatting>
  <conditionalFormatting sqref="Q155">
    <cfRule type="cellIs" dxfId="648" priority="1062" operator="equal">
      <formula>"Cancelled"</formula>
    </cfRule>
    <cfRule type="cellIs" dxfId="647" priority="1063" operator="equal">
      <formula>"Obsolete"</formula>
    </cfRule>
    <cfRule type="cellIs" dxfId="646" priority="1064" operator="equal">
      <formula>"EOSS"</formula>
    </cfRule>
  </conditionalFormatting>
  <conditionalFormatting sqref="R40:S40 R176:S176 R154:R155 R28:S28 R41 X154:X155 R178:S178 R177 X177 R179 X179 V178:W178 V21:X28 V176:W176">
    <cfRule type="expression" dxfId="645" priority="1065">
      <formula>NOT(ISERROR(SEARCH("y",R7)))</formula>
    </cfRule>
  </conditionalFormatting>
  <conditionalFormatting sqref="Q27">
    <cfRule type="cellIs" dxfId="644" priority="1066" operator="equal">
      <formula>"Cancelled"</formula>
    </cfRule>
    <cfRule type="cellIs" dxfId="643" priority="1067" operator="equal">
      <formula>"Obsolete"</formula>
    </cfRule>
    <cfRule type="cellIs" dxfId="642" priority="1068" operator="equal">
      <formula>"EOSS"</formula>
    </cfRule>
  </conditionalFormatting>
  <conditionalFormatting sqref="Q23">
    <cfRule type="cellIs" dxfId="641" priority="1069" operator="equal">
      <formula>"Cancelled"</formula>
    </cfRule>
    <cfRule type="cellIs" dxfId="640" priority="1070" operator="equal">
      <formula>"Obsolete"</formula>
    </cfRule>
    <cfRule type="cellIs" dxfId="639" priority="1071" operator="equal">
      <formula>"EOSS"</formula>
    </cfRule>
  </conditionalFormatting>
  <conditionalFormatting sqref="Q25">
    <cfRule type="cellIs" dxfId="638" priority="1072" operator="equal">
      <formula>"Cancelled"</formula>
    </cfRule>
    <cfRule type="cellIs" dxfId="637" priority="1073" operator="equal">
      <formula>"Obsolete"</formula>
    </cfRule>
    <cfRule type="cellIs" dxfId="636" priority="1074" operator="equal">
      <formula>"EOSS"</formula>
    </cfRule>
  </conditionalFormatting>
  <conditionalFormatting sqref="Q26">
    <cfRule type="cellIs" dxfId="635" priority="1075" operator="equal">
      <formula>"Cancelled"</formula>
    </cfRule>
    <cfRule type="cellIs" dxfId="634" priority="1076" operator="equal">
      <formula>"Obsolete"</formula>
    </cfRule>
    <cfRule type="cellIs" dxfId="633" priority="1077" operator="equal">
      <formula>"EOSS"</formula>
    </cfRule>
  </conditionalFormatting>
  <conditionalFormatting sqref="Q28">
    <cfRule type="cellIs" dxfId="632" priority="1078" operator="equal">
      <formula>"Cancelled"</formula>
    </cfRule>
    <cfRule type="cellIs" dxfId="631" priority="1079" operator="equal">
      <formula>"Obsolete"</formula>
    </cfRule>
    <cfRule type="cellIs" dxfId="630" priority="1080" operator="equal">
      <formula>"EOSS"</formula>
    </cfRule>
  </conditionalFormatting>
  <conditionalFormatting sqref="R5:S8 R3:R4 R62:R63 R65:R84 R88:R105 R107 R109 R111 R113:R114 R119:R126 R131 R140 R162 R192 R194:R195 R197:R198 R200:R201 R203:R205 R219 R10:S10 R9 R11:R19 V49:W49 V53:W54 V106:W106 V108:W108 V110:W110 V112:W112 V132:W139 V141:W155 V160:W161 V163:W173 V177:W177 V179:W179 V181:W181 V191:W191 V193:W193 V196:W196 V199:W199 V202:W202 V206:W206 V212:W212 V217:W218 V220:W222 X48 X176 X178 X180 X182 X223 V225:W231 V3:AA12 R272:S289 V272:AA289">
    <cfRule type="cellIs" dxfId="629" priority="1081" operator="equal">
      <formula>"Cancelled"</formula>
    </cfRule>
    <cfRule type="cellIs" dxfId="628" priority="1082" operator="equal">
      <formula>"Obsolete"</formula>
    </cfRule>
    <cfRule type="cellIs" dxfId="627" priority="1083" operator="equal">
      <formula>"EOSS"</formula>
    </cfRule>
  </conditionalFormatting>
  <conditionalFormatting sqref="R5:S8 R3:R4 R62:R63 R65:R84 R88:R105 R107 R109 R111 R113:R114 R119:R126 R131 R140 R162 R192 R194:R195 R197:R198 R200:R201 R203:R205 R219 R10:S10 R9 R11:R19 V49:W49 V53:W54 V106:W106 V108:W108 V110:W110 V112:W112 V132:W139 V141:W155 V160:W161 V163:W173 V177:W177 V179:W179 V181:W181 V191:W191 V193:W193 V196:W196 V199:W199 V202:W202 V206:W206 V212:W212 V217:W218 V220:W222 X48 X176 X178 X180 X182 X223 V225:W231 V3:AA12 R272:S289 V272:AA289">
    <cfRule type="cellIs" dxfId="626" priority="1084" operator="equal">
      <formula>"Cancelled"</formula>
    </cfRule>
    <cfRule type="cellIs" dxfId="625" priority="1085" operator="equal">
      <formula>"Obsolete"</formula>
    </cfRule>
    <cfRule type="cellIs" dxfId="624" priority="1086" operator="equal">
      <formula>"EOSS"</formula>
    </cfRule>
  </conditionalFormatting>
  <conditionalFormatting sqref="Q24">
    <cfRule type="cellIs" dxfId="623" priority="1087" operator="equal">
      <formula>"Cancelled"</formula>
    </cfRule>
    <cfRule type="cellIs" dxfId="622" priority="1088" operator="equal">
      <formula>"Obsolete"</formula>
    </cfRule>
    <cfRule type="cellIs" dxfId="621" priority="1089" operator="equal">
      <formula>"EOSS"</formula>
    </cfRule>
  </conditionalFormatting>
  <conditionalFormatting sqref="Q24">
    <cfRule type="cellIs" dxfId="620" priority="1090" operator="equal">
      <formula>"Cancelled"</formula>
    </cfRule>
    <cfRule type="cellIs" dxfId="619" priority="1091" operator="equal">
      <formula>"Obsolete"</formula>
    </cfRule>
    <cfRule type="cellIs" dxfId="618" priority="1092" operator="equal">
      <formula>"EOSS"</formula>
    </cfRule>
  </conditionalFormatting>
  <conditionalFormatting sqref="AC199">
    <cfRule type="cellIs" dxfId="617" priority="1093" operator="equal">
      <formula>"Cancelled"</formula>
    </cfRule>
    <cfRule type="cellIs" dxfId="616" priority="1094" operator="equal">
      <formula>"Obsolete"</formula>
    </cfRule>
    <cfRule type="cellIs" dxfId="615" priority="1095" operator="equal">
      <formula>"EOSS"</formula>
    </cfRule>
  </conditionalFormatting>
  <conditionalFormatting sqref="AC202">
    <cfRule type="cellIs" dxfId="614" priority="1096" operator="equal">
      <formula>"Cancelled"</formula>
    </cfRule>
    <cfRule type="cellIs" dxfId="613" priority="1097" operator="equal">
      <formula>"Obsolete"</formula>
    </cfRule>
    <cfRule type="cellIs" dxfId="612" priority="1098" operator="equal">
      <formula>"EOSS"</formula>
    </cfRule>
  </conditionalFormatting>
  <conditionalFormatting sqref="AC204">
    <cfRule type="cellIs" dxfId="611" priority="1099" operator="equal">
      <formula>"Cancelled"</formula>
    </cfRule>
    <cfRule type="cellIs" dxfId="610" priority="1100" operator="equal">
      <formula>"Obsolete"</formula>
    </cfRule>
    <cfRule type="cellIs" dxfId="609" priority="1101" operator="equal">
      <formula>"EOSS"</formula>
    </cfRule>
  </conditionalFormatting>
  <conditionalFormatting sqref="AC206">
    <cfRule type="cellIs" dxfId="608" priority="1102" operator="equal">
      <formula>"Cancelled"</formula>
    </cfRule>
    <cfRule type="cellIs" dxfId="607" priority="1103" operator="equal">
      <formula>"Obsolete"</formula>
    </cfRule>
    <cfRule type="cellIs" dxfId="606" priority="1104" operator="equal">
      <formula>"EOSS"</formula>
    </cfRule>
  </conditionalFormatting>
  <conditionalFormatting sqref="AC212">
    <cfRule type="cellIs" dxfId="605" priority="1105" operator="equal">
      <formula>"Cancelled"</formula>
    </cfRule>
    <cfRule type="cellIs" dxfId="604" priority="1106" operator="equal">
      <formula>"Obsolete"</formula>
    </cfRule>
    <cfRule type="cellIs" dxfId="603" priority="1107" operator="equal">
      <formula>"EOSS"</formula>
    </cfRule>
  </conditionalFormatting>
  <conditionalFormatting sqref="AC179">
    <cfRule type="cellIs" dxfId="602" priority="1108" operator="equal">
      <formula>"Cancelled"</formula>
    </cfRule>
    <cfRule type="cellIs" dxfId="601" priority="1109" operator="equal">
      <formula>"Obsolete"</formula>
    </cfRule>
    <cfRule type="cellIs" dxfId="600" priority="1110" operator="equal">
      <formula>"EOSS"</formula>
    </cfRule>
  </conditionalFormatting>
  <conditionalFormatting sqref="AC177">
    <cfRule type="cellIs" dxfId="599" priority="1111" operator="equal">
      <formula>"Cancelled"</formula>
    </cfRule>
    <cfRule type="cellIs" dxfId="598" priority="1112" operator="equal">
      <formula>"Obsolete"</formula>
    </cfRule>
    <cfRule type="cellIs" dxfId="597" priority="1113" operator="equal">
      <formula>"EOSS"</formula>
    </cfRule>
  </conditionalFormatting>
  <conditionalFormatting sqref="AC137:AC149">
    <cfRule type="cellIs" dxfId="596" priority="1114" operator="equal">
      <formula>"Cancelled"</formula>
    </cfRule>
    <cfRule type="cellIs" dxfId="595" priority="1115" operator="equal">
      <formula>"Obsolete"</formula>
    </cfRule>
    <cfRule type="cellIs" dxfId="594" priority="1116" operator="equal">
      <formula>"EOSS"</formula>
    </cfRule>
  </conditionalFormatting>
  <conditionalFormatting sqref="AC133:AC136">
    <cfRule type="cellIs" dxfId="593" priority="1117" operator="equal">
      <formula>"Cancelled"</formula>
    </cfRule>
    <cfRule type="cellIs" dxfId="592" priority="1118" operator="equal">
      <formula>"Obsolete"</formula>
    </cfRule>
    <cfRule type="cellIs" dxfId="591" priority="1119" operator="equal">
      <formula>"EOSS"</formula>
    </cfRule>
  </conditionalFormatting>
  <conditionalFormatting sqref="AC130:AC131">
    <cfRule type="cellIs" dxfId="590" priority="1120" operator="equal">
      <formula>"Cancelled"</formula>
    </cfRule>
    <cfRule type="cellIs" dxfId="589" priority="1121" operator="equal">
      <formula>"Obsolete"</formula>
    </cfRule>
    <cfRule type="cellIs" dxfId="588" priority="1122" operator="equal">
      <formula>"EOSS"</formula>
    </cfRule>
  </conditionalFormatting>
  <conditionalFormatting sqref="AC132">
    <cfRule type="cellIs" dxfId="587" priority="1123" operator="equal">
      <formula>"Cancelled"</formula>
    </cfRule>
    <cfRule type="cellIs" dxfId="586" priority="1124" operator="equal">
      <formula>"Obsolete"</formula>
    </cfRule>
    <cfRule type="cellIs" dxfId="585" priority="1125" operator="equal">
      <formula>"EOSS"</formula>
    </cfRule>
  </conditionalFormatting>
  <conditionalFormatting sqref="AC65:AC66">
    <cfRule type="cellIs" dxfId="584" priority="1126" operator="equal">
      <formula>"Cancelled"</formula>
    </cfRule>
    <cfRule type="cellIs" dxfId="583" priority="1127" operator="equal">
      <formula>"Obsolete"</formula>
    </cfRule>
    <cfRule type="cellIs" dxfId="582" priority="1128" operator="equal">
      <formula>"EOSS"</formula>
    </cfRule>
  </conditionalFormatting>
  <conditionalFormatting sqref="AC64">
    <cfRule type="cellIs" dxfId="581" priority="1129" operator="equal">
      <formula>"Cancelled"</formula>
    </cfRule>
    <cfRule type="cellIs" dxfId="580" priority="1130" operator="equal">
      <formula>"Obsolete"</formula>
    </cfRule>
    <cfRule type="cellIs" dxfId="579" priority="1131" operator="equal">
      <formula>"EOSS"</formula>
    </cfRule>
  </conditionalFormatting>
  <conditionalFormatting sqref="AC77">
    <cfRule type="cellIs" dxfId="578" priority="1132" operator="equal">
      <formula>"Cancelled"</formula>
    </cfRule>
    <cfRule type="cellIs" dxfId="577" priority="1133" operator="equal">
      <formula>"Obsolete"</formula>
    </cfRule>
    <cfRule type="cellIs" dxfId="576" priority="1134" operator="equal">
      <formula>"EOSS"</formula>
    </cfRule>
  </conditionalFormatting>
  <conditionalFormatting sqref="AC78">
    <cfRule type="cellIs" dxfId="575" priority="1135" operator="equal">
      <formula>"Cancelled"</formula>
    </cfRule>
    <cfRule type="cellIs" dxfId="574" priority="1136" operator="equal">
      <formula>"Obsolete"</formula>
    </cfRule>
    <cfRule type="cellIs" dxfId="573" priority="1137" operator="equal">
      <formula>"EOSS"</formula>
    </cfRule>
  </conditionalFormatting>
  <conditionalFormatting sqref="AC79">
    <cfRule type="cellIs" dxfId="572" priority="1138" operator="equal">
      <formula>"Cancelled"</formula>
    </cfRule>
    <cfRule type="cellIs" dxfId="571" priority="1139" operator="equal">
      <formula>"Obsolete"</formula>
    </cfRule>
    <cfRule type="cellIs" dxfId="570" priority="1140" operator="equal">
      <formula>"EOSS"</formula>
    </cfRule>
  </conditionalFormatting>
  <conditionalFormatting sqref="AC80">
    <cfRule type="cellIs" dxfId="569" priority="1141" operator="equal">
      <formula>"Cancelled"</formula>
    </cfRule>
    <cfRule type="cellIs" dxfId="568" priority="1142" operator="equal">
      <formula>"Obsolete"</formula>
    </cfRule>
    <cfRule type="cellIs" dxfId="567" priority="1143" operator="equal">
      <formula>"EOSS"</formula>
    </cfRule>
  </conditionalFormatting>
  <conditionalFormatting sqref="AC81">
    <cfRule type="cellIs" dxfId="566" priority="1144" operator="equal">
      <formula>"Cancelled"</formula>
    </cfRule>
    <cfRule type="cellIs" dxfId="565" priority="1145" operator="equal">
      <formula>"Obsolete"</formula>
    </cfRule>
    <cfRule type="cellIs" dxfId="564" priority="1146" operator="equal">
      <formula>"EOSS"</formula>
    </cfRule>
  </conditionalFormatting>
  <conditionalFormatting sqref="AC90">
    <cfRule type="cellIs" dxfId="563" priority="1147" operator="equal">
      <formula>"Cancelled"</formula>
    </cfRule>
    <cfRule type="cellIs" dxfId="562" priority="1148" operator="equal">
      <formula>"Obsolete"</formula>
    </cfRule>
    <cfRule type="cellIs" dxfId="561" priority="1149" operator="equal">
      <formula>"EOSS"</formula>
    </cfRule>
  </conditionalFormatting>
  <conditionalFormatting sqref="AC91">
    <cfRule type="cellIs" dxfId="560" priority="1150" operator="equal">
      <formula>"Cancelled"</formula>
    </cfRule>
    <cfRule type="cellIs" dxfId="559" priority="1151" operator="equal">
      <formula>"Obsolete"</formula>
    </cfRule>
    <cfRule type="cellIs" dxfId="558" priority="1152" operator="equal">
      <formula>"EOSS"</formula>
    </cfRule>
  </conditionalFormatting>
  <conditionalFormatting sqref="AC92">
    <cfRule type="cellIs" dxfId="557" priority="1153" operator="equal">
      <formula>"Cancelled"</formula>
    </cfRule>
    <cfRule type="cellIs" dxfId="556" priority="1154" operator="equal">
      <formula>"Obsolete"</formula>
    </cfRule>
    <cfRule type="cellIs" dxfId="555" priority="1155" operator="equal">
      <formula>"EOSS"</formula>
    </cfRule>
  </conditionalFormatting>
  <conditionalFormatting sqref="AC93">
    <cfRule type="cellIs" dxfId="554" priority="1156" operator="equal">
      <formula>"Cancelled"</formula>
    </cfRule>
    <cfRule type="cellIs" dxfId="553" priority="1157" operator="equal">
      <formula>"Obsolete"</formula>
    </cfRule>
    <cfRule type="cellIs" dxfId="552" priority="1158" operator="equal">
      <formula>"EOSS"</formula>
    </cfRule>
  </conditionalFormatting>
  <conditionalFormatting sqref="AC94">
    <cfRule type="cellIs" dxfId="551" priority="1159" operator="equal">
      <formula>"Cancelled"</formula>
    </cfRule>
    <cfRule type="cellIs" dxfId="550" priority="1160" operator="equal">
      <formula>"Obsolete"</formula>
    </cfRule>
    <cfRule type="cellIs" dxfId="549" priority="1161" operator="equal">
      <formula>"EOSS"</formula>
    </cfRule>
  </conditionalFormatting>
  <conditionalFormatting sqref="AC95">
    <cfRule type="cellIs" dxfId="548" priority="1162" operator="equal">
      <formula>"Cancelled"</formula>
    </cfRule>
    <cfRule type="cellIs" dxfId="547" priority="1163" operator="equal">
      <formula>"Obsolete"</formula>
    </cfRule>
    <cfRule type="cellIs" dxfId="546" priority="1164" operator="equal">
      <formula>"EOSS"</formula>
    </cfRule>
  </conditionalFormatting>
  <conditionalFormatting sqref="AC102">
    <cfRule type="cellIs" dxfId="545" priority="1165" operator="equal">
      <formula>"Cancelled"</formula>
    </cfRule>
    <cfRule type="cellIs" dxfId="544" priority="1166" operator="equal">
      <formula>"Obsolete"</formula>
    </cfRule>
    <cfRule type="cellIs" dxfId="543" priority="1167" operator="equal">
      <formula>"EOSS"</formula>
    </cfRule>
  </conditionalFormatting>
  <conditionalFormatting sqref="AC103">
    <cfRule type="cellIs" dxfId="542" priority="1168" operator="equal">
      <formula>"Cancelled"</formula>
    </cfRule>
    <cfRule type="cellIs" dxfId="541" priority="1169" operator="equal">
      <formula>"Obsolete"</formula>
    </cfRule>
    <cfRule type="cellIs" dxfId="540" priority="1170" operator="equal">
      <formula>"EOSS"</formula>
    </cfRule>
  </conditionalFormatting>
  <conditionalFormatting sqref="AC104">
    <cfRule type="cellIs" dxfId="539" priority="1171" operator="equal">
      <formula>"Cancelled"</formula>
    </cfRule>
    <cfRule type="cellIs" dxfId="538" priority="1172" operator="equal">
      <formula>"Obsolete"</formula>
    </cfRule>
    <cfRule type="cellIs" dxfId="537" priority="1173" operator="equal">
      <formula>"EOSS"</formula>
    </cfRule>
  </conditionalFormatting>
  <conditionalFormatting sqref="K158:M158">
    <cfRule type="cellIs" dxfId="536" priority="1174" operator="equal">
      <formula>"Cancelled"</formula>
    </cfRule>
    <cfRule type="cellIs" dxfId="535" priority="1175" operator="equal">
      <formula>"Obsolete"</formula>
    </cfRule>
    <cfRule type="cellIs" dxfId="534" priority="1176" operator="equal">
      <formula>"EOSS"</formula>
    </cfRule>
  </conditionalFormatting>
  <conditionalFormatting sqref="L156:M156">
    <cfRule type="cellIs" dxfId="533" priority="1177" operator="equal">
      <formula>"Cancelled"</formula>
    </cfRule>
    <cfRule type="cellIs" dxfId="532" priority="1178" operator="equal">
      <formula>"Obsolete"</formula>
    </cfRule>
    <cfRule type="cellIs" dxfId="531" priority="1179" operator="equal">
      <formula>"EOSS"</formula>
    </cfRule>
  </conditionalFormatting>
  <conditionalFormatting sqref="K156">
    <cfRule type="cellIs" dxfId="530" priority="1180" operator="equal">
      <formula>"Cancelled"</formula>
    </cfRule>
    <cfRule type="cellIs" dxfId="529" priority="1181" operator="equal">
      <formula>"Obsolete"</formula>
    </cfRule>
    <cfRule type="cellIs" dxfId="528" priority="1182" operator="equal">
      <formula>"EOSS"</formula>
    </cfRule>
  </conditionalFormatting>
  <conditionalFormatting sqref="AH2 AJ2:AP2">
    <cfRule type="cellIs" dxfId="527" priority="1183" operator="equal">
      <formula>"Cancelled"</formula>
    </cfRule>
    <cfRule type="cellIs" dxfId="526" priority="1184" operator="equal">
      <formula>"Obsolete"</formula>
    </cfRule>
    <cfRule type="cellIs" dxfId="525" priority="1185" operator="equal">
      <formula>"EOSS"</formula>
    </cfRule>
  </conditionalFormatting>
  <conditionalFormatting sqref="AG2">
    <cfRule type="cellIs" dxfId="524" priority="1186" operator="equal">
      <formula>"Cancelled"</formula>
    </cfRule>
    <cfRule type="cellIs" dxfId="523" priority="1187" operator="equal">
      <formula>"Obsolete"</formula>
    </cfRule>
    <cfRule type="cellIs" dxfId="522" priority="1188" operator="equal">
      <formula>"EOSS"</formula>
    </cfRule>
  </conditionalFormatting>
  <conditionalFormatting sqref="AE1">
    <cfRule type="cellIs" dxfId="521" priority="1192" operator="equal">
      <formula>"Cancelled"</formula>
    </cfRule>
    <cfRule type="cellIs" dxfId="520" priority="1193" operator="equal">
      <formula>"Obsolete"</formula>
    </cfRule>
    <cfRule type="cellIs" dxfId="519" priority="1194" operator="equal">
      <formula>"EOSS"</formula>
    </cfRule>
  </conditionalFormatting>
  <conditionalFormatting sqref="AQ1">
    <cfRule type="cellIs" dxfId="518" priority="1195" operator="equal">
      <formula>"Cancelled"</formula>
    </cfRule>
    <cfRule type="cellIs" dxfId="517" priority="1196" operator="equal">
      <formula>"Obsolete"</formula>
    </cfRule>
    <cfRule type="cellIs" dxfId="516" priority="1197" operator="equal">
      <formula>"EOSS"</formula>
    </cfRule>
  </conditionalFormatting>
  <conditionalFormatting sqref="K167:M167">
    <cfRule type="cellIs" dxfId="515" priority="1198" operator="equal">
      <formula>"Cancelled"</formula>
    </cfRule>
    <cfRule type="cellIs" dxfId="514" priority="1199" operator="equal">
      <formula>"Obsolete"</formula>
    </cfRule>
    <cfRule type="cellIs" dxfId="513" priority="1200" operator="equal">
      <formula>"EOSS"</formula>
    </cfRule>
  </conditionalFormatting>
  <conditionalFormatting sqref="A8:D8 N8:P8 AB8:AL8 A18 A28 A38 A48 A58 A68 A78 A88 A98 A108 A118 A128 A138 A158 A168 A178 A188 A198 A208 A218 A133 A140 A147:A148 F8:K8">
    <cfRule type="cellIs" dxfId="512" priority="1201" operator="equal">
      <formula>"Cancelled"</formula>
    </cfRule>
    <cfRule type="cellIs" dxfId="511" priority="1202" operator="equal">
      <formula>"Obsolete"</formula>
    </cfRule>
    <cfRule type="cellIs" dxfId="510" priority="1203" operator="equal">
      <formula>"EOSS"</formula>
    </cfRule>
  </conditionalFormatting>
  <conditionalFormatting sqref="AQ8">
    <cfRule type="cellIs" dxfId="509" priority="1204" operator="equal">
      <formula>"Cancelled"</formula>
    </cfRule>
    <cfRule type="cellIs" dxfId="508" priority="1205" operator="equal">
      <formula>"Obsolete"</formula>
    </cfRule>
    <cfRule type="cellIs" dxfId="507" priority="1206" operator="equal">
      <formula>"EOSS"</formula>
    </cfRule>
  </conditionalFormatting>
  <conditionalFormatting sqref="L8">
    <cfRule type="cellIs" dxfId="506" priority="1207" operator="equal">
      <formula>"Cancelled"</formula>
    </cfRule>
    <cfRule type="cellIs" dxfId="505" priority="1208" operator="equal">
      <formula>"Obsolete"</formula>
    </cfRule>
    <cfRule type="cellIs" dxfId="504" priority="1209" operator="equal">
      <formula>"EOSS"</formula>
    </cfRule>
  </conditionalFormatting>
  <conditionalFormatting sqref="M8:O8">
    <cfRule type="cellIs" dxfId="503" priority="1210" operator="equal">
      <formula>"Cancelled"</formula>
    </cfRule>
    <cfRule type="cellIs" dxfId="502" priority="1211" operator="equal">
      <formula>"Obsolete"</formula>
    </cfRule>
    <cfRule type="cellIs" dxfId="501" priority="1212" operator="equal">
      <formula>"EOSS"</formula>
    </cfRule>
  </conditionalFormatting>
  <conditionalFormatting sqref="Q8">
    <cfRule type="cellIs" dxfId="500" priority="1213" operator="equal">
      <formula>"Cancelled"</formula>
    </cfRule>
    <cfRule type="cellIs" dxfId="499" priority="1214" operator="equal">
      <formula>"Obsolete"</formula>
    </cfRule>
    <cfRule type="cellIs" dxfId="498" priority="1215" operator="equal">
      <formula>"EOSS"</formula>
    </cfRule>
  </conditionalFormatting>
  <conditionalFormatting sqref="Q8">
    <cfRule type="cellIs" dxfId="497" priority="1216" operator="equal">
      <formula>"Cancelled"</formula>
    </cfRule>
    <cfRule type="cellIs" dxfId="496" priority="1217" operator="equal">
      <formula>"Obsolete"</formula>
    </cfRule>
    <cfRule type="cellIs" dxfId="495" priority="1218" operator="equal">
      <formula>"EOSS"</formula>
    </cfRule>
  </conditionalFormatting>
  <conditionalFormatting sqref="Q8">
    <cfRule type="cellIs" dxfId="494" priority="1219" operator="equal">
      <formula>"Cancelled"</formula>
    </cfRule>
    <cfRule type="cellIs" dxfId="493" priority="1220" operator="equal">
      <formula>"Obsolete"</formula>
    </cfRule>
    <cfRule type="cellIs" dxfId="492" priority="1221" operator="equal">
      <formula>"EOSS"</formula>
    </cfRule>
  </conditionalFormatting>
  <conditionalFormatting sqref="R8 V8:AA8">
    <cfRule type="cellIs" dxfId="491" priority="1222" operator="equal">
      <formula>"Cancelled"</formula>
    </cfRule>
    <cfRule type="cellIs" dxfId="490" priority="1223" operator="equal">
      <formula>"Obsolete"</formula>
    </cfRule>
    <cfRule type="cellIs" dxfId="489" priority="1224" operator="equal">
      <formula>"EOSS"</formula>
    </cfRule>
  </conditionalFormatting>
  <conditionalFormatting sqref="R8 V8:AA8">
    <cfRule type="cellIs" dxfId="488" priority="1225" operator="equal">
      <formula>"Cancelled"</formula>
    </cfRule>
    <cfRule type="cellIs" dxfId="487" priority="1226" operator="equal">
      <formula>"Obsolete"</formula>
    </cfRule>
    <cfRule type="cellIs" dxfId="486" priority="1227" operator="equal">
      <formula>"EOSS"</formula>
    </cfRule>
  </conditionalFormatting>
  <conditionalFormatting sqref="P174:P175 B174:D175 N174 AB174:AL175 AQ174:AQ175 F174:J174 F175:N175">
    <cfRule type="cellIs" dxfId="485" priority="1228" operator="equal">
      <formula>"Cancelled"</formula>
    </cfRule>
    <cfRule type="cellIs" dxfId="484" priority="1229" operator="equal">
      <formula>"Obsolete"</formula>
    </cfRule>
    <cfRule type="cellIs" dxfId="483" priority="1230" operator="equal">
      <formula>"EOSS"</formula>
    </cfRule>
  </conditionalFormatting>
  <conditionalFormatting sqref="V174:W175">
    <cfRule type="cellIs" dxfId="482" priority="1231" operator="equal">
      <formula>"Cancelled"</formula>
    </cfRule>
    <cfRule type="cellIs" dxfId="481" priority="1232" operator="equal">
      <formula>"Obsolete"</formula>
    </cfRule>
    <cfRule type="cellIs" dxfId="480" priority="1233" operator="equal">
      <formula>"EOSS"</formula>
    </cfRule>
  </conditionalFormatting>
  <conditionalFormatting sqref="V174:W175">
    <cfRule type="cellIs" dxfId="479" priority="1234" operator="equal">
      <formula>"Cancelled"</formula>
    </cfRule>
    <cfRule type="cellIs" dxfId="478" priority="1235" operator="equal">
      <formula>"Obsolete"</formula>
    </cfRule>
    <cfRule type="cellIs" dxfId="477" priority="1236" operator="equal">
      <formula>"EOSS"</formula>
    </cfRule>
  </conditionalFormatting>
  <conditionalFormatting sqref="K174:M174">
    <cfRule type="cellIs" dxfId="476" priority="1237" operator="equal">
      <formula>"Cancelled"</formula>
    </cfRule>
    <cfRule type="cellIs" dxfId="475" priority="1238" operator="equal">
      <formula>"Obsolete"</formula>
    </cfRule>
    <cfRule type="cellIs" dxfId="474" priority="1239" operator="equal">
      <formula>"EOSS"</formula>
    </cfRule>
  </conditionalFormatting>
  <conditionalFormatting sqref="G234">
    <cfRule type="cellIs" dxfId="470" priority="1246" operator="equal">
      <formula>"Cancelled"</formula>
    </cfRule>
    <cfRule type="cellIs" dxfId="469" priority="1247" operator="equal">
      <formula>"Obsolete"</formula>
    </cfRule>
    <cfRule type="cellIs" dxfId="468" priority="1248" operator="equal">
      <formula>"EOSS"</formula>
    </cfRule>
  </conditionalFormatting>
  <conditionalFormatting sqref="H229">
    <cfRule type="cellIs" dxfId="467" priority="1249" operator="equal">
      <formula>"Cancelled"</formula>
    </cfRule>
    <cfRule type="cellIs" dxfId="466" priority="1250" operator="equal">
      <formula>"Obsolete"</formula>
    </cfRule>
    <cfRule type="cellIs" dxfId="465" priority="1251" operator="equal">
      <formula>"EOSS"</formula>
    </cfRule>
  </conditionalFormatting>
  <conditionalFormatting sqref="H230">
    <cfRule type="cellIs" dxfId="464" priority="1252" operator="equal">
      <formula>"Cancelled"</formula>
    </cfRule>
    <cfRule type="cellIs" dxfId="463" priority="1253" operator="equal">
      <formula>"Obsolete"</formula>
    </cfRule>
    <cfRule type="cellIs" dxfId="462" priority="1254" operator="equal">
      <formula>"EOSS"</formula>
    </cfRule>
  </conditionalFormatting>
  <conditionalFormatting sqref="H231">
    <cfRule type="cellIs" dxfId="461" priority="1255" operator="equal">
      <formula>"Cancelled"</formula>
    </cfRule>
    <cfRule type="cellIs" dxfId="460" priority="1256" operator="equal">
      <formula>"Obsolete"</formula>
    </cfRule>
    <cfRule type="cellIs" dxfId="459" priority="1257" operator="equal">
      <formula>"EOSS"</formula>
    </cfRule>
  </conditionalFormatting>
  <conditionalFormatting sqref="H232">
    <cfRule type="cellIs" dxfId="458" priority="1258" operator="equal">
      <formula>"Cancelled"</formula>
    </cfRule>
    <cfRule type="cellIs" dxfId="457" priority="1259" operator="equal">
      <formula>"Obsolete"</formula>
    </cfRule>
    <cfRule type="cellIs" dxfId="456" priority="1260" operator="equal">
      <formula>"EOSS"</formula>
    </cfRule>
  </conditionalFormatting>
  <conditionalFormatting sqref="H233">
    <cfRule type="cellIs" dxfId="455" priority="1261" operator="equal">
      <formula>"Cancelled"</formula>
    </cfRule>
    <cfRule type="cellIs" dxfId="454" priority="1262" operator="equal">
      <formula>"Obsolete"</formula>
    </cfRule>
    <cfRule type="cellIs" dxfId="453" priority="1263" operator="equal">
      <formula>"EOSS"</formula>
    </cfRule>
  </conditionalFormatting>
  <conditionalFormatting sqref="J229">
    <cfRule type="cellIs" dxfId="452" priority="1270" operator="equal">
      <formula>"Cancelled"</formula>
    </cfRule>
    <cfRule type="cellIs" dxfId="451" priority="1271" operator="equal">
      <formula>"Obsolete"</formula>
    </cfRule>
    <cfRule type="cellIs" dxfId="450" priority="1272" operator="equal">
      <formula>"EOSS"</formula>
    </cfRule>
  </conditionalFormatting>
  <conditionalFormatting sqref="J230">
    <cfRule type="cellIs" dxfId="449" priority="1273" operator="equal">
      <formula>"Cancelled"</formula>
    </cfRule>
    <cfRule type="cellIs" dxfId="448" priority="1274" operator="equal">
      <formula>"Obsolete"</formula>
    </cfRule>
    <cfRule type="cellIs" dxfId="447" priority="1275" operator="equal">
      <formula>"EOSS"</formula>
    </cfRule>
  </conditionalFormatting>
  <conditionalFormatting sqref="J231">
    <cfRule type="cellIs" dxfId="446" priority="1276" operator="equal">
      <formula>"Cancelled"</formula>
    </cfRule>
    <cfRule type="cellIs" dxfId="445" priority="1277" operator="equal">
      <formula>"Obsolete"</formula>
    </cfRule>
    <cfRule type="cellIs" dxfId="444" priority="1278" operator="equal">
      <formula>"EOSS"</formula>
    </cfRule>
  </conditionalFormatting>
  <conditionalFormatting sqref="N229 N231 N233">
    <cfRule type="cellIs" dxfId="443" priority="1291" operator="equal">
      <formula>"Cancelled"</formula>
    </cfRule>
    <cfRule type="cellIs" dxfId="442" priority="1292" operator="equal">
      <formula>"Obsolete"</formula>
    </cfRule>
    <cfRule type="cellIs" dxfId="441" priority="1293" operator="equal">
      <formula>"EOSS"</formula>
    </cfRule>
  </conditionalFormatting>
  <conditionalFormatting sqref="P232:P234 AB234:AD234 AB232:AL233">
    <cfRule type="cellIs" dxfId="440" priority="1294" operator="equal">
      <formula>"Cancelled"</formula>
    </cfRule>
    <cfRule type="cellIs" dxfId="439" priority="1295" operator="equal">
      <formula>"Obsolete"</formula>
    </cfRule>
    <cfRule type="cellIs" dxfId="438" priority="1296" operator="equal">
      <formula>"EOSS"</formula>
    </cfRule>
  </conditionalFormatting>
  <conditionalFormatting sqref="V232:W234">
    <cfRule type="cellIs" dxfId="437" priority="1297" operator="equal">
      <formula>"Cancelled"</formula>
    </cfRule>
    <cfRule type="cellIs" dxfId="436" priority="1298" operator="equal">
      <formula>"Obsolete"</formula>
    </cfRule>
    <cfRule type="cellIs" dxfId="435" priority="1299" operator="equal">
      <formula>"EOSS"</formula>
    </cfRule>
  </conditionalFormatting>
  <conditionalFormatting sqref="V232:W234">
    <cfRule type="cellIs" dxfId="434" priority="1300" operator="equal">
      <formula>"Cancelled"</formula>
    </cfRule>
    <cfRule type="cellIs" dxfId="433" priority="1301" operator="equal">
      <formula>"Obsolete"</formula>
    </cfRule>
    <cfRule type="cellIs" dxfId="432" priority="1302" operator="equal">
      <formula>"EOSS"</formula>
    </cfRule>
  </conditionalFormatting>
  <conditionalFormatting sqref="G230">
    <cfRule type="cellIs" dxfId="431" priority="1303" operator="equal">
      <formula>"Cancelled"</formula>
    </cfRule>
    <cfRule type="cellIs" dxfId="430" priority="1304" operator="equal">
      <formula>"Obsolete"</formula>
    </cfRule>
    <cfRule type="cellIs" dxfId="429" priority="1305" operator="equal">
      <formula>"EOSS"</formula>
    </cfRule>
  </conditionalFormatting>
  <conditionalFormatting sqref="G232">
    <cfRule type="cellIs" dxfId="428" priority="1309" operator="equal">
      <formula>"Cancelled"</formula>
    </cfRule>
    <cfRule type="cellIs" dxfId="427" priority="1310" operator="equal">
      <formula>"Obsolete"</formula>
    </cfRule>
    <cfRule type="cellIs" dxfId="426" priority="1311" operator="equal">
      <formula>"EOSS"</formula>
    </cfRule>
  </conditionalFormatting>
  <conditionalFormatting sqref="O180">
    <cfRule type="cellIs" dxfId="425" priority="545" operator="equal">
      <formula>"Cancelled"</formula>
    </cfRule>
    <cfRule type="cellIs" dxfId="424" priority="546" operator="equal">
      <formula>"Obsolete"</formula>
    </cfRule>
    <cfRule type="cellIs" dxfId="423" priority="547" operator="equal">
      <formula>"EOSS"</formula>
    </cfRule>
  </conditionalFormatting>
  <conditionalFormatting sqref="B273:C274 B254:B272 B276:C277 B275 B278:B289">
    <cfRule type="cellIs" dxfId="422" priority="518" operator="equal">
      <formula>"Cancelled"</formula>
    </cfRule>
    <cfRule type="cellIs" dxfId="421" priority="519" operator="equal">
      <formula>"Obsolete"</formula>
    </cfRule>
    <cfRule type="cellIs" dxfId="420" priority="520" operator="equal">
      <formula>"EOSS"</formula>
    </cfRule>
  </conditionalFormatting>
  <conditionalFormatting sqref="F272:F289 F282:G285 I282:I285 H282:H286 AC272:AC285 P272 K272:M273 O273 AF272:AL289 G260:G271 K274:P274 F272:I277 F279:I281 F278:G278 I278 K276:P285 K275:M275 O275">
    <cfRule type="cellIs" dxfId="419" priority="512" operator="equal">
      <formula>"Cancelled"</formula>
    </cfRule>
    <cfRule type="cellIs" dxfId="418" priority="513" operator="equal">
      <formula>"Obsolete"</formula>
    </cfRule>
    <cfRule type="cellIs" dxfId="417" priority="514" operator="equal">
      <formula>"EOSS"</formula>
    </cfRule>
  </conditionalFormatting>
  <conditionalFormatting sqref="F287:I289 K287:P287 AC286:AC289 F286:G286 K286:M286 K289:P289 K288:M288">
    <cfRule type="cellIs" dxfId="416" priority="509" operator="equal">
      <formula>"Cancelled"</formula>
    </cfRule>
    <cfRule type="cellIs" dxfId="415" priority="510" operator="equal">
      <formula>"Obsolete"</formula>
    </cfRule>
    <cfRule type="cellIs" dxfId="414" priority="511" operator="equal">
      <formula>"EOSS"</formula>
    </cfRule>
  </conditionalFormatting>
  <conditionalFormatting sqref="I260">
    <cfRule type="cellIs" dxfId="413" priority="503" operator="equal">
      <formula>"Cancelled"</formula>
    </cfRule>
    <cfRule type="cellIs" dxfId="412" priority="504" operator="equal">
      <formula>"Obsolete"</formula>
    </cfRule>
    <cfRule type="cellIs" dxfId="411" priority="505" operator="equal">
      <formula>"EOSS"</formula>
    </cfRule>
  </conditionalFormatting>
  <conditionalFormatting sqref="N260">
    <cfRule type="cellIs" dxfId="410" priority="500" operator="equal">
      <formula>"Cancelled"</formula>
    </cfRule>
    <cfRule type="cellIs" dxfId="409" priority="501" operator="equal">
      <formula>"Obsolete"</formula>
    </cfRule>
    <cfRule type="cellIs" dxfId="408" priority="502" operator="equal">
      <formula>"EOSS"</formula>
    </cfRule>
  </conditionalFormatting>
  <conditionalFormatting sqref="O260">
    <cfRule type="cellIs" dxfId="407" priority="497" operator="equal">
      <formula>"Cancelled"</formula>
    </cfRule>
    <cfRule type="cellIs" dxfId="406" priority="498" operator="equal">
      <formula>"Obsolete"</formula>
    </cfRule>
    <cfRule type="cellIs" dxfId="405" priority="499" operator="equal">
      <formula>"EOSS"</formula>
    </cfRule>
  </conditionalFormatting>
  <conditionalFormatting sqref="Q260">
    <cfRule type="cellIs" dxfId="404" priority="479" operator="equal">
      <formula>"Cancelled"</formula>
    </cfRule>
    <cfRule type="cellIs" dxfId="403" priority="480" operator="equal">
      <formula>"Obsolete"</formula>
    </cfRule>
    <cfRule type="cellIs" dxfId="402" priority="481" operator="equal">
      <formula>"EOSS"</formula>
    </cfRule>
  </conditionalFormatting>
  <conditionalFormatting sqref="Q260">
    <cfRule type="cellIs" dxfId="401" priority="482" operator="equal">
      <formula>"Cancelled"</formula>
    </cfRule>
    <cfRule type="cellIs" dxfId="400" priority="483" operator="equal">
      <formula>"Obsolete"</formula>
    </cfRule>
    <cfRule type="cellIs" dxfId="399" priority="484" operator="equal">
      <formula>"EOSS"</formula>
    </cfRule>
  </conditionalFormatting>
  <conditionalFormatting sqref="Q260">
    <cfRule type="cellIs" dxfId="398" priority="485" operator="equal">
      <formula>"Cancelled"</formula>
    </cfRule>
    <cfRule type="cellIs" dxfId="397" priority="486" operator="equal">
      <formula>"Obsolete"</formula>
    </cfRule>
    <cfRule type="cellIs" dxfId="396" priority="487" operator="equal">
      <formula>"EOSS"</formula>
    </cfRule>
  </conditionalFormatting>
  <conditionalFormatting sqref="Q260">
    <cfRule type="cellIs" dxfId="395" priority="488" operator="equal">
      <formula>"Cancelled"</formula>
    </cfRule>
    <cfRule type="cellIs" dxfId="394" priority="489" operator="equal">
      <formula>"Obsolete"</formula>
    </cfRule>
    <cfRule type="cellIs" dxfId="393" priority="490" operator="equal">
      <formula>"EOSS"</formula>
    </cfRule>
  </conditionalFormatting>
  <conditionalFormatting sqref="R260:S260 V260:AA260">
    <cfRule type="cellIs" dxfId="392" priority="491" operator="equal">
      <formula>"Cancelled"</formula>
    </cfRule>
    <cfRule type="cellIs" dxfId="391" priority="492" operator="equal">
      <formula>"Obsolete"</formula>
    </cfRule>
    <cfRule type="cellIs" dxfId="390" priority="493" operator="equal">
      <formula>"EOSS"</formula>
    </cfRule>
  </conditionalFormatting>
  <conditionalFormatting sqref="R260:S260 V260:AA260">
    <cfRule type="cellIs" dxfId="389" priority="494" operator="equal">
      <formula>"Cancelled"</formula>
    </cfRule>
    <cfRule type="cellIs" dxfId="388" priority="495" operator="equal">
      <formula>"Obsolete"</formula>
    </cfRule>
    <cfRule type="cellIs" dxfId="387" priority="496" operator="equal">
      <formula>"EOSS"</formula>
    </cfRule>
  </conditionalFormatting>
  <conditionalFormatting sqref="P260:P261">
    <cfRule type="cellIs" dxfId="386" priority="476" operator="equal">
      <formula>"Cancelled"</formula>
    </cfRule>
    <cfRule type="cellIs" dxfId="385" priority="477" operator="equal">
      <formula>"Obsolete"</formula>
    </cfRule>
    <cfRule type="cellIs" dxfId="384" priority="478" operator="equal">
      <formula>"EOSS"</formula>
    </cfRule>
  </conditionalFormatting>
  <conditionalFormatting sqref="AF260:AL260">
    <cfRule type="cellIs" dxfId="383" priority="473" operator="equal">
      <formula>"Cancelled"</formula>
    </cfRule>
    <cfRule type="cellIs" dxfId="382" priority="474" operator="equal">
      <formula>"Obsolete"</formula>
    </cfRule>
    <cfRule type="cellIs" dxfId="381" priority="475" operator="equal">
      <formula>"EOSS"</formula>
    </cfRule>
  </conditionalFormatting>
  <conditionalFormatting sqref="I286">
    <cfRule type="cellIs" dxfId="380" priority="467" operator="equal">
      <formula>"Cancelled"</formula>
    </cfRule>
    <cfRule type="cellIs" dxfId="379" priority="468" operator="equal">
      <formula>"Obsolete"</formula>
    </cfRule>
    <cfRule type="cellIs" dxfId="378" priority="469" operator="equal">
      <formula>"EOSS"</formula>
    </cfRule>
  </conditionalFormatting>
  <conditionalFormatting sqref="I267">
    <cfRule type="cellIs" dxfId="377" priority="455" operator="equal">
      <formula>"Cancelled"</formula>
    </cfRule>
    <cfRule type="cellIs" dxfId="376" priority="456" operator="equal">
      <formula>"Obsolete"</formula>
    </cfRule>
    <cfRule type="cellIs" dxfId="375" priority="457" operator="equal">
      <formula>"EOSS"</formula>
    </cfRule>
  </conditionalFormatting>
  <conditionalFormatting sqref="N266:N267">
    <cfRule type="cellIs" dxfId="374" priority="452" operator="equal">
      <formula>"Cancelled"</formula>
    </cfRule>
    <cfRule type="cellIs" dxfId="373" priority="453" operator="equal">
      <formula>"Obsolete"</formula>
    </cfRule>
    <cfRule type="cellIs" dxfId="372" priority="454" operator="equal">
      <formula>"EOSS"</formula>
    </cfRule>
  </conditionalFormatting>
  <conditionalFormatting sqref="O266:O267">
    <cfRule type="cellIs" dxfId="371" priority="449" operator="equal">
      <formula>"Cancelled"</formula>
    </cfRule>
    <cfRule type="cellIs" dxfId="370" priority="450" operator="equal">
      <formula>"Obsolete"</formula>
    </cfRule>
    <cfRule type="cellIs" dxfId="369" priority="451" operator="equal">
      <formula>"EOSS"</formula>
    </cfRule>
  </conditionalFormatting>
  <conditionalFormatting sqref="Q266:Q267">
    <cfRule type="cellIs" dxfId="368" priority="431" operator="equal">
      <formula>"Cancelled"</formula>
    </cfRule>
    <cfRule type="cellIs" dxfId="367" priority="432" operator="equal">
      <formula>"Obsolete"</formula>
    </cfRule>
    <cfRule type="cellIs" dxfId="366" priority="433" operator="equal">
      <formula>"EOSS"</formula>
    </cfRule>
  </conditionalFormatting>
  <conditionalFormatting sqref="Q266:Q267">
    <cfRule type="cellIs" dxfId="365" priority="434" operator="equal">
      <formula>"Cancelled"</formula>
    </cfRule>
    <cfRule type="cellIs" dxfId="364" priority="435" operator="equal">
      <formula>"Obsolete"</formula>
    </cfRule>
    <cfRule type="cellIs" dxfId="363" priority="436" operator="equal">
      <formula>"EOSS"</formula>
    </cfRule>
  </conditionalFormatting>
  <conditionalFormatting sqref="Q266:Q267">
    <cfRule type="cellIs" dxfId="362" priority="437" operator="equal">
      <formula>"Cancelled"</formula>
    </cfRule>
    <cfRule type="cellIs" dxfId="361" priority="438" operator="equal">
      <formula>"Obsolete"</formula>
    </cfRule>
    <cfRule type="cellIs" dxfId="360" priority="439" operator="equal">
      <formula>"EOSS"</formula>
    </cfRule>
  </conditionalFormatting>
  <conditionalFormatting sqref="Q266:Q267">
    <cfRule type="cellIs" dxfId="359" priority="440" operator="equal">
      <formula>"Cancelled"</formula>
    </cfRule>
    <cfRule type="cellIs" dxfId="358" priority="441" operator="equal">
      <formula>"Obsolete"</formula>
    </cfRule>
    <cfRule type="cellIs" dxfId="357" priority="442" operator="equal">
      <formula>"EOSS"</formula>
    </cfRule>
  </conditionalFormatting>
  <conditionalFormatting sqref="R267:S267 V267:AA267">
    <cfRule type="cellIs" dxfId="356" priority="443" operator="equal">
      <formula>"Cancelled"</formula>
    </cfRule>
    <cfRule type="cellIs" dxfId="355" priority="444" operator="equal">
      <formula>"Obsolete"</formula>
    </cfRule>
    <cfRule type="cellIs" dxfId="354" priority="445" operator="equal">
      <formula>"EOSS"</formula>
    </cfRule>
  </conditionalFormatting>
  <conditionalFormatting sqref="R267:S267 V267:AA267">
    <cfRule type="cellIs" dxfId="353" priority="446" operator="equal">
      <formula>"Cancelled"</formula>
    </cfRule>
    <cfRule type="cellIs" dxfId="352" priority="447" operator="equal">
      <formula>"Obsolete"</formula>
    </cfRule>
    <cfRule type="cellIs" dxfId="351" priority="448" operator="equal">
      <formula>"EOSS"</formula>
    </cfRule>
  </conditionalFormatting>
  <conditionalFormatting sqref="P266:P267">
    <cfRule type="cellIs" dxfId="350" priority="428" operator="equal">
      <formula>"Cancelled"</formula>
    </cfRule>
    <cfRule type="cellIs" dxfId="349" priority="429" operator="equal">
      <formula>"Obsolete"</formula>
    </cfRule>
    <cfRule type="cellIs" dxfId="348" priority="430" operator="equal">
      <formula>"EOSS"</formula>
    </cfRule>
  </conditionalFormatting>
  <conditionalFormatting sqref="AF267:AL267">
    <cfRule type="cellIs" dxfId="347" priority="425" operator="equal">
      <formula>"Cancelled"</formula>
    </cfRule>
    <cfRule type="cellIs" dxfId="346" priority="426" operator="equal">
      <formula>"Obsolete"</formula>
    </cfRule>
    <cfRule type="cellIs" dxfId="345" priority="427" operator="equal">
      <formula>"EOSS"</formula>
    </cfRule>
  </conditionalFormatting>
  <conditionalFormatting sqref="J291:N291 K292:M292 J290:M290 AE290:AL292 B290:C292 J292:J295 C293 F290:H292">
    <cfRule type="cellIs" dxfId="344" priority="416" operator="equal">
      <formula>"Cancelled"</formula>
    </cfRule>
    <cfRule type="cellIs" dxfId="343" priority="417" operator="equal">
      <formula>"Obsolete"</formula>
    </cfRule>
    <cfRule type="cellIs" dxfId="342" priority="418" operator="equal">
      <formula>"EOSS"</formula>
    </cfRule>
  </conditionalFormatting>
  <conditionalFormatting sqref="B293 K293:N293 AE293:AL293 F293:H293">
    <cfRule type="cellIs" dxfId="341" priority="413" operator="equal">
      <formula>"Cancelled"</formula>
    </cfRule>
    <cfRule type="cellIs" dxfId="340" priority="414" operator="equal">
      <formula>"Obsolete"</formula>
    </cfRule>
    <cfRule type="cellIs" dxfId="339" priority="415" operator="equal">
      <formula>"EOSS"</formula>
    </cfRule>
  </conditionalFormatting>
  <conditionalFormatting sqref="N290">
    <cfRule type="cellIs" dxfId="338" priority="410" operator="equal">
      <formula>"Cancelled"</formula>
    </cfRule>
    <cfRule type="cellIs" dxfId="337" priority="411" operator="equal">
      <formula>"Obsolete"</formula>
    </cfRule>
    <cfRule type="cellIs" dxfId="336" priority="412" operator="equal">
      <formula>"EOSS"</formula>
    </cfRule>
  </conditionalFormatting>
  <conditionalFormatting sqref="N292">
    <cfRule type="cellIs" dxfId="335" priority="407" operator="equal">
      <formula>"Cancelled"</formula>
    </cfRule>
    <cfRule type="cellIs" dxfId="334" priority="408" operator="equal">
      <formula>"Obsolete"</formula>
    </cfRule>
    <cfRule type="cellIs" dxfId="333" priority="409" operator="equal">
      <formula>"EOSS"</formula>
    </cfRule>
  </conditionalFormatting>
  <conditionalFormatting sqref="P290:P291">
    <cfRule type="cellIs" dxfId="332" priority="404" operator="equal">
      <formula>"Cancelled"</formula>
    </cfRule>
    <cfRule type="cellIs" dxfId="331" priority="405" operator="equal">
      <formula>"Obsolete"</formula>
    </cfRule>
    <cfRule type="cellIs" dxfId="330" priority="406" operator="equal">
      <formula>"EOSS"</formula>
    </cfRule>
  </conditionalFormatting>
  <conditionalFormatting sqref="P292:P295">
    <cfRule type="cellIs" dxfId="329" priority="401" operator="equal">
      <formula>"Cancelled"</formula>
    </cfRule>
    <cfRule type="cellIs" dxfId="328" priority="402" operator="equal">
      <formula>"Obsolete"</formula>
    </cfRule>
    <cfRule type="cellIs" dxfId="327" priority="403" operator="equal">
      <formula>"EOSS"</formula>
    </cfRule>
  </conditionalFormatting>
  <conditionalFormatting sqref="N286 N288">
    <cfRule type="cellIs" dxfId="326" priority="398" operator="equal">
      <formula>"Cancelled"</formula>
    </cfRule>
    <cfRule type="cellIs" dxfId="325" priority="399" operator="equal">
      <formula>"Obsolete"</formula>
    </cfRule>
    <cfRule type="cellIs" dxfId="324" priority="400" operator="equal">
      <formula>"EOSS"</formula>
    </cfRule>
  </conditionalFormatting>
  <conditionalFormatting sqref="O286 O288">
    <cfRule type="cellIs" dxfId="323" priority="395" operator="equal">
      <formula>"Cancelled"</formula>
    </cfRule>
    <cfRule type="cellIs" dxfId="322" priority="396" operator="equal">
      <formula>"Obsolete"</formula>
    </cfRule>
    <cfRule type="cellIs" dxfId="321" priority="397" operator="equal">
      <formula>"EOSS"</formula>
    </cfRule>
  </conditionalFormatting>
  <conditionalFormatting sqref="P286 P288">
    <cfRule type="cellIs" dxfId="320" priority="392" operator="equal">
      <formula>"Cancelled"</formula>
    </cfRule>
    <cfRule type="cellIs" dxfId="319" priority="393" operator="equal">
      <formula>"Obsolete"</formula>
    </cfRule>
    <cfRule type="cellIs" dxfId="318" priority="394" operator="equal">
      <formula>"EOSS"</formula>
    </cfRule>
  </conditionalFormatting>
  <conditionalFormatting sqref="I264">
    <cfRule type="cellIs" dxfId="317" priority="389" operator="equal">
      <formula>"Cancelled"</formula>
    </cfRule>
    <cfRule type="cellIs" dxfId="316" priority="390" operator="equal">
      <formula>"Obsolete"</formula>
    </cfRule>
    <cfRule type="cellIs" dxfId="315" priority="391" operator="equal">
      <formula>"EOSS"</formula>
    </cfRule>
  </conditionalFormatting>
  <conditionalFormatting sqref="I258">
    <cfRule type="cellIs" dxfId="314" priority="386" operator="equal">
      <formula>"Cancelled"</formula>
    </cfRule>
    <cfRule type="cellIs" dxfId="313" priority="387" operator="equal">
      <formula>"Obsolete"</formula>
    </cfRule>
    <cfRule type="cellIs" dxfId="312" priority="388" operator="equal">
      <formula>"EOSS"</formula>
    </cfRule>
  </conditionalFormatting>
  <conditionalFormatting sqref="N258">
    <cfRule type="cellIs" dxfId="311" priority="383" operator="equal">
      <formula>"Cancelled"</formula>
    </cfRule>
    <cfRule type="cellIs" dxfId="310" priority="384" operator="equal">
      <formula>"Obsolete"</formula>
    </cfRule>
    <cfRule type="cellIs" dxfId="309" priority="385" operator="equal">
      <formula>"EOSS"</formula>
    </cfRule>
  </conditionalFormatting>
  <conditionalFormatting sqref="N264 N270">
    <cfRule type="cellIs" dxfId="308" priority="380" operator="equal">
      <formula>"Cancelled"</formula>
    </cfRule>
    <cfRule type="cellIs" dxfId="307" priority="381" operator="equal">
      <formula>"Obsolete"</formula>
    </cfRule>
    <cfRule type="cellIs" dxfId="306" priority="382" operator="equal">
      <formula>"EOSS"</formula>
    </cfRule>
  </conditionalFormatting>
  <conditionalFormatting sqref="P258">
    <cfRule type="cellIs" dxfId="305" priority="374" operator="equal">
      <formula>"Cancelled"</formula>
    </cfRule>
    <cfRule type="cellIs" dxfId="304" priority="375" operator="equal">
      <formula>"Obsolete"</formula>
    </cfRule>
    <cfRule type="cellIs" dxfId="303" priority="376" operator="equal">
      <formula>"EOSS"</formula>
    </cfRule>
  </conditionalFormatting>
  <conditionalFormatting sqref="O264 O270">
    <cfRule type="cellIs" dxfId="302" priority="371" operator="equal">
      <formula>"Cancelled"</formula>
    </cfRule>
    <cfRule type="cellIs" dxfId="301" priority="372" operator="equal">
      <formula>"Obsolete"</formula>
    </cfRule>
    <cfRule type="cellIs" dxfId="300" priority="373" operator="equal">
      <formula>"EOSS"</formula>
    </cfRule>
  </conditionalFormatting>
  <conditionalFormatting sqref="O258">
    <cfRule type="cellIs" dxfId="299" priority="368" operator="equal">
      <formula>"Cancelled"</formula>
    </cfRule>
    <cfRule type="cellIs" dxfId="298" priority="369" operator="equal">
      <formula>"Obsolete"</formula>
    </cfRule>
    <cfRule type="cellIs" dxfId="297" priority="370" operator="equal">
      <formula>"EOSS"</formula>
    </cfRule>
  </conditionalFormatting>
  <conditionalFormatting sqref="Q258">
    <cfRule type="cellIs" dxfId="296" priority="350" operator="equal">
      <formula>"Cancelled"</formula>
    </cfRule>
    <cfRule type="cellIs" dxfId="295" priority="351" operator="equal">
      <formula>"Obsolete"</formula>
    </cfRule>
    <cfRule type="cellIs" dxfId="294" priority="352" operator="equal">
      <formula>"EOSS"</formula>
    </cfRule>
  </conditionalFormatting>
  <conditionalFormatting sqref="Q258">
    <cfRule type="cellIs" dxfId="293" priority="353" operator="equal">
      <formula>"Cancelled"</formula>
    </cfRule>
    <cfRule type="cellIs" dxfId="292" priority="354" operator="equal">
      <formula>"Obsolete"</formula>
    </cfRule>
    <cfRule type="cellIs" dxfId="291" priority="355" operator="equal">
      <formula>"EOSS"</formula>
    </cfRule>
  </conditionalFormatting>
  <conditionalFormatting sqref="Q258">
    <cfRule type="cellIs" dxfId="290" priority="356" operator="equal">
      <formula>"Cancelled"</formula>
    </cfRule>
    <cfRule type="cellIs" dxfId="289" priority="357" operator="equal">
      <formula>"Obsolete"</formula>
    </cfRule>
    <cfRule type="cellIs" dxfId="288" priority="358" operator="equal">
      <formula>"EOSS"</formula>
    </cfRule>
  </conditionalFormatting>
  <conditionalFormatting sqref="Q258">
    <cfRule type="cellIs" dxfId="287" priority="359" operator="equal">
      <formula>"Cancelled"</formula>
    </cfRule>
    <cfRule type="cellIs" dxfId="286" priority="360" operator="equal">
      <formula>"Obsolete"</formula>
    </cfRule>
    <cfRule type="cellIs" dxfId="285" priority="361" operator="equal">
      <formula>"EOSS"</formula>
    </cfRule>
  </conditionalFormatting>
  <conditionalFormatting sqref="R258:S258 V258:AA258">
    <cfRule type="cellIs" dxfId="284" priority="362" operator="equal">
      <formula>"Cancelled"</formula>
    </cfRule>
    <cfRule type="cellIs" dxfId="283" priority="363" operator="equal">
      <formula>"Obsolete"</formula>
    </cfRule>
    <cfRule type="cellIs" dxfId="282" priority="364" operator="equal">
      <formula>"EOSS"</formula>
    </cfRule>
  </conditionalFormatting>
  <conditionalFormatting sqref="R258:S258 V258:AA258">
    <cfRule type="cellIs" dxfId="281" priority="365" operator="equal">
      <formula>"Cancelled"</formula>
    </cfRule>
    <cfRule type="cellIs" dxfId="280" priority="366" operator="equal">
      <formula>"Obsolete"</formula>
    </cfRule>
    <cfRule type="cellIs" dxfId="279" priority="367" operator="equal">
      <formula>"EOSS"</formula>
    </cfRule>
  </conditionalFormatting>
  <conditionalFormatting sqref="Q264 Q270">
    <cfRule type="cellIs" dxfId="278" priority="332" operator="equal">
      <formula>"Cancelled"</formula>
    </cfRule>
    <cfRule type="cellIs" dxfId="277" priority="333" operator="equal">
      <formula>"Obsolete"</formula>
    </cfRule>
    <cfRule type="cellIs" dxfId="276" priority="334" operator="equal">
      <formula>"EOSS"</formula>
    </cfRule>
  </conditionalFormatting>
  <conditionalFormatting sqref="Q264 Q270">
    <cfRule type="cellIs" dxfId="275" priority="335" operator="equal">
      <formula>"Cancelled"</formula>
    </cfRule>
    <cfRule type="cellIs" dxfId="274" priority="336" operator="equal">
      <formula>"Obsolete"</formula>
    </cfRule>
    <cfRule type="cellIs" dxfId="273" priority="337" operator="equal">
      <formula>"EOSS"</formula>
    </cfRule>
  </conditionalFormatting>
  <conditionalFormatting sqref="Q264 Q270">
    <cfRule type="cellIs" dxfId="272" priority="338" operator="equal">
      <formula>"Cancelled"</formula>
    </cfRule>
    <cfRule type="cellIs" dxfId="271" priority="339" operator="equal">
      <formula>"Obsolete"</formula>
    </cfRule>
    <cfRule type="cellIs" dxfId="270" priority="340" operator="equal">
      <formula>"EOSS"</formula>
    </cfRule>
  </conditionalFormatting>
  <conditionalFormatting sqref="Q264 Q270">
    <cfRule type="cellIs" dxfId="269" priority="341" operator="equal">
      <formula>"Cancelled"</formula>
    </cfRule>
    <cfRule type="cellIs" dxfId="268" priority="342" operator="equal">
      <formula>"Obsolete"</formula>
    </cfRule>
    <cfRule type="cellIs" dxfId="267" priority="343" operator="equal">
      <formula>"EOSS"</formula>
    </cfRule>
  </conditionalFormatting>
  <conditionalFormatting sqref="R264:S264 V264:AA264 R270:S270 V270:AA270">
    <cfRule type="cellIs" dxfId="266" priority="344" operator="equal">
      <formula>"Cancelled"</formula>
    </cfRule>
    <cfRule type="cellIs" dxfId="265" priority="345" operator="equal">
      <formula>"Obsolete"</formula>
    </cfRule>
    <cfRule type="cellIs" dxfId="264" priority="346" operator="equal">
      <formula>"EOSS"</formula>
    </cfRule>
  </conditionalFormatting>
  <conditionalFormatting sqref="R264:S264 V264:AA264 R270:S270 V270:AA270">
    <cfRule type="cellIs" dxfId="263" priority="347" operator="equal">
      <formula>"Cancelled"</formula>
    </cfRule>
    <cfRule type="cellIs" dxfId="262" priority="348" operator="equal">
      <formula>"Obsolete"</formula>
    </cfRule>
    <cfRule type="cellIs" dxfId="261" priority="349" operator="equal">
      <formula>"EOSS"</formula>
    </cfRule>
  </conditionalFormatting>
  <conditionalFormatting sqref="P264 P270">
    <cfRule type="cellIs" dxfId="260" priority="329" operator="equal">
      <formula>"Cancelled"</formula>
    </cfRule>
    <cfRule type="cellIs" dxfId="259" priority="330" operator="equal">
      <formula>"Obsolete"</formula>
    </cfRule>
    <cfRule type="cellIs" dxfId="258" priority="331" operator="equal">
      <formula>"EOSS"</formula>
    </cfRule>
  </conditionalFormatting>
  <conditionalFormatting sqref="AF258:AL258">
    <cfRule type="cellIs" dxfId="257" priority="326" operator="equal">
      <formula>"Cancelled"</formula>
    </cfRule>
    <cfRule type="cellIs" dxfId="256" priority="327" operator="equal">
      <formula>"Obsolete"</formula>
    </cfRule>
    <cfRule type="cellIs" dxfId="255" priority="328" operator="equal">
      <formula>"EOSS"</formula>
    </cfRule>
  </conditionalFormatting>
  <conditionalFormatting sqref="AF264:AL264 AF270:AL270">
    <cfRule type="cellIs" dxfId="254" priority="323" operator="equal">
      <formula>"Cancelled"</formula>
    </cfRule>
    <cfRule type="cellIs" dxfId="253" priority="324" operator="equal">
      <formula>"Obsolete"</formula>
    </cfRule>
    <cfRule type="cellIs" dxfId="252" priority="325" operator="equal">
      <formula>"EOSS"</formula>
    </cfRule>
  </conditionalFormatting>
  <conditionalFormatting sqref="I270">
    <cfRule type="cellIs" dxfId="251" priority="320" operator="equal">
      <formula>"Cancelled"</formula>
    </cfRule>
    <cfRule type="cellIs" dxfId="250" priority="321" operator="equal">
      <formula>"Obsolete"</formula>
    </cfRule>
    <cfRule type="cellIs" dxfId="249" priority="322" operator="equal">
      <formula>"EOSS"</formula>
    </cfRule>
  </conditionalFormatting>
  <conditionalFormatting sqref="N272">
    <cfRule type="cellIs" dxfId="248" priority="314" operator="equal">
      <formula>"Cancelled"</formula>
    </cfRule>
    <cfRule type="cellIs" dxfId="247" priority="315" operator="equal">
      <formula>"Obsolete"</formula>
    </cfRule>
    <cfRule type="cellIs" dxfId="246" priority="316" operator="equal">
      <formula>"EOSS"</formula>
    </cfRule>
  </conditionalFormatting>
  <conditionalFormatting sqref="N273">
    <cfRule type="cellIs" dxfId="245" priority="311" operator="equal">
      <formula>"Cancelled"</formula>
    </cfRule>
    <cfRule type="cellIs" dxfId="244" priority="312" operator="equal">
      <formula>"Obsolete"</formula>
    </cfRule>
    <cfRule type="cellIs" dxfId="243" priority="313" operator="equal">
      <formula>"EOSS"</formula>
    </cfRule>
  </conditionalFormatting>
  <conditionalFormatting sqref="Q316:AA1048576 Q1:AA301">
    <cfRule type="containsText" dxfId="242" priority="310" operator="containsText" text="y">
      <formula>NOT(ISERROR(SEARCH("y",Q1)))</formula>
    </cfRule>
  </conditionalFormatting>
  <conditionalFormatting sqref="AF296:AP296 AF3:AP293">
    <cfRule type="containsText" dxfId="241" priority="296" operator="containsText" text="yes">
      <formula>NOT(ISERROR(SEARCH("yes",AF3)))</formula>
    </cfRule>
    <cfRule type="containsText" dxfId="240" priority="297" operator="containsText" text="No">
      <formula>NOT(ISERROR(SEARCH("No",AF3)))</formula>
    </cfRule>
    <cfRule type="containsText" dxfId="239" priority="299" operator="containsText" text=".">
      <formula>NOT(ISERROR(SEARCH(".",AF3)))</formula>
    </cfRule>
  </conditionalFormatting>
  <conditionalFormatting sqref="AL294:AP295">
    <cfRule type="cellIs" dxfId="238" priority="293" operator="equal">
      <formula>"Cancelled"</formula>
    </cfRule>
    <cfRule type="cellIs" dxfId="237" priority="294" operator="equal">
      <formula>"Obsolete"</formula>
    </cfRule>
    <cfRule type="cellIs" dxfId="236" priority="295" operator="equal">
      <formula>"EOSS"</formula>
    </cfRule>
  </conditionalFormatting>
  <conditionalFormatting sqref="K294:M294 B294:C295 L295 AE294:AL295 AE316:AE317 F294:H295">
    <cfRule type="cellIs" dxfId="235" priority="290" operator="equal">
      <formula>"Cancelled"</formula>
    </cfRule>
    <cfRule type="cellIs" dxfId="234" priority="291" operator="equal">
      <formula>"Obsolete"</formula>
    </cfRule>
    <cfRule type="cellIs" dxfId="233" priority="292" operator="equal">
      <formula>"EOSS"</formula>
    </cfRule>
  </conditionalFormatting>
  <conditionalFormatting sqref="AF294:AP295">
    <cfRule type="containsText" dxfId="232" priority="278" operator="containsText" text="yes">
      <formula>NOT(ISERROR(SEARCH("yes",AF294)))</formula>
    </cfRule>
    <cfRule type="containsText" dxfId="231" priority="279" operator="containsText" text="No">
      <formula>NOT(ISERROR(SEARCH("No",AF294)))</formula>
    </cfRule>
    <cfRule type="containsText" dxfId="230" priority="280" operator="containsText" text=".">
      <formula>NOT(ISERROR(SEARCH(".",AF294)))</formula>
    </cfRule>
  </conditionalFormatting>
  <conditionalFormatting sqref="N295">
    <cfRule type="cellIs" dxfId="229" priority="275" operator="equal">
      <formula>"Cancelled"</formula>
    </cfRule>
    <cfRule type="cellIs" dxfId="228" priority="276" operator="equal">
      <formula>"Obsolete"</formula>
    </cfRule>
    <cfRule type="cellIs" dxfId="227" priority="277" operator="equal">
      <formula>"EOSS"</formula>
    </cfRule>
  </conditionalFormatting>
  <conditionalFormatting sqref="N294">
    <cfRule type="cellIs" dxfId="226" priority="272" operator="equal">
      <formula>"Cancelled"</formula>
    </cfRule>
    <cfRule type="cellIs" dxfId="225" priority="273" operator="equal">
      <formula>"Obsolete"</formula>
    </cfRule>
    <cfRule type="cellIs" dxfId="224" priority="274" operator="equal">
      <formula>"EOSS"</formula>
    </cfRule>
  </conditionalFormatting>
  <conditionalFormatting sqref="B15:B16">
    <cfRule type="cellIs" dxfId="223" priority="236" operator="equal">
      <formula>"Cancelled"</formula>
    </cfRule>
    <cfRule type="cellIs" dxfId="222" priority="237" operator="equal">
      <formula>"Obsolete"</formula>
    </cfRule>
    <cfRule type="cellIs" dxfId="221" priority="238" operator="equal">
      <formula>"EOSS"</formula>
    </cfRule>
  </conditionalFormatting>
  <conditionalFormatting sqref="B296:B301 B316:B317">
    <cfRule type="cellIs" dxfId="220" priority="233" operator="equal">
      <formula>"Cancelled"</formula>
    </cfRule>
    <cfRule type="cellIs" dxfId="219" priority="234" operator="equal">
      <formula>"Obsolete"</formula>
    </cfRule>
    <cfRule type="cellIs" dxfId="218" priority="235" operator="equal">
      <formula>"EOSS"</formula>
    </cfRule>
  </conditionalFormatting>
  <conditionalFormatting sqref="C316:D317 C297:C301">
    <cfRule type="cellIs" dxfId="217" priority="230" operator="equal">
      <formula>"Cancelled"</formula>
    </cfRule>
    <cfRule type="cellIs" dxfId="216" priority="231" operator="equal">
      <formula>"Obsolete"</formula>
    </cfRule>
    <cfRule type="cellIs" dxfId="215" priority="232" operator="equal">
      <formula>"EOSS"</formula>
    </cfRule>
  </conditionalFormatting>
  <conditionalFormatting sqref="F316:G317 F297:F301">
    <cfRule type="cellIs" dxfId="214" priority="227" operator="equal">
      <formula>"Cancelled"</formula>
    </cfRule>
    <cfRule type="cellIs" dxfId="213" priority="228" operator="equal">
      <formula>"Obsolete"</formula>
    </cfRule>
    <cfRule type="cellIs" dxfId="212" priority="229" operator="equal">
      <formula>"EOSS"</formula>
    </cfRule>
  </conditionalFormatting>
  <conditionalFormatting sqref="J316:J317 H316:H317 H296:H301">
    <cfRule type="cellIs" dxfId="211" priority="224" operator="equal">
      <formula>"Cancelled"</formula>
    </cfRule>
    <cfRule type="cellIs" dxfId="210" priority="225" operator="equal">
      <formula>"Obsolete"</formula>
    </cfRule>
    <cfRule type="cellIs" dxfId="209" priority="226" operator="equal">
      <formula>"EOSS"</formula>
    </cfRule>
  </conditionalFormatting>
  <conditionalFormatting sqref="N297:P297 N298 O296:P296 L296:L301 N299:P299 N300:O300 N301:P301 N316:P317 L316:L317">
    <cfRule type="cellIs" dxfId="208" priority="221" operator="equal">
      <formula>"Cancelled"</formula>
    </cfRule>
    <cfRule type="cellIs" dxfId="207" priority="222" operator="equal">
      <formula>"Obsolete"</formula>
    </cfRule>
    <cfRule type="cellIs" dxfId="206" priority="223" operator="equal">
      <formula>"EOSS"</formula>
    </cfRule>
  </conditionalFormatting>
  <conditionalFormatting sqref="K295 K297:K301 K316:K317">
    <cfRule type="cellIs" dxfId="205" priority="218" operator="equal">
      <formula>"Cancelled"</formula>
    </cfRule>
    <cfRule type="cellIs" dxfId="204" priority="219" operator="equal">
      <formula>"Obsolete"</formula>
    </cfRule>
    <cfRule type="cellIs" dxfId="203" priority="220" operator="equal">
      <formula>"EOSS"</formula>
    </cfRule>
  </conditionalFormatting>
  <conditionalFormatting sqref="AF316:AO317 AF297:AP301">
    <cfRule type="cellIs" dxfId="202" priority="215" operator="equal">
      <formula>"Cancelled"</formula>
    </cfRule>
    <cfRule type="cellIs" dxfId="201" priority="216" operator="equal">
      <formula>"Obsolete"</formula>
    </cfRule>
    <cfRule type="cellIs" dxfId="200" priority="217" operator="equal">
      <formula>"EOSS"</formula>
    </cfRule>
  </conditionalFormatting>
  <conditionalFormatting sqref="AF316:AO317 AF297:AP301">
    <cfRule type="containsText" dxfId="199" priority="212" operator="containsText" text="yes">
      <formula>NOT(ISERROR(SEARCH("yes",AF297)))</formula>
    </cfRule>
    <cfRule type="containsText" dxfId="198" priority="213" operator="containsText" text="No">
      <formula>NOT(ISERROR(SEARCH("No",AF297)))</formula>
    </cfRule>
    <cfRule type="containsText" dxfId="197" priority="214" operator="containsText" text=".">
      <formula>NOT(ISERROR(SEARCH(".",AF297)))</formula>
    </cfRule>
  </conditionalFormatting>
  <conditionalFormatting sqref="AP316:AP317">
    <cfRule type="cellIs" dxfId="196" priority="209" operator="equal">
      <formula>"Cancelled"</formula>
    </cfRule>
    <cfRule type="cellIs" dxfId="195" priority="210" operator="equal">
      <formula>"Obsolete"</formula>
    </cfRule>
    <cfRule type="cellIs" dxfId="194" priority="211" operator="equal">
      <formula>"EOSS"</formula>
    </cfRule>
  </conditionalFormatting>
  <conditionalFormatting sqref="AP316:AP317">
    <cfRule type="containsText" dxfId="193" priority="206" operator="containsText" text="yes">
      <formula>NOT(ISERROR(SEARCH("yes",AP316)))</formula>
    </cfRule>
    <cfRule type="containsText" dxfId="192" priority="207" operator="containsText" text="No">
      <formula>NOT(ISERROR(SEARCH("No",AP316)))</formula>
    </cfRule>
    <cfRule type="containsText" dxfId="191" priority="208" operator="containsText" text=".">
      <formula>NOT(ISERROR(SEARCH(".",AP316)))</formula>
    </cfRule>
  </conditionalFormatting>
  <conditionalFormatting sqref="P298">
    <cfRule type="cellIs" dxfId="190" priority="203" operator="equal">
      <formula>"Cancelled"</formula>
    </cfRule>
    <cfRule type="cellIs" dxfId="189" priority="204" operator="equal">
      <formula>"Obsolete"</formula>
    </cfRule>
    <cfRule type="cellIs" dxfId="188" priority="205" operator="equal">
      <formula>"EOSS"</formula>
    </cfRule>
  </conditionalFormatting>
  <conditionalFormatting sqref="K296">
    <cfRule type="cellIs" dxfId="187" priority="200" operator="equal">
      <formula>"Cancelled"</formula>
    </cfRule>
    <cfRule type="cellIs" dxfId="186" priority="201" operator="equal">
      <formula>"Obsolete"</formula>
    </cfRule>
    <cfRule type="cellIs" dxfId="185" priority="202" operator="equal">
      <formula>"EOSS"</formula>
    </cfRule>
  </conditionalFormatting>
  <conditionalFormatting sqref="N296">
    <cfRule type="cellIs" dxfId="184" priority="194" operator="equal">
      <formula>"Cancelled"</formula>
    </cfRule>
    <cfRule type="cellIs" dxfId="183" priority="195" operator="equal">
      <formula>"Obsolete"</formula>
    </cfRule>
    <cfRule type="cellIs" dxfId="182" priority="196" operator="equal">
      <formula>"EOSS"</formula>
    </cfRule>
  </conditionalFormatting>
  <conditionalFormatting sqref="N296">
    <cfRule type="cellIs" dxfId="181" priority="197" operator="equal">
      <formula>"Cancelled"</formula>
    </cfRule>
    <cfRule type="cellIs" dxfId="180" priority="198" operator="equal">
      <formula>"Obsolete"</formula>
    </cfRule>
    <cfRule type="cellIs" dxfId="179" priority="199" operator="equal">
      <formula>"EOSS"</formula>
    </cfRule>
  </conditionalFormatting>
  <conditionalFormatting sqref="J296:J298">
    <cfRule type="cellIs" dxfId="178" priority="191" operator="equal">
      <formula>"Cancelled"</formula>
    </cfRule>
    <cfRule type="cellIs" dxfId="177" priority="192" operator="equal">
      <formula>"Obsolete"</formula>
    </cfRule>
    <cfRule type="cellIs" dxfId="176" priority="193" operator="equal">
      <formula>"EOSS"</formula>
    </cfRule>
  </conditionalFormatting>
  <conditionalFormatting sqref="AE297:AE301">
    <cfRule type="cellIs" dxfId="175" priority="188" operator="equal">
      <formula>"Cancelled"</formula>
    </cfRule>
    <cfRule type="cellIs" dxfId="174" priority="189" operator="equal">
      <formula>"Obsolete"</formula>
    </cfRule>
    <cfRule type="cellIs" dxfId="173" priority="190" operator="equal">
      <formula>"EOSS"</formula>
    </cfRule>
  </conditionalFormatting>
  <conditionalFormatting sqref="J299">
    <cfRule type="cellIs" dxfId="172" priority="182" operator="equal">
      <formula>"Cancelled"</formula>
    </cfRule>
    <cfRule type="cellIs" dxfId="171" priority="183" operator="equal">
      <formula>"Obsolete"</formula>
    </cfRule>
    <cfRule type="cellIs" dxfId="170" priority="184" operator="equal">
      <formula>"EOSS"</formula>
    </cfRule>
  </conditionalFormatting>
  <conditionalFormatting sqref="M101">
    <cfRule type="cellIs" dxfId="169" priority="179" operator="equal">
      <formula>"Cancelled"</formula>
    </cfRule>
    <cfRule type="cellIs" dxfId="168" priority="180" operator="equal">
      <formula>"Obsolete"</formula>
    </cfRule>
    <cfRule type="cellIs" dxfId="167" priority="181" operator="equal">
      <formula>"EOSS"</formula>
    </cfRule>
  </conditionalFormatting>
  <conditionalFormatting sqref="L101">
    <cfRule type="cellIs" dxfId="166" priority="173" operator="equal">
      <formula>"Cancelled"</formula>
    </cfRule>
    <cfRule type="cellIs" dxfId="165" priority="174" operator="equal">
      <formula>"Obsolete"</formula>
    </cfRule>
    <cfRule type="cellIs" dxfId="164" priority="175" operator="equal">
      <formula>"EOSS"</formula>
    </cfRule>
  </conditionalFormatting>
  <conditionalFormatting sqref="I262">
    <cfRule type="cellIs" dxfId="163" priority="164" operator="equal">
      <formula>"Cancelled"</formula>
    </cfRule>
    <cfRule type="cellIs" dxfId="162" priority="165" operator="equal">
      <formula>"Obsolete"</formula>
    </cfRule>
    <cfRule type="cellIs" dxfId="161" priority="166" operator="equal">
      <formula>"EOSS"</formula>
    </cfRule>
  </conditionalFormatting>
  <conditionalFormatting sqref="N261:N263">
    <cfRule type="cellIs" dxfId="160" priority="161" operator="equal">
      <formula>"Cancelled"</formula>
    </cfRule>
    <cfRule type="cellIs" dxfId="159" priority="162" operator="equal">
      <formula>"Obsolete"</formula>
    </cfRule>
    <cfRule type="cellIs" dxfId="158" priority="163" operator="equal">
      <formula>"EOSS"</formula>
    </cfRule>
  </conditionalFormatting>
  <conditionalFormatting sqref="O262">
    <cfRule type="cellIs" dxfId="157" priority="158" operator="equal">
      <formula>"Cancelled"</formula>
    </cfRule>
    <cfRule type="cellIs" dxfId="156" priority="159" operator="equal">
      <formula>"Obsolete"</formula>
    </cfRule>
    <cfRule type="cellIs" dxfId="155" priority="160" operator="equal">
      <formula>"EOSS"</formula>
    </cfRule>
  </conditionalFormatting>
  <conditionalFormatting sqref="P262">
    <cfRule type="cellIs" dxfId="154" priority="155" operator="equal">
      <formula>"Cancelled"</formula>
    </cfRule>
    <cfRule type="cellIs" dxfId="153" priority="156" operator="equal">
      <formula>"Obsolete"</formula>
    </cfRule>
    <cfRule type="cellIs" dxfId="152" priority="157" operator="equal">
      <formula>"EOSS"</formula>
    </cfRule>
  </conditionalFormatting>
  <conditionalFormatting sqref="Q262">
    <cfRule type="cellIs" dxfId="151" priority="137" operator="equal">
      <formula>"Cancelled"</formula>
    </cfRule>
    <cfRule type="cellIs" dxfId="150" priority="138" operator="equal">
      <formula>"Obsolete"</formula>
    </cfRule>
    <cfRule type="cellIs" dxfId="149" priority="139" operator="equal">
      <formula>"EOSS"</formula>
    </cfRule>
  </conditionalFormatting>
  <conditionalFormatting sqref="Q262">
    <cfRule type="cellIs" dxfId="148" priority="140" operator="equal">
      <formula>"Cancelled"</formula>
    </cfRule>
    <cfRule type="cellIs" dxfId="147" priority="141" operator="equal">
      <formula>"Obsolete"</formula>
    </cfRule>
    <cfRule type="cellIs" dxfId="146" priority="142" operator="equal">
      <formula>"EOSS"</formula>
    </cfRule>
  </conditionalFormatting>
  <conditionalFormatting sqref="Q262">
    <cfRule type="cellIs" dxfId="145" priority="143" operator="equal">
      <formula>"Cancelled"</formula>
    </cfRule>
    <cfRule type="cellIs" dxfId="144" priority="144" operator="equal">
      <formula>"Obsolete"</formula>
    </cfRule>
    <cfRule type="cellIs" dxfId="143" priority="145" operator="equal">
      <formula>"EOSS"</formula>
    </cfRule>
  </conditionalFormatting>
  <conditionalFormatting sqref="Q262">
    <cfRule type="cellIs" dxfId="142" priority="146" operator="equal">
      <formula>"Cancelled"</formula>
    </cfRule>
    <cfRule type="cellIs" dxfId="141" priority="147" operator="equal">
      <formula>"Obsolete"</formula>
    </cfRule>
    <cfRule type="cellIs" dxfId="140" priority="148" operator="equal">
      <formula>"EOSS"</formula>
    </cfRule>
  </conditionalFormatting>
  <conditionalFormatting sqref="R262:S262 V262">
    <cfRule type="cellIs" dxfId="139" priority="149" operator="equal">
      <formula>"Cancelled"</formula>
    </cfRule>
    <cfRule type="cellIs" dxfId="138" priority="150" operator="equal">
      <formula>"Obsolete"</formula>
    </cfRule>
    <cfRule type="cellIs" dxfId="137" priority="151" operator="equal">
      <formula>"EOSS"</formula>
    </cfRule>
  </conditionalFormatting>
  <conditionalFormatting sqref="R262:S262 V262">
    <cfRule type="cellIs" dxfId="136" priority="152" operator="equal">
      <formula>"Cancelled"</formula>
    </cfRule>
    <cfRule type="cellIs" dxfId="135" priority="153" operator="equal">
      <formula>"Obsolete"</formula>
    </cfRule>
    <cfRule type="cellIs" dxfId="134" priority="154" operator="equal">
      <formula>"EOSS"</formula>
    </cfRule>
  </conditionalFormatting>
  <conditionalFormatting sqref="W262:AA262">
    <cfRule type="cellIs" dxfId="133" priority="131" operator="equal">
      <formula>"Cancelled"</formula>
    </cfRule>
    <cfRule type="cellIs" dxfId="132" priority="132" operator="equal">
      <formula>"Obsolete"</formula>
    </cfRule>
    <cfRule type="cellIs" dxfId="131" priority="133" operator="equal">
      <formula>"EOSS"</formula>
    </cfRule>
  </conditionalFormatting>
  <conditionalFormatting sqref="W262:AA262">
    <cfRule type="cellIs" dxfId="130" priority="134" operator="equal">
      <formula>"Cancelled"</formula>
    </cfRule>
    <cfRule type="cellIs" dxfId="129" priority="135" operator="equal">
      <formula>"Obsolete"</formula>
    </cfRule>
    <cfRule type="cellIs" dxfId="128" priority="136" operator="equal">
      <formula>"EOSS"</formula>
    </cfRule>
  </conditionalFormatting>
  <conditionalFormatting sqref="R266:S266 V266:AA266">
    <cfRule type="cellIs" dxfId="127" priority="125" operator="equal">
      <formula>"Cancelled"</formula>
    </cfRule>
    <cfRule type="cellIs" dxfId="126" priority="126" operator="equal">
      <formula>"Obsolete"</formula>
    </cfRule>
    <cfRule type="cellIs" dxfId="125" priority="127" operator="equal">
      <formula>"EOSS"</formula>
    </cfRule>
  </conditionalFormatting>
  <conditionalFormatting sqref="R266:S266 V266:AA266">
    <cfRule type="cellIs" dxfId="124" priority="128" operator="equal">
      <formula>"Cancelled"</formula>
    </cfRule>
    <cfRule type="cellIs" dxfId="123" priority="129" operator="equal">
      <formula>"Obsolete"</formula>
    </cfRule>
    <cfRule type="cellIs" dxfId="122" priority="130" operator="equal">
      <formula>"EOSS"</formula>
    </cfRule>
  </conditionalFormatting>
  <conditionalFormatting sqref="P300">
    <cfRule type="cellIs" dxfId="121" priority="122" operator="equal">
      <formula>"Cancelled"</formula>
    </cfRule>
    <cfRule type="cellIs" dxfId="120" priority="123" operator="equal">
      <formula>"Obsolete"</formula>
    </cfRule>
    <cfRule type="cellIs" dxfId="119" priority="124" operator="equal">
      <formula>"EOSS"</formula>
    </cfRule>
  </conditionalFormatting>
  <conditionalFormatting sqref="AC301">
    <cfRule type="cellIs" dxfId="118" priority="119" operator="equal">
      <formula>"Cancelled"</formula>
    </cfRule>
    <cfRule type="cellIs" dxfId="117" priority="120" operator="equal">
      <formula>"Obsolete"</formula>
    </cfRule>
    <cfRule type="cellIs" dxfId="116" priority="121" operator="equal">
      <formula>"EOSS"</formula>
    </cfRule>
  </conditionalFormatting>
  <conditionalFormatting sqref="M302:M304 G302:G304 A302:A304">
    <cfRule type="cellIs" dxfId="115" priority="116" operator="equal">
      <formula>"Cancelled"</formula>
    </cfRule>
    <cfRule type="cellIs" dxfId="114" priority="117" operator="equal">
      <formula>"Obsolete"</formula>
    </cfRule>
    <cfRule type="cellIs" dxfId="113" priority="118" operator="equal">
      <formula>"EOSS"</formula>
    </cfRule>
  </conditionalFormatting>
  <conditionalFormatting sqref="Q304:U304 W304:AA304">
    <cfRule type="containsText" dxfId="112" priority="115" operator="containsText" text="y">
      <formula>NOT(ISERROR(SEARCH("y",Q304)))</formula>
    </cfRule>
  </conditionalFormatting>
  <conditionalFormatting sqref="B302:B304">
    <cfRule type="cellIs" dxfId="111" priority="112" operator="equal">
      <formula>"Cancelled"</formula>
    </cfRule>
    <cfRule type="cellIs" dxfId="110" priority="113" operator="equal">
      <formula>"Obsolete"</formula>
    </cfRule>
    <cfRule type="cellIs" dxfId="109" priority="114" operator="equal">
      <formula>"EOSS"</formula>
    </cfRule>
  </conditionalFormatting>
  <conditionalFormatting sqref="C302:C304">
    <cfRule type="cellIs" dxfId="108" priority="109" operator="equal">
      <formula>"Cancelled"</formula>
    </cfRule>
    <cfRule type="cellIs" dxfId="107" priority="110" operator="equal">
      <formula>"Obsolete"</formula>
    </cfRule>
    <cfRule type="cellIs" dxfId="106" priority="111" operator="equal">
      <formula>"EOSS"</formula>
    </cfRule>
  </conditionalFormatting>
  <conditionalFormatting sqref="F302:F304">
    <cfRule type="cellIs" dxfId="105" priority="106" operator="equal">
      <formula>"Cancelled"</formula>
    </cfRule>
    <cfRule type="cellIs" dxfId="104" priority="107" operator="equal">
      <formula>"Obsolete"</formula>
    </cfRule>
    <cfRule type="cellIs" dxfId="103" priority="108" operator="equal">
      <formula>"EOSS"</formula>
    </cfRule>
  </conditionalFormatting>
  <conditionalFormatting sqref="H302:H304">
    <cfRule type="cellIs" dxfId="102" priority="103" operator="equal">
      <formula>"Cancelled"</formula>
    </cfRule>
    <cfRule type="cellIs" dxfId="101" priority="104" operator="equal">
      <formula>"Obsolete"</formula>
    </cfRule>
    <cfRule type="cellIs" dxfId="100" priority="105" operator="equal">
      <formula>"EOSS"</formula>
    </cfRule>
  </conditionalFormatting>
  <conditionalFormatting sqref="N302:P302 L302:L304 O303:O304">
    <cfRule type="cellIs" dxfId="99" priority="100" operator="equal">
      <formula>"Cancelled"</formula>
    </cfRule>
    <cfRule type="cellIs" dxfId="98" priority="101" operator="equal">
      <formula>"Obsolete"</formula>
    </cfRule>
    <cfRule type="cellIs" dxfId="97" priority="102" operator="equal">
      <formula>"EOSS"</formula>
    </cfRule>
  </conditionalFormatting>
  <conditionalFormatting sqref="K302:K304">
    <cfRule type="cellIs" dxfId="96" priority="97" operator="equal">
      <formula>"Cancelled"</formula>
    </cfRule>
    <cfRule type="cellIs" dxfId="95" priority="98" operator="equal">
      <formula>"Obsolete"</formula>
    </cfRule>
    <cfRule type="cellIs" dxfId="94" priority="99" operator="equal">
      <formula>"EOSS"</formula>
    </cfRule>
  </conditionalFormatting>
  <conditionalFormatting sqref="AF304:AP304">
    <cfRule type="cellIs" dxfId="93" priority="94" operator="equal">
      <formula>"Cancelled"</formula>
    </cfRule>
    <cfRule type="cellIs" dxfId="92" priority="95" operator="equal">
      <formula>"Obsolete"</formula>
    </cfRule>
    <cfRule type="cellIs" dxfId="91" priority="96" operator="equal">
      <formula>"EOSS"</formula>
    </cfRule>
  </conditionalFormatting>
  <conditionalFormatting sqref="AF304:AP304">
    <cfRule type="containsText" dxfId="90" priority="91" operator="containsText" text="yes">
      <formula>NOT(ISERROR(SEARCH("yes",AF304)))</formula>
    </cfRule>
    <cfRule type="containsText" dxfId="89" priority="92" operator="containsText" text="No">
      <formula>NOT(ISERROR(SEARCH("No",AF304)))</formula>
    </cfRule>
    <cfRule type="containsText" dxfId="88" priority="93" operator="containsText" text=".">
      <formula>NOT(ISERROR(SEARCH(".",AF304)))</formula>
    </cfRule>
  </conditionalFormatting>
  <conditionalFormatting sqref="AE302:AE304">
    <cfRule type="cellIs" dxfId="87" priority="88" operator="equal">
      <formula>"Cancelled"</formula>
    </cfRule>
    <cfRule type="cellIs" dxfId="86" priority="89" operator="equal">
      <formula>"Obsolete"</formula>
    </cfRule>
    <cfRule type="cellIs" dxfId="85" priority="90" operator="equal">
      <formula>"EOSS"</formula>
    </cfRule>
  </conditionalFormatting>
  <conditionalFormatting sqref="J302:J304">
    <cfRule type="cellIs" dxfId="84" priority="85" operator="equal">
      <formula>"Cancelled"</formula>
    </cfRule>
    <cfRule type="cellIs" dxfId="83" priority="86" operator="equal">
      <formula>"Obsolete"</formula>
    </cfRule>
    <cfRule type="cellIs" dxfId="82" priority="87" operator="equal">
      <formula>"EOSS"</formula>
    </cfRule>
  </conditionalFormatting>
  <conditionalFormatting sqref="AC302">
    <cfRule type="cellIs" dxfId="81" priority="82" operator="equal">
      <formula>"Cancelled"</formula>
    </cfRule>
    <cfRule type="cellIs" dxfId="80" priority="83" operator="equal">
      <formula>"Obsolete"</formula>
    </cfRule>
    <cfRule type="cellIs" dxfId="79" priority="84" operator="equal">
      <formula>"EOSS"</formula>
    </cfRule>
  </conditionalFormatting>
  <conditionalFormatting sqref="AB305:AQ315 P305:P315 A305:D315 A304:A314 F305:N315">
    <cfRule type="cellIs" dxfId="78" priority="79" operator="equal">
      <formula>"Cancelled"</formula>
    </cfRule>
    <cfRule type="cellIs" dxfId="77" priority="80" operator="equal">
      <formula>"Obsolete"</formula>
    </cfRule>
    <cfRule type="cellIs" dxfId="76" priority="81" operator="equal">
      <formula>"EOSS"</formula>
    </cfRule>
  </conditionalFormatting>
  <conditionalFormatting sqref="Q305:AA315">
    <cfRule type="containsText" dxfId="75" priority="78" operator="containsText" text="y">
      <formula>NOT(ISERROR(SEARCH("y",Q305)))</formula>
    </cfRule>
  </conditionalFormatting>
  <conditionalFormatting sqref="AF305:AP315">
    <cfRule type="containsText" dxfId="74" priority="75" operator="containsText" text="yes">
      <formula>NOT(ISERROR(SEARCH("yes",AF305)))</formula>
    </cfRule>
    <cfRule type="containsText" dxfId="73" priority="76" operator="containsText" text="No">
      <formula>NOT(ISERROR(SEARCH("No",AF305)))</formula>
    </cfRule>
    <cfRule type="containsText" dxfId="72" priority="77" operator="containsText" text=".">
      <formula>NOT(ISERROR(SEARCH(".",AF305)))</formula>
    </cfRule>
  </conditionalFormatting>
  <conditionalFormatting sqref="V305:W315">
    <cfRule type="cellIs" dxfId="71" priority="69" operator="equal">
      <formula>"Cancelled"</formula>
    </cfRule>
    <cfRule type="cellIs" dxfId="70" priority="70" operator="equal">
      <formula>"Obsolete"</formula>
    </cfRule>
    <cfRule type="cellIs" dxfId="69" priority="71" operator="equal">
      <formula>"EOSS"</formula>
    </cfRule>
  </conditionalFormatting>
  <conditionalFormatting sqref="V305:W315">
    <cfRule type="cellIs" dxfId="68" priority="72" operator="equal">
      <formula>"Cancelled"</formula>
    </cfRule>
    <cfRule type="cellIs" dxfId="67" priority="73" operator="equal">
      <formula>"Obsolete"</formula>
    </cfRule>
    <cfRule type="cellIs" dxfId="66" priority="74" operator="equal">
      <formula>"EOSS"</formula>
    </cfRule>
  </conditionalFormatting>
  <conditionalFormatting sqref="Q302:AA302">
    <cfRule type="containsText" dxfId="65" priority="68" operator="containsText" text="y">
      <formula>NOT(ISERROR(SEARCH("y",Q302)))</formula>
    </cfRule>
  </conditionalFormatting>
  <conditionalFormatting sqref="AF302:AP302">
    <cfRule type="cellIs" dxfId="64" priority="65" operator="equal">
      <formula>"Cancelled"</formula>
    </cfRule>
    <cfRule type="cellIs" dxfId="63" priority="66" operator="equal">
      <formula>"Obsolete"</formula>
    </cfRule>
    <cfRule type="cellIs" dxfId="62" priority="67" operator="equal">
      <formula>"EOSS"</formula>
    </cfRule>
  </conditionalFormatting>
  <conditionalFormatting sqref="AF302:AP302">
    <cfRule type="containsText" dxfId="61" priority="62" operator="containsText" text="yes">
      <formula>NOT(ISERROR(SEARCH("yes",AF302)))</formula>
    </cfRule>
    <cfRule type="containsText" dxfId="60" priority="63" operator="containsText" text="No">
      <formula>NOT(ISERROR(SEARCH("No",AF302)))</formula>
    </cfRule>
    <cfRule type="containsText" dxfId="59" priority="64" operator="containsText" text=".">
      <formula>NOT(ISERROR(SEARCH(".",AF302)))</formula>
    </cfRule>
  </conditionalFormatting>
  <conditionalFormatting sqref="N303">
    <cfRule type="cellIs" dxfId="58" priority="59" operator="equal">
      <formula>"Cancelled"</formula>
    </cfRule>
    <cfRule type="cellIs" dxfId="57" priority="60" operator="equal">
      <formula>"Obsolete"</formula>
    </cfRule>
    <cfRule type="cellIs" dxfId="56" priority="61" operator="equal">
      <formula>"EOSS"</formula>
    </cfRule>
  </conditionalFormatting>
  <conditionalFormatting sqref="P303:P304">
    <cfRule type="cellIs" dxfId="55" priority="56" operator="equal">
      <formula>"Cancelled"</formula>
    </cfRule>
    <cfRule type="cellIs" dxfId="54" priority="57" operator="equal">
      <formula>"Obsolete"</formula>
    </cfRule>
    <cfRule type="cellIs" dxfId="53" priority="58" operator="equal">
      <formula>"EOSS"</formula>
    </cfRule>
  </conditionalFormatting>
  <conditionalFormatting sqref="Q303:AA303">
    <cfRule type="containsText" dxfId="52" priority="55" operator="containsText" text="y">
      <formula>NOT(ISERROR(SEARCH("y",Q303)))</formula>
    </cfRule>
  </conditionalFormatting>
  <conditionalFormatting sqref="AF303:AP303">
    <cfRule type="cellIs" dxfId="51" priority="52" operator="equal">
      <formula>"Cancelled"</formula>
    </cfRule>
    <cfRule type="cellIs" dxfId="50" priority="53" operator="equal">
      <formula>"Obsolete"</formula>
    </cfRule>
    <cfRule type="cellIs" dxfId="49" priority="54" operator="equal">
      <formula>"EOSS"</formula>
    </cfRule>
  </conditionalFormatting>
  <conditionalFormatting sqref="AF303:AP303">
    <cfRule type="containsText" dxfId="48" priority="49" operator="containsText" text="yes">
      <formula>NOT(ISERROR(SEARCH("yes",AF303)))</formula>
    </cfRule>
    <cfRule type="containsText" dxfId="47" priority="50" operator="containsText" text="No">
      <formula>NOT(ISERROR(SEARCH("No",AF303)))</formula>
    </cfRule>
    <cfRule type="containsText" dxfId="46" priority="51" operator="containsText" text=".">
      <formula>NOT(ISERROR(SEARCH(".",AF303)))</formula>
    </cfRule>
  </conditionalFormatting>
  <conditionalFormatting sqref="N304">
    <cfRule type="cellIs" dxfId="45" priority="46" operator="equal">
      <formula>"Cancelled"</formula>
    </cfRule>
    <cfRule type="cellIs" dxfId="44" priority="47" operator="equal">
      <formula>"Obsolete"</formula>
    </cfRule>
    <cfRule type="cellIs" dxfId="43" priority="48" operator="equal">
      <formula>"EOSS"</formula>
    </cfRule>
  </conditionalFormatting>
  <conditionalFormatting sqref="V304">
    <cfRule type="containsText" dxfId="42" priority="45" operator="containsText" text="y">
      <formula>NOT(ISERROR(SEARCH("y",V304)))</formula>
    </cfRule>
  </conditionalFormatting>
  <conditionalFormatting sqref="H278">
    <cfRule type="cellIs" dxfId="41" priority="36" operator="equal">
      <formula>"Cancelled"</formula>
    </cfRule>
    <cfRule type="cellIs" dxfId="40" priority="37" operator="equal">
      <formula>"Obsolete"</formula>
    </cfRule>
    <cfRule type="cellIs" dxfId="39" priority="38" operator="equal">
      <formula>"EOSS"</formula>
    </cfRule>
  </conditionalFormatting>
  <conditionalFormatting sqref="N275">
    <cfRule type="cellIs" dxfId="38" priority="33" operator="equal">
      <formula>"Cancelled"</formula>
    </cfRule>
    <cfRule type="cellIs" dxfId="37" priority="34" operator="equal">
      <formula>"Obsolete"</formula>
    </cfRule>
    <cfRule type="cellIs" dxfId="36" priority="35" operator="equal">
      <formula>"EOSS"</formula>
    </cfRule>
  </conditionalFormatting>
  <conditionalFormatting sqref="O263">
    <cfRule type="cellIs" dxfId="35" priority="30" operator="equal">
      <formula>"Cancelled"</formula>
    </cfRule>
    <cfRule type="cellIs" dxfId="34" priority="31" operator="equal">
      <formula>"Obsolete"</formula>
    </cfRule>
    <cfRule type="cellIs" dxfId="33" priority="32" operator="equal">
      <formula>"EOSS"</formula>
    </cfRule>
  </conditionalFormatting>
  <conditionalFormatting sqref="O261">
    <cfRule type="cellIs" dxfId="32" priority="27" operator="equal">
      <formula>"Cancelled"</formula>
    </cfRule>
    <cfRule type="cellIs" dxfId="31" priority="28" operator="equal">
      <formula>"Obsolete"</formula>
    </cfRule>
    <cfRule type="cellIs" dxfId="30" priority="29" operator="equal">
      <formula>"EOSS"</formula>
    </cfRule>
  </conditionalFormatting>
  <conditionalFormatting sqref="P263">
    <cfRule type="cellIs" dxfId="29" priority="24" operator="equal">
      <formula>"Cancelled"</formula>
    </cfRule>
    <cfRule type="cellIs" dxfId="28" priority="25" operator="equal">
      <formula>"Obsolete"</formula>
    </cfRule>
    <cfRule type="cellIs" dxfId="27" priority="26" operator="equal">
      <formula>"EOSS"</formula>
    </cfRule>
  </conditionalFormatting>
  <conditionalFormatting sqref="P273">
    <cfRule type="cellIs" dxfId="26" priority="21" operator="equal">
      <formula>"Cancelled"</formula>
    </cfRule>
    <cfRule type="cellIs" dxfId="25" priority="22" operator="equal">
      <formula>"Obsolete"</formula>
    </cfRule>
    <cfRule type="cellIs" dxfId="24" priority="23" operator="equal">
      <formula>"EOSS"</formula>
    </cfRule>
  </conditionalFormatting>
  <conditionalFormatting sqref="P275">
    <cfRule type="cellIs" dxfId="23" priority="18" operator="equal">
      <formula>"Cancelled"</formula>
    </cfRule>
    <cfRule type="cellIs" dxfId="22" priority="19" operator="equal">
      <formula>"Obsolete"</formula>
    </cfRule>
    <cfRule type="cellIs" dxfId="21" priority="20" operator="equal">
      <formula>"EOSS"</formula>
    </cfRule>
  </conditionalFormatting>
  <conditionalFormatting sqref="V275:AA275 Q275:S275">
    <cfRule type="cellIs" dxfId="20" priority="15" operator="equal">
      <formula>"Cancelled"</formula>
    </cfRule>
    <cfRule type="cellIs" dxfId="19" priority="16" operator="equal">
      <formula>"Obsolete"</formula>
    </cfRule>
    <cfRule type="cellIs" dxfId="18" priority="17" operator="equal">
      <formula>"EOSS"</formula>
    </cfRule>
  </conditionalFormatting>
  <conditionalFormatting sqref="F198">
    <cfRule type="containsText" dxfId="17" priority="13" operator="containsText" text=" 4x">
      <formula>NOT(ISERROR(SEARCH(" 4x",F198)))</formula>
    </cfRule>
  </conditionalFormatting>
  <conditionalFormatting sqref="D301">
    <cfRule type="cellIs" dxfId="8" priority="7" operator="equal">
      <formula>"Cancelled"</formula>
    </cfRule>
    <cfRule type="cellIs" dxfId="7" priority="8" operator="equal">
      <formula>"Obsolete"</formula>
    </cfRule>
    <cfRule type="cellIs" dxfId="6" priority="9" operator="equal">
      <formula>"EOSS"</formula>
    </cfRule>
  </conditionalFormatting>
  <conditionalFormatting sqref="I300:I301">
    <cfRule type="cellIs" dxfId="5" priority="4" operator="equal">
      <formula>"Cancelled"</formula>
    </cfRule>
    <cfRule type="cellIs" dxfId="4" priority="5" operator="equal">
      <formula>"Obsolete"</formula>
    </cfRule>
    <cfRule type="cellIs" dxfId="3" priority="6" operator="equal">
      <formula>"EOSS"</formula>
    </cfRule>
  </conditionalFormatting>
  <conditionalFormatting sqref="J300:J301">
    <cfRule type="cellIs" dxfId="2" priority="1" operator="equal">
      <formula>"Cancelled"</formula>
    </cfRule>
    <cfRule type="cellIs" dxfId="1" priority="2" operator="equal">
      <formula>"Obsolete"</formula>
    </cfRule>
    <cfRule type="cellIs" dxfId="0" priority="3" operator="equal">
      <formula>"EOSS"</formula>
    </cfRule>
  </conditionalFormatting>
  <pageMargins left="0.7" right="0.7" top="0.75" bottom="0.75" header="0.51180555555555496" footer="0.51180555555555496"/>
  <pageSetup paperSize="9" scale="19" firstPageNumber="0" fitToHeight="0" orientation="landscape" horizontalDpi="300" verticalDpi="3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tabColor rgb="FF00B0F0"/>
  </sheetPr>
  <dimension ref="A1:G139"/>
  <sheetViews>
    <sheetView zoomScaleNormal="100" workbookViewId="0">
      <pane ySplit="1" topLeftCell="A13" activePane="bottomLeft" state="frozen"/>
      <selection pane="bottomLeft" activeCell="J72" sqref="J72"/>
    </sheetView>
  </sheetViews>
  <sheetFormatPr defaultColWidth="8.5703125" defaultRowHeight="15"/>
  <cols>
    <col min="1" max="1" width="22.28515625" style="605" customWidth="1"/>
    <col min="2" max="2" width="7.28515625" style="605" customWidth="1"/>
    <col min="3" max="3" width="19.140625" style="605" customWidth="1"/>
    <col min="4" max="4" width="17.5703125" style="605" customWidth="1"/>
    <col min="5" max="5" width="13.140625" style="605" customWidth="1"/>
    <col min="6" max="6" width="17.42578125" style="605" customWidth="1"/>
    <col min="7" max="7" width="39.85546875" style="605" customWidth="1"/>
  </cols>
  <sheetData>
    <row r="1" spans="1:7">
      <c r="A1" t="s">
        <v>1544</v>
      </c>
      <c r="B1" s="605" t="s">
        <v>1545</v>
      </c>
      <c r="C1" s="605" t="s">
        <v>1546</v>
      </c>
      <c r="D1" s="605" t="s">
        <v>1547</v>
      </c>
      <c r="E1" s="605" t="s">
        <v>1548</v>
      </c>
      <c r="F1" s="605" t="s">
        <v>1549</v>
      </c>
      <c r="G1" s="605" t="s">
        <v>1550</v>
      </c>
    </row>
    <row r="2" spans="1:7">
      <c r="A2" s="606" t="s">
        <v>1551</v>
      </c>
      <c r="B2" s="605" t="s">
        <v>137</v>
      </c>
      <c r="C2" s="605" t="s">
        <v>1551</v>
      </c>
      <c r="D2" s="605" t="s">
        <v>137</v>
      </c>
      <c r="E2" s="605" t="s">
        <v>1552</v>
      </c>
      <c r="F2" s="605" t="s">
        <v>643</v>
      </c>
      <c r="G2" s="605" t="s">
        <v>1553</v>
      </c>
    </row>
    <row r="3" spans="1:7">
      <c r="A3" s="606" t="s">
        <v>1551</v>
      </c>
      <c r="B3" s="605" t="s">
        <v>163</v>
      </c>
      <c r="C3" s="605" t="s">
        <v>1551</v>
      </c>
      <c r="D3" s="605" t="s">
        <v>163</v>
      </c>
      <c r="E3" s="605" t="s">
        <v>1552</v>
      </c>
      <c r="F3" s="605" t="s">
        <v>643</v>
      </c>
      <c r="G3" s="605" t="s">
        <v>1553</v>
      </c>
    </row>
    <row r="4" spans="1:7">
      <c r="A4" s="606" t="s">
        <v>1554</v>
      </c>
      <c r="B4" s="605" t="s">
        <v>161</v>
      </c>
      <c r="C4" s="605" t="s">
        <v>1554</v>
      </c>
      <c r="D4" s="605" t="s">
        <v>161</v>
      </c>
      <c r="E4" s="605" t="s">
        <v>1552</v>
      </c>
      <c r="F4" s="605" t="s">
        <v>643</v>
      </c>
      <c r="G4" s="605" t="s">
        <v>1553</v>
      </c>
    </row>
    <row r="5" spans="1:7">
      <c r="A5" s="606" t="s">
        <v>1555</v>
      </c>
      <c r="B5" s="605" t="s">
        <v>163</v>
      </c>
      <c r="C5" s="605" t="s">
        <v>1555</v>
      </c>
      <c r="D5" s="605" t="s">
        <v>163</v>
      </c>
      <c r="E5" s="605" t="s">
        <v>1556</v>
      </c>
      <c r="F5" s="605" t="s">
        <v>643</v>
      </c>
      <c r="G5" s="605" t="s">
        <v>1553</v>
      </c>
    </row>
    <row r="6" spans="1:7">
      <c r="A6" s="606" t="s">
        <v>1557</v>
      </c>
      <c r="B6" s="606" t="s">
        <v>163</v>
      </c>
      <c r="C6" s="606" t="s">
        <v>1558</v>
      </c>
      <c r="D6" s="606" t="s">
        <v>163</v>
      </c>
      <c r="E6" s="606" t="s">
        <v>1559</v>
      </c>
      <c r="F6" s="606" t="s">
        <v>643</v>
      </c>
      <c r="G6" s="605" t="s">
        <v>1553</v>
      </c>
    </row>
    <row r="7" spans="1:7">
      <c r="A7" s="606" t="s">
        <v>178</v>
      </c>
      <c r="B7" s="606" t="s">
        <v>161</v>
      </c>
      <c r="C7" s="606" t="s">
        <v>178</v>
      </c>
      <c r="D7" s="606" t="s">
        <v>161</v>
      </c>
      <c r="E7" s="606" t="s">
        <v>1552</v>
      </c>
      <c r="F7" s="606" t="s">
        <v>643</v>
      </c>
      <c r="G7" s="605" t="s">
        <v>1553</v>
      </c>
    </row>
    <row r="8" spans="1:7">
      <c r="A8" s="606" t="s">
        <v>182</v>
      </c>
      <c r="B8" s="606" t="s">
        <v>161</v>
      </c>
      <c r="C8" s="606" t="s">
        <v>182</v>
      </c>
      <c r="D8" s="606" t="s">
        <v>161</v>
      </c>
      <c r="E8" s="606" t="s">
        <v>1552</v>
      </c>
      <c r="F8" s="606" t="s">
        <v>643</v>
      </c>
      <c r="G8" s="605" t="s">
        <v>1553</v>
      </c>
    </row>
    <row r="9" spans="1:7">
      <c r="A9" s="606" t="s">
        <v>2342</v>
      </c>
      <c r="B9" s="606" t="s">
        <v>483</v>
      </c>
      <c r="C9" s="606" t="s">
        <v>2342</v>
      </c>
      <c r="D9" s="606" t="s">
        <v>483</v>
      </c>
      <c r="E9" s="606" t="s">
        <v>1571</v>
      </c>
      <c r="F9" s="606" t="s">
        <v>644</v>
      </c>
      <c r="G9" s="605" t="s">
        <v>1553</v>
      </c>
    </row>
    <row r="10" spans="1:7">
      <c r="A10" s="606" t="s">
        <v>2343</v>
      </c>
      <c r="B10" s="606" t="s">
        <v>483</v>
      </c>
      <c r="C10" s="606" t="s">
        <v>2343</v>
      </c>
      <c r="D10" s="606" t="s">
        <v>483</v>
      </c>
      <c r="E10" s="606" t="s">
        <v>1571</v>
      </c>
      <c r="F10" s="606" t="s">
        <v>644</v>
      </c>
      <c r="G10" s="605" t="s">
        <v>1553</v>
      </c>
    </row>
    <row r="11" spans="1:7">
      <c r="A11" s="606" t="s">
        <v>2342</v>
      </c>
      <c r="B11" s="606" t="s">
        <v>163</v>
      </c>
      <c r="C11" s="606" t="s">
        <v>2342</v>
      </c>
      <c r="D11" s="606" t="s">
        <v>163</v>
      </c>
      <c r="E11" s="606" t="s">
        <v>1571</v>
      </c>
      <c r="F11" s="606" t="s">
        <v>644</v>
      </c>
      <c r="G11" s="605" t="s">
        <v>1553</v>
      </c>
    </row>
    <row r="12" spans="1:7">
      <c r="A12" s="606" t="s">
        <v>2343</v>
      </c>
      <c r="B12" s="606" t="s">
        <v>163</v>
      </c>
      <c r="C12" s="606" t="s">
        <v>2343</v>
      </c>
      <c r="D12" s="606" t="s">
        <v>163</v>
      </c>
      <c r="E12" s="606" t="s">
        <v>1571</v>
      </c>
      <c r="F12" s="606" t="s">
        <v>644</v>
      </c>
      <c r="G12" s="605" t="s">
        <v>1553</v>
      </c>
    </row>
    <row r="13" spans="1:7">
      <c r="A13" s="606" t="s">
        <v>409</v>
      </c>
      <c r="B13" s="606" t="s">
        <v>161</v>
      </c>
      <c r="C13" s="606" t="s">
        <v>409</v>
      </c>
      <c r="D13" s="606" t="s">
        <v>161</v>
      </c>
      <c r="E13" s="606" t="s">
        <v>1552</v>
      </c>
      <c r="F13" s="606" t="s">
        <v>644</v>
      </c>
      <c r="G13" s="605" t="s">
        <v>1553</v>
      </c>
    </row>
    <row r="14" spans="1:7">
      <c r="A14" s="606" t="s">
        <v>413</v>
      </c>
      <c r="B14" s="606" t="s">
        <v>161</v>
      </c>
      <c r="C14" s="606" t="s">
        <v>413</v>
      </c>
      <c r="D14" s="606" t="s">
        <v>161</v>
      </c>
      <c r="E14" s="606" t="s">
        <v>1552</v>
      </c>
      <c r="F14" s="606" t="s">
        <v>644</v>
      </c>
      <c r="G14" s="605" t="s">
        <v>1553</v>
      </c>
    </row>
    <row r="15" spans="1:7">
      <c r="A15" s="606" t="s">
        <v>1560</v>
      </c>
      <c r="B15" s="606" t="s">
        <v>163</v>
      </c>
      <c r="C15" s="606" t="s">
        <v>1560</v>
      </c>
      <c r="D15" s="606" t="s">
        <v>163</v>
      </c>
      <c r="E15" s="606" t="s">
        <v>1561</v>
      </c>
      <c r="F15" s="606" t="s">
        <v>644</v>
      </c>
      <c r="G15" s="605" t="s">
        <v>1553</v>
      </c>
    </row>
    <row r="16" spans="1:7">
      <c r="A16" s="606" t="s">
        <v>1562</v>
      </c>
      <c r="B16" s="606" t="s">
        <v>163</v>
      </c>
      <c r="C16" s="606" t="s">
        <v>1562</v>
      </c>
      <c r="D16" s="606" t="s">
        <v>163</v>
      </c>
      <c r="E16" s="606" t="s">
        <v>1561</v>
      </c>
      <c r="F16" s="606" t="s">
        <v>644</v>
      </c>
      <c r="G16" s="605" t="s">
        <v>1553</v>
      </c>
    </row>
    <row r="17" spans="1:7">
      <c r="A17" s="606" t="s">
        <v>1563</v>
      </c>
      <c r="B17" s="606" t="s">
        <v>163</v>
      </c>
      <c r="C17" s="606" t="s">
        <v>1563</v>
      </c>
      <c r="D17" s="606" t="s">
        <v>163</v>
      </c>
      <c r="E17" s="606" t="s">
        <v>1559</v>
      </c>
      <c r="F17" s="606" t="s">
        <v>644</v>
      </c>
      <c r="G17" s="605" t="s">
        <v>1553</v>
      </c>
    </row>
    <row r="18" spans="1:7">
      <c r="A18" s="606" t="s">
        <v>1564</v>
      </c>
      <c r="B18" s="606" t="s">
        <v>161</v>
      </c>
      <c r="C18" s="606" t="s">
        <v>1565</v>
      </c>
      <c r="D18" s="606" t="s">
        <v>161</v>
      </c>
      <c r="E18" s="606" t="s">
        <v>1559</v>
      </c>
      <c r="F18" s="606" t="s">
        <v>644</v>
      </c>
      <c r="G18" s="605" t="s">
        <v>1553</v>
      </c>
    </row>
    <row r="19" spans="1:7">
      <c r="A19" s="606" t="s">
        <v>1566</v>
      </c>
      <c r="B19" s="606" t="s">
        <v>163</v>
      </c>
      <c r="C19" s="606" t="s">
        <v>1566</v>
      </c>
      <c r="D19" s="606" t="s">
        <v>1567</v>
      </c>
      <c r="E19" s="606" t="s">
        <v>1561</v>
      </c>
      <c r="F19" s="606" t="s">
        <v>644</v>
      </c>
      <c r="G19" s="605" t="s">
        <v>1553</v>
      </c>
    </row>
    <row r="20" spans="1:7">
      <c r="A20" s="606" t="s">
        <v>1568</v>
      </c>
      <c r="B20" s="606" t="s">
        <v>163</v>
      </c>
      <c r="C20" s="606" t="s">
        <v>1568</v>
      </c>
      <c r="D20" s="606" t="s">
        <v>1567</v>
      </c>
      <c r="E20" s="606" t="s">
        <v>1561</v>
      </c>
      <c r="F20" s="606" t="s">
        <v>644</v>
      </c>
      <c r="G20" s="605" t="s">
        <v>1553</v>
      </c>
    </row>
    <row r="21" spans="1:7">
      <c r="A21" s="606" t="s">
        <v>1569</v>
      </c>
      <c r="B21" s="605" t="s">
        <v>163</v>
      </c>
      <c r="C21" s="605" t="s">
        <v>1569</v>
      </c>
      <c r="D21" s="605" t="s">
        <v>163</v>
      </c>
      <c r="E21" s="605" t="s">
        <v>1552</v>
      </c>
      <c r="F21" s="605" t="s">
        <v>644</v>
      </c>
      <c r="G21" s="605" t="s">
        <v>1553</v>
      </c>
    </row>
    <row r="22" spans="1:7">
      <c r="A22" s="606" t="s">
        <v>1570</v>
      </c>
      <c r="B22" s="605" t="s">
        <v>163</v>
      </c>
      <c r="C22" s="605" t="s">
        <v>1570</v>
      </c>
      <c r="D22" s="605" t="s">
        <v>163</v>
      </c>
      <c r="E22" s="605" t="s">
        <v>1552</v>
      </c>
      <c r="F22" s="605" t="s">
        <v>644</v>
      </c>
      <c r="G22" s="605" t="s">
        <v>1553</v>
      </c>
    </row>
    <row r="23" spans="1:7">
      <c r="A23" s="606" t="s">
        <v>2451</v>
      </c>
      <c r="B23" s="605" t="s">
        <v>483</v>
      </c>
      <c r="C23" s="605" t="s">
        <v>2451</v>
      </c>
      <c r="D23" s="605" t="s">
        <v>483</v>
      </c>
      <c r="E23" s="606" t="s">
        <v>1561</v>
      </c>
      <c r="F23" s="605" t="s">
        <v>644</v>
      </c>
      <c r="G23" s="605" t="s">
        <v>1553</v>
      </c>
    </row>
    <row r="24" spans="1:7">
      <c r="A24" s="606" t="s">
        <v>2452</v>
      </c>
      <c r="B24" s="605" t="s">
        <v>483</v>
      </c>
      <c r="C24" s="605" t="s">
        <v>2452</v>
      </c>
      <c r="D24" s="605" t="s">
        <v>483</v>
      </c>
      <c r="E24" s="606" t="s">
        <v>1561</v>
      </c>
      <c r="F24" s="605" t="s">
        <v>644</v>
      </c>
      <c r="G24" s="605" t="s">
        <v>1553</v>
      </c>
    </row>
    <row r="25" spans="1:7">
      <c r="A25" s="606" t="s">
        <v>2401</v>
      </c>
      <c r="B25" s="605" t="s">
        <v>163</v>
      </c>
      <c r="C25" s="605" t="s">
        <v>2401</v>
      </c>
      <c r="D25" s="605" t="s">
        <v>163</v>
      </c>
      <c r="E25" s="605" t="s">
        <v>1571</v>
      </c>
      <c r="F25" s="605" t="s">
        <v>644</v>
      </c>
      <c r="G25" s="605" t="s">
        <v>1553</v>
      </c>
    </row>
    <row r="26" spans="1:7">
      <c r="A26" s="606" t="s">
        <v>2402</v>
      </c>
      <c r="B26" s="605" t="s">
        <v>163</v>
      </c>
      <c r="C26" s="605" t="s">
        <v>2403</v>
      </c>
      <c r="D26" s="605" t="s">
        <v>163</v>
      </c>
      <c r="E26" s="605" t="s">
        <v>1561</v>
      </c>
      <c r="F26" s="605" t="s">
        <v>644</v>
      </c>
      <c r="G26" s="605" t="s">
        <v>1553</v>
      </c>
    </row>
    <row r="27" spans="1:7">
      <c r="A27" s="606" t="s">
        <v>385</v>
      </c>
      <c r="B27" s="605" t="s">
        <v>307</v>
      </c>
      <c r="C27" s="605" t="s">
        <v>385</v>
      </c>
      <c r="D27" s="605" t="s">
        <v>307</v>
      </c>
      <c r="E27" s="605" t="s">
        <v>1552</v>
      </c>
      <c r="F27" s="605" t="s">
        <v>644</v>
      </c>
      <c r="G27" s="605" t="s">
        <v>1553</v>
      </c>
    </row>
    <row r="28" spans="1:7">
      <c r="A28" s="606" t="s">
        <v>1572</v>
      </c>
      <c r="B28" s="605" t="s">
        <v>408</v>
      </c>
      <c r="C28" s="605" t="s">
        <v>1572</v>
      </c>
      <c r="D28" s="605" t="s">
        <v>483</v>
      </c>
      <c r="E28" s="605" t="s">
        <v>1561</v>
      </c>
      <c r="F28" s="605" t="s">
        <v>644</v>
      </c>
      <c r="G28" s="605" t="s">
        <v>1553</v>
      </c>
    </row>
    <row r="29" spans="1:7">
      <c r="A29" s="606" t="s">
        <v>1572</v>
      </c>
      <c r="B29" s="605" t="s">
        <v>163</v>
      </c>
      <c r="C29" s="605" t="s">
        <v>1572</v>
      </c>
      <c r="D29" s="605" t="s">
        <v>163</v>
      </c>
      <c r="E29" s="605" t="s">
        <v>1561</v>
      </c>
      <c r="F29" s="605" t="s">
        <v>644</v>
      </c>
      <c r="G29" s="605" t="s">
        <v>1553</v>
      </c>
    </row>
    <row r="30" spans="1:7">
      <c r="A30" s="606" t="s">
        <v>2460</v>
      </c>
      <c r="B30" s="605" t="s">
        <v>483</v>
      </c>
      <c r="C30" s="605" t="s">
        <v>2460</v>
      </c>
      <c r="D30" s="605" t="s">
        <v>483</v>
      </c>
      <c r="E30" s="605" t="s">
        <v>1561</v>
      </c>
      <c r="F30" s="605" t="s">
        <v>644</v>
      </c>
      <c r="G30" s="605" t="s">
        <v>1553</v>
      </c>
    </row>
    <row r="31" spans="1:7">
      <c r="A31" s="606" t="s">
        <v>1573</v>
      </c>
      <c r="B31" s="605" t="s">
        <v>163</v>
      </c>
      <c r="C31" s="605" t="s">
        <v>1574</v>
      </c>
      <c r="D31" s="605" t="s">
        <v>163</v>
      </c>
      <c r="E31" s="605" t="s">
        <v>1561</v>
      </c>
      <c r="F31" s="605" t="s">
        <v>644</v>
      </c>
      <c r="G31" s="605" t="s">
        <v>1553</v>
      </c>
    </row>
    <row r="32" spans="1:7">
      <c r="A32" s="606" t="s">
        <v>421</v>
      </c>
      <c r="B32" s="605" t="s">
        <v>161</v>
      </c>
      <c r="C32" s="605" t="s">
        <v>421</v>
      </c>
      <c r="D32" s="605" t="s">
        <v>161</v>
      </c>
      <c r="E32" s="605" t="s">
        <v>1552</v>
      </c>
      <c r="F32" s="605" t="s">
        <v>644</v>
      </c>
      <c r="G32" s="605" t="s">
        <v>1553</v>
      </c>
    </row>
    <row r="33" spans="1:7">
      <c r="A33" s="606" t="s">
        <v>386</v>
      </c>
      <c r="B33" s="605" t="s">
        <v>161</v>
      </c>
      <c r="C33" s="605" t="s">
        <v>386</v>
      </c>
      <c r="D33" s="605" t="s">
        <v>161</v>
      </c>
      <c r="E33" s="605" t="s">
        <v>1552</v>
      </c>
      <c r="F33" s="605" t="s">
        <v>644</v>
      </c>
      <c r="G33" s="605" t="s">
        <v>1553</v>
      </c>
    </row>
    <row r="34" spans="1:7">
      <c r="A34" s="606" t="s">
        <v>1575</v>
      </c>
      <c r="B34" s="605" t="s">
        <v>163</v>
      </c>
      <c r="C34" s="605" t="s">
        <v>1576</v>
      </c>
      <c r="D34" s="605" t="s">
        <v>163</v>
      </c>
      <c r="E34" s="605" t="s">
        <v>1561</v>
      </c>
      <c r="F34" s="605" t="s">
        <v>644</v>
      </c>
      <c r="G34" s="605" t="s">
        <v>1553</v>
      </c>
    </row>
    <row r="35" spans="1:7">
      <c r="A35" s="606" t="s">
        <v>2336</v>
      </c>
      <c r="B35" s="605" t="s">
        <v>483</v>
      </c>
      <c r="C35" s="605" t="s">
        <v>2336</v>
      </c>
      <c r="D35" s="605" t="s">
        <v>483</v>
      </c>
      <c r="E35" s="605" t="s">
        <v>1561</v>
      </c>
      <c r="F35" s="605" t="s">
        <v>644</v>
      </c>
      <c r="G35" s="605" t="s">
        <v>1553</v>
      </c>
    </row>
    <row r="36" spans="1:7">
      <c r="A36" s="606" t="s">
        <v>2336</v>
      </c>
      <c r="B36" s="605" t="s">
        <v>163</v>
      </c>
      <c r="C36" s="605" t="s">
        <v>2336</v>
      </c>
      <c r="D36" s="605" t="s">
        <v>163</v>
      </c>
      <c r="E36" s="605" t="s">
        <v>1561</v>
      </c>
      <c r="F36" s="605" t="s">
        <v>644</v>
      </c>
      <c r="G36" s="605" t="s">
        <v>1553</v>
      </c>
    </row>
    <row r="37" spans="1:7">
      <c r="A37" s="606" t="s">
        <v>384</v>
      </c>
      <c r="B37" s="605" t="s">
        <v>324</v>
      </c>
      <c r="C37" s="605" t="s">
        <v>384</v>
      </c>
      <c r="D37" s="605" t="s">
        <v>324</v>
      </c>
      <c r="E37" s="605" t="s">
        <v>1552</v>
      </c>
      <c r="F37" s="605" t="s">
        <v>644</v>
      </c>
      <c r="G37" s="605" t="s">
        <v>1553</v>
      </c>
    </row>
    <row r="38" spans="1:7">
      <c r="A38" s="606" t="s">
        <v>384</v>
      </c>
      <c r="B38" s="605" t="s">
        <v>330</v>
      </c>
      <c r="C38" s="605" t="s">
        <v>384</v>
      </c>
      <c r="D38" s="605" t="s">
        <v>330</v>
      </c>
      <c r="E38" s="605" t="s">
        <v>1577</v>
      </c>
      <c r="F38" s="605" t="s">
        <v>644</v>
      </c>
      <c r="G38" s="605" t="s">
        <v>1553</v>
      </c>
    </row>
    <row r="39" spans="1:7">
      <c r="A39" s="606" t="s">
        <v>1578</v>
      </c>
      <c r="B39" s="605" t="s">
        <v>163</v>
      </c>
      <c r="C39" s="606" t="s">
        <v>1578</v>
      </c>
      <c r="D39" s="605" t="s">
        <v>163</v>
      </c>
      <c r="E39" s="605" t="s">
        <v>1552</v>
      </c>
      <c r="F39" s="605" t="s">
        <v>644</v>
      </c>
      <c r="G39" s="605" t="s">
        <v>1553</v>
      </c>
    </row>
    <row r="40" spans="1:7">
      <c r="A40" s="606" t="s">
        <v>1579</v>
      </c>
      <c r="B40" s="605" t="s">
        <v>163</v>
      </c>
      <c r="C40" s="606" t="s">
        <v>1580</v>
      </c>
      <c r="D40" s="605" t="s">
        <v>163</v>
      </c>
      <c r="E40" s="605" t="s">
        <v>1561</v>
      </c>
      <c r="F40" s="605" t="s">
        <v>644</v>
      </c>
      <c r="G40" s="605" t="s">
        <v>1553</v>
      </c>
    </row>
    <row r="41" spans="1:7">
      <c r="A41" s="606" t="s">
        <v>1581</v>
      </c>
      <c r="B41" s="605" t="s">
        <v>163</v>
      </c>
      <c r="C41" s="605" t="s">
        <v>1581</v>
      </c>
      <c r="D41" s="605" t="s">
        <v>163</v>
      </c>
      <c r="E41" s="605" t="s">
        <v>1561</v>
      </c>
      <c r="F41" s="605" t="s">
        <v>644</v>
      </c>
      <c r="G41" s="605" t="s">
        <v>1553</v>
      </c>
    </row>
    <row r="42" spans="1:7">
      <c r="A42" s="606" t="s">
        <v>394</v>
      </c>
      <c r="B42" s="605" t="s">
        <v>161</v>
      </c>
      <c r="C42" s="605" t="s">
        <v>394</v>
      </c>
      <c r="D42" s="605" t="s">
        <v>161</v>
      </c>
      <c r="E42" s="605" t="s">
        <v>1571</v>
      </c>
      <c r="F42" s="605" t="s">
        <v>644</v>
      </c>
      <c r="G42" s="605" t="s">
        <v>1553</v>
      </c>
    </row>
    <row r="43" spans="1:7">
      <c r="A43" s="606" t="s">
        <v>434</v>
      </c>
      <c r="B43" s="605" t="s">
        <v>352</v>
      </c>
      <c r="C43" s="605" t="s">
        <v>434</v>
      </c>
      <c r="D43" s="605" t="s">
        <v>352</v>
      </c>
      <c r="E43" s="605" t="s">
        <v>1552</v>
      </c>
      <c r="F43" s="605" t="s">
        <v>644</v>
      </c>
      <c r="G43" s="605" t="s">
        <v>1582</v>
      </c>
    </row>
    <row r="44" spans="1:7">
      <c r="A44" s="606" t="s">
        <v>1583</v>
      </c>
      <c r="B44" s="605" t="s">
        <v>163</v>
      </c>
      <c r="C44" s="605" t="s">
        <v>1583</v>
      </c>
      <c r="D44" s="605" t="s">
        <v>163</v>
      </c>
      <c r="E44" s="605" t="s">
        <v>1552</v>
      </c>
      <c r="F44" s="605" t="s">
        <v>644</v>
      </c>
      <c r="G44" s="605" t="s">
        <v>1582</v>
      </c>
    </row>
    <row r="45" spans="1:7">
      <c r="A45" s="606" t="s">
        <v>1584</v>
      </c>
      <c r="B45" s="605" t="s">
        <v>163</v>
      </c>
      <c r="C45" s="605" t="s">
        <v>1584</v>
      </c>
      <c r="D45" s="605" t="s">
        <v>1585</v>
      </c>
      <c r="E45" s="605" t="s">
        <v>1552</v>
      </c>
      <c r="F45" s="605" t="s">
        <v>1586</v>
      </c>
      <c r="G45" s="605" t="s">
        <v>1582</v>
      </c>
    </row>
    <row r="46" spans="1:7">
      <c r="A46" s="606" t="s">
        <v>1587</v>
      </c>
      <c r="B46" s="605" t="s">
        <v>163</v>
      </c>
      <c r="C46" s="606" t="s">
        <v>1587</v>
      </c>
      <c r="D46" s="605" t="s">
        <v>163</v>
      </c>
      <c r="E46" s="605" t="s">
        <v>1559</v>
      </c>
      <c r="F46" s="605" t="s">
        <v>1586</v>
      </c>
      <c r="G46" s="605" t="s">
        <v>1582</v>
      </c>
    </row>
    <row r="47" spans="1:7">
      <c r="A47" s="606" t="s">
        <v>1587</v>
      </c>
      <c r="B47" s="605" t="s">
        <v>403</v>
      </c>
      <c r="C47" s="605" t="s">
        <v>1587</v>
      </c>
      <c r="D47" s="605" t="s">
        <v>403</v>
      </c>
      <c r="E47" s="605" t="s">
        <v>1559</v>
      </c>
      <c r="F47" s="605" t="s">
        <v>1586</v>
      </c>
      <c r="G47" s="605" t="s">
        <v>1582</v>
      </c>
    </row>
    <row r="48" spans="1:7">
      <c r="A48" s="606" t="s">
        <v>1587</v>
      </c>
      <c r="B48" s="605" t="s">
        <v>1588</v>
      </c>
      <c r="C48" s="605" t="s">
        <v>1587</v>
      </c>
      <c r="D48" s="605" t="s">
        <v>1588</v>
      </c>
      <c r="E48" s="605" t="s">
        <v>1559</v>
      </c>
      <c r="F48" s="605" t="s">
        <v>1586</v>
      </c>
      <c r="G48" s="605" t="s">
        <v>1582</v>
      </c>
    </row>
    <row r="49" spans="1:7">
      <c r="A49" s="606" t="s">
        <v>1587</v>
      </c>
      <c r="B49" s="605" t="s">
        <v>1589</v>
      </c>
      <c r="C49" s="605" t="s">
        <v>1587</v>
      </c>
      <c r="D49" s="605" t="s">
        <v>1589</v>
      </c>
      <c r="E49" s="605" t="s">
        <v>1559</v>
      </c>
      <c r="F49" s="605" t="s">
        <v>1586</v>
      </c>
      <c r="G49" s="605" t="s">
        <v>1582</v>
      </c>
    </row>
    <row r="50" spans="1:7">
      <c r="A50" s="606" t="s">
        <v>1587</v>
      </c>
      <c r="B50" s="605" t="s">
        <v>369</v>
      </c>
      <c r="C50" s="605" t="s">
        <v>1587</v>
      </c>
      <c r="D50" s="605" t="s">
        <v>369</v>
      </c>
      <c r="E50" s="605" t="s">
        <v>1559</v>
      </c>
      <c r="F50" s="605" t="s">
        <v>1586</v>
      </c>
      <c r="G50" s="605" t="s">
        <v>1582</v>
      </c>
    </row>
    <row r="51" spans="1:7">
      <c r="A51" s="606" t="s">
        <v>1590</v>
      </c>
      <c r="B51" s="605" t="s">
        <v>163</v>
      </c>
      <c r="C51" s="605" t="s">
        <v>1590</v>
      </c>
      <c r="D51" s="605" t="s">
        <v>483</v>
      </c>
      <c r="E51" s="605" t="s">
        <v>1561</v>
      </c>
      <c r="F51" s="605" t="s">
        <v>644</v>
      </c>
      <c r="G51" s="605" t="s">
        <v>1553</v>
      </c>
    </row>
    <row r="52" spans="1:7">
      <c r="A52" s="606" t="s">
        <v>387</v>
      </c>
      <c r="B52" s="605" t="s">
        <v>161</v>
      </c>
      <c r="C52" s="605" t="s">
        <v>387</v>
      </c>
      <c r="D52" s="605" t="s">
        <v>161</v>
      </c>
      <c r="E52" s="605" t="s">
        <v>1552</v>
      </c>
      <c r="F52" s="605" t="s">
        <v>644</v>
      </c>
      <c r="G52" s="605" t="s">
        <v>1553</v>
      </c>
    </row>
    <row r="53" spans="1:7">
      <c r="A53" s="606" t="s">
        <v>1591</v>
      </c>
      <c r="B53" s="605">
        <v>1</v>
      </c>
      <c r="C53" s="605" t="s">
        <v>1591</v>
      </c>
      <c r="D53" s="605" t="s">
        <v>2051</v>
      </c>
      <c r="E53" s="605" t="s">
        <v>1592</v>
      </c>
      <c r="F53" s="605" t="s">
        <v>644</v>
      </c>
      <c r="G53" s="605" t="s">
        <v>2052</v>
      </c>
    </row>
    <row r="54" spans="1:7">
      <c r="A54" s="606" t="s">
        <v>1593</v>
      </c>
      <c r="B54" s="605" t="s">
        <v>483</v>
      </c>
      <c r="C54" s="606" t="s">
        <v>1593</v>
      </c>
      <c r="D54" s="605" t="s">
        <v>483</v>
      </c>
      <c r="E54" s="605" t="s">
        <v>1561</v>
      </c>
      <c r="F54" s="605" t="s">
        <v>645</v>
      </c>
      <c r="G54" s="605" t="s">
        <v>1553</v>
      </c>
    </row>
    <row r="55" spans="1:7">
      <c r="A55" s="606" t="s">
        <v>1594</v>
      </c>
      <c r="B55" s="605" t="s">
        <v>483</v>
      </c>
      <c r="C55" s="606" t="s">
        <v>1594</v>
      </c>
      <c r="D55" s="605" t="s">
        <v>483</v>
      </c>
      <c r="E55" s="605" t="s">
        <v>1561</v>
      </c>
      <c r="F55" s="605" t="s">
        <v>645</v>
      </c>
      <c r="G55" s="605" t="s">
        <v>1553</v>
      </c>
    </row>
    <row r="56" spans="1:7">
      <c r="A56" s="606" t="s">
        <v>1595</v>
      </c>
      <c r="B56" s="605" t="s">
        <v>487</v>
      </c>
      <c r="C56" s="605" t="s">
        <v>1595</v>
      </c>
      <c r="D56" s="605" t="s">
        <v>487</v>
      </c>
      <c r="E56" s="605" t="s">
        <v>1561</v>
      </c>
      <c r="F56" s="605" t="s">
        <v>645</v>
      </c>
      <c r="G56" s="605" t="s">
        <v>1553</v>
      </c>
    </row>
    <row r="57" spans="1:7">
      <c r="A57" s="606" t="s">
        <v>1596</v>
      </c>
      <c r="B57" s="605" t="s">
        <v>487</v>
      </c>
      <c r="C57" s="605" t="s">
        <v>1596</v>
      </c>
      <c r="D57" s="605" t="s">
        <v>487</v>
      </c>
      <c r="E57" s="605" t="s">
        <v>1561</v>
      </c>
      <c r="F57" s="605" t="s">
        <v>645</v>
      </c>
      <c r="G57" s="605" t="s">
        <v>1553</v>
      </c>
    </row>
    <row r="58" spans="1:7">
      <c r="A58" s="606" t="s">
        <v>1597</v>
      </c>
      <c r="B58" s="605" t="s">
        <v>487</v>
      </c>
      <c r="C58" s="605" t="s">
        <v>1597</v>
      </c>
      <c r="D58" s="605" t="s">
        <v>487</v>
      </c>
      <c r="E58" s="605" t="s">
        <v>1561</v>
      </c>
      <c r="F58" s="605" t="s">
        <v>645</v>
      </c>
      <c r="G58" s="605" t="s">
        <v>1553</v>
      </c>
    </row>
    <row r="59" spans="1:7">
      <c r="A59" s="606" t="s">
        <v>1598</v>
      </c>
      <c r="B59" s="605" t="s">
        <v>487</v>
      </c>
      <c r="C59" s="605" t="s">
        <v>1598</v>
      </c>
      <c r="D59" s="605" t="s">
        <v>487</v>
      </c>
      <c r="E59" s="605" t="s">
        <v>1561</v>
      </c>
      <c r="F59" s="605" t="s">
        <v>645</v>
      </c>
      <c r="G59" s="605" t="s">
        <v>1553</v>
      </c>
    </row>
    <row r="60" spans="1:7">
      <c r="A60" s="606" t="s">
        <v>1599</v>
      </c>
      <c r="B60" s="606" t="s">
        <v>163</v>
      </c>
      <c r="C60" s="606" t="s">
        <v>1599</v>
      </c>
      <c r="D60" s="606" t="s">
        <v>163</v>
      </c>
      <c r="E60" s="606" t="s">
        <v>1600</v>
      </c>
      <c r="F60" s="605" t="s">
        <v>645</v>
      </c>
      <c r="G60" s="605" t="s">
        <v>1553</v>
      </c>
    </row>
    <row r="61" spans="1:7">
      <c r="A61" s="606" t="s">
        <v>1601</v>
      </c>
      <c r="B61" s="606" t="s">
        <v>163</v>
      </c>
      <c r="C61" s="606" t="s">
        <v>1601</v>
      </c>
      <c r="D61" s="606" t="s">
        <v>163</v>
      </c>
      <c r="E61" s="606" t="s">
        <v>1600</v>
      </c>
      <c r="F61" s="605" t="s">
        <v>645</v>
      </c>
      <c r="G61" s="605" t="s">
        <v>1553</v>
      </c>
    </row>
    <row r="62" spans="1:7">
      <c r="A62" s="606" t="s">
        <v>1602</v>
      </c>
      <c r="B62" s="606" t="s">
        <v>163</v>
      </c>
      <c r="C62" s="606" t="s">
        <v>1602</v>
      </c>
      <c r="D62" s="606" t="s">
        <v>163</v>
      </c>
      <c r="E62" s="606" t="s">
        <v>1603</v>
      </c>
      <c r="F62" s="605" t="s">
        <v>645</v>
      </c>
      <c r="G62" s="605" t="s">
        <v>1553</v>
      </c>
    </row>
    <row r="63" spans="1:7">
      <c r="A63" s="606" t="s">
        <v>1604</v>
      </c>
      <c r="B63" s="606" t="s">
        <v>500</v>
      </c>
      <c r="C63" s="606" t="s">
        <v>1604</v>
      </c>
      <c r="D63" s="606" t="s">
        <v>500</v>
      </c>
      <c r="E63" s="606" t="s">
        <v>1559</v>
      </c>
      <c r="F63" s="605" t="s">
        <v>645</v>
      </c>
      <c r="G63" s="605" t="s">
        <v>1553</v>
      </c>
    </row>
    <row r="64" spans="1:7">
      <c r="A64" s="606" t="s">
        <v>1604</v>
      </c>
      <c r="B64" s="606" t="s">
        <v>161</v>
      </c>
      <c r="C64" s="606" t="s">
        <v>1604</v>
      </c>
      <c r="D64" s="606" t="s">
        <v>161</v>
      </c>
      <c r="E64" s="606" t="s">
        <v>1559</v>
      </c>
      <c r="F64" s="605" t="s">
        <v>645</v>
      </c>
      <c r="G64" s="605" t="s">
        <v>1553</v>
      </c>
    </row>
    <row r="65" spans="1:7">
      <c r="A65" s="606" t="s">
        <v>2454</v>
      </c>
      <c r="B65" s="606" t="s">
        <v>2453</v>
      </c>
      <c r="C65" s="606" t="s">
        <v>2454</v>
      </c>
      <c r="D65" s="606" t="s">
        <v>2453</v>
      </c>
      <c r="E65" s="606" t="s">
        <v>1559</v>
      </c>
      <c r="F65" s="605" t="s">
        <v>645</v>
      </c>
      <c r="G65" s="605" t="s">
        <v>1553</v>
      </c>
    </row>
    <row r="66" spans="1:7">
      <c r="A66" s="606" t="s">
        <v>1605</v>
      </c>
      <c r="B66" s="606" t="s">
        <v>487</v>
      </c>
      <c r="C66" s="606" t="s">
        <v>1605</v>
      </c>
      <c r="D66" s="606" t="s">
        <v>487</v>
      </c>
      <c r="E66" s="606" t="s">
        <v>1559</v>
      </c>
      <c r="F66" s="605" t="s">
        <v>645</v>
      </c>
      <c r="G66" s="605" t="s">
        <v>1553</v>
      </c>
    </row>
    <row r="67" spans="1:7">
      <c r="A67" s="606" t="s">
        <v>2226</v>
      </c>
      <c r="B67" s="606" t="s">
        <v>2453</v>
      </c>
      <c r="C67" s="606" t="s">
        <v>2226</v>
      </c>
      <c r="D67" s="606" t="s">
        <v>2453</v>
      </c>
      <c r="E67" s="606" t="s">
        <v>1559</v>
      </c>
      <c r="F67" s="605" t="s">
        <v>645</v>
      </c>
      <c r="G67" s="605" t="s">
        <v>1553</v>
      </c>
    </row>
    <row r="68" spans="1:7">
      <c r="A68" s="606" t="s">
        <v>1606</v>
      </c>
      <c r="B68" s="606" t="s">
        <v>163</v>
      </c>
      <c r="C68" s="606" t="s">
        <v>1606</v>
      </c>
      <c r="D68" s="606" t="s">
        <v>197</v>
      </c>
      <c r="E68" s="606" t="s">
        <v>1607</v>
      </c>
      <c r="F68" s="605" t="s">
        <v>645</v>
      </c>
      <c r="G68" s="605" t="s">
        <v>1553</v>
      </c>
    </row>
    <row r="69" spans="1:7">
      <c r="A69" s="606" t="str">
        <f>HYPERLINK("http://intranet.atlnz.lc/systest/products/Accessories/pluggable_transceiver/Images/SFP+/AT-SP10LR.JPG","AT-SP10LR")</f>
        <v>AT-SP10LR</v>
      </c>
      <c r="B69" s="606" t="s">
        <v>352</v>
      </c>
      <c r="C69" s="606" t="str">
        <f>HYPERLINK("http://intranet.atlnz.lc/systest/products/Accessories/pluggable_transceiver/Images/SFP+/AT-SP10LR.JPG","AT-SP10LR")</f>
        <v>AT-SP10LR</v>
      </c>
      <c r="D69" s="606" t="s">
        <v>352</v>
      </c>
      <c r="E69" s="606" t="s">
        <v>1608</v>
      </c>
      <c r="F69" s="605" t="s">
        <v>645</v>
      </c>
      <c r="G69" s="605" t="s">
        <v>1553</v>
      </c>
    </row>
    <row r="70" spans="1:7">
      <c r="A70" s="606" t="str">
        <f>HYPERLINK("http://intranet.atlnz.lc/systest/products/Accessories/pluggable_transceiver/Images/SFP+/AT-SP10LR-I.JPG","AT-SP10LR/I")</f>
        <v>AT-SP10LR/I</v>
      </c>
      <c r="B70" s="606" t="s">
        <v>161</v>
      </c>
      <c r="C70" s="606" t="str">
        <f>HYPERLINK("http://intranet.atlnz.lc/systest/products/Accessories/pluggable_transceiver/Images/SFP+/AT-SP10LR-I.JPG","AT-SP10LR/I")</f>
        <v>AT-SP10LR/I</v>
      </c>
      <c r="D70" s="606" t="s">
        <v>161</v>
      </c>
      <c r="E70" s="606" t="s">
        <v>1609</v>
      </c>
      <c r="F70" s="605" t="s">
        <v>645</v>
      </c>
      <c r="G70" s="605" t="s">
        <v>1553</v>
      </c>
    </row>
    <row r="71" spans="1:7">
      <c r="A71" s="606" t="s">
        <v>539</v>
      </c>
      <c r="B71" s="605" t="s">
        <v>307</v>
      </c>
      <c r="C71" s="605" t="s">
        <v>539</v>
      </c>
      <c r="D71" s="605" t="s">
        <v>307</v>
      </c>
      <c r="E71" s="605" t="s">
        <v>1552</v>
      </c>
      <c r="F71" s="605" t="s">
        <v>645</v>
      </c>
      <c r="G71" s="605" t="s">
        <v>1553</v>
      </c>
    </row>
    <row r="72" spans="1:7">
      <c r="A72" s="606" t="s">
        <v>539</v>
      </c>
      <c r="B72" s="605" t="s">
        <v>324</v>
      </c>
      <c r="C72" s="605" t="s">
        <v>539</v>
      </c>
      <c r="D72" s="605" t="s">
        <v>324</v>
      </c>
      <c r="E72" s="605" t="s">
        <v>1559</v>
      </c>
      <c r="F72" s="605" t="s">
        <v>645</v>
      </c>
      <c r="G72" s="605" t="s">
        <v>1553</v>
      </c>
    </row>
    <row r="73" spans="1:7">
      <c r="A73" s="606" t="s">
        <v>539</v>
      </c>
      <c r="B73" s="605" t="s">
        <v>330</v>
      </c>
      <c r="C73" s="605" t="s">
        <v>539</v>
      </c>
      <c r="D73" s="605" t="s">
        <v>330</v>
      </c>
      <c r="E73" s="605" t="s">
        <v>1559</v>
      </c>
      <c r="F73" s="605" t="s">
        <v>645</v>
      </c>
      <c r="G73" s="605" t="s">
        <v>1553</v>
      </c>
    </row>
    <row r="74" spans="1:7">
      <c r="A74" s="606" t="s">
        <v>539</v>
      </c>
      <c r="B74" s="605" t="s">
        <v>506</v>
      </c>
      <c r="C74" s="605" t="s">
        <v>539</v>
      </c>
      <c r="D74" s="605" t="s">
        <v>506</v>
      </c>
      <c r="E74" s="605" t="s">
        <v>1559</v>
      </c>
      <c r="F74" s="605" t="s">
        <v>645</v>
      </c>
      <c r="G74" s="605" t="s">
        <v>1553</v>
      </c>
    </row>
    <row r="75" spans="1:7">
      <c r="A75" s="606" t="s">
        <v>539</v>
      </c>
      <c r="B75" s="605" t="s">
        <v>2061</v>
      </c>
      <c r="C75" s="605" t="s">
        <v>539</v>
      </c>
      <c r="D75" s="605" t="s">
        <v>2061</v>
      </c>
      <c r="E75" s="605" t="s">
        <v>1559</v>
      </c>
      <c r="F75" s="605" t="s">
        <v>645</v>
      </c>
      <c r="G75" s="605" t="s">
        <v>1553</v>
      </c>
    </row>
    <row r="76" spans="1:7">
      <c r="A76" s="606" t="s">
        <v>2224</v>
      </c>
      <c r="B76" s="605" t="s">
        <v>2453</v>
      </c>
      <c r="C76" s="606" t="s">
        <v>2224</v>
      </c>
      <c r="D76" s="605" t="s">
        <v>2453</v>
      </c>
      <c r="E76" s="605" t="s">
        <v>1561</v>
      </c>
      <c r="F76" s="605" t="s">
        <v>645</v>
      </c>
      <c r="G76" s="605" t="s">
        <v>1553</v>
      </c>
    </row>
    <row r="77" spans="1:7">
      <c r="A77" s="606" t="s">
        <v>1605</v>
      </c>
      <c r="B77" s="605" t="s">
        <v>307</v>
      </c>
      <c r="C77" s="605" t="s">
        <v>1605</v>
      </c>
      <c r="D77" s="605" t="s">
        <v>307</v>
      </c>
      <c r="E77" s="605" t="s">
        <v>1559</v>
      </c>
      <c r="F77" s="605" t="s">
        <v>645</v>
      </c>
      <c r="G77" s="605" t="s">
        <v>1553</v>
      </c>
    </row>
    <row r="78" spans="1:7">
      <c r="A78" s="606" t="s">
        <v>1610</v>
      </c>
      <c r="B78" s="605" t="s">
        <v>163</v>
      </c>
      <c r="C78" s="605" t="s">
        <v>1610</v>
      </c>
      <c r="D78" s="605" t="s">
        <v>163</v>
      </c>
      <c r="E78" s="605" t="s">
        <v>1603</v>
      </c>
      <c r="F78" s="605" t="s">
        <v>645</v>
      </c>
      <c r="G78" s="605" t="s">
        <v>1553</v>
      </c>
    </row>
    <row r="79" spans="1:7">
      <c r="A79" s="606" t="s">
        <v>1611</v>
      </c>
      <c r="B79" s="605" t="s">
        <v>487</v>
      </c>
      <c r="C79" s="605" t="s">
        <v>1610</v>
      </c>
      <c r="D79" s="605" t="s">
        <v>487</v>
      </c>
      <c r="E79" s="605" t="s">
        <v>1561</v>
      </c>
      <c r="F79" s="605" t="s">
        <v>645</v>
      </c>
      <c r="G79" s="605" t="s">
        <v>1553</v>
      </c>
    </row>
    <row r="80" spans="1:7">
      <c r="A80" s="606" t="s">
        <v>1612</v>
      </c>
      <c r="B80" s="605" t="s">
        <v>161</v>
      </c>
      <c r="C80" s="605" t="s">
        <v>1612</v>
      </c>
      <c r="D80" s="605" t="s">
        <v>161</v>
      </c>
      <c r="E80" s="605" t="s">
        <v>1613</v>
      </c>
      <c r="F80" s="605" t="s">
        <v>1614</v>
      </c>
      <c r="G80" s="605" t="s">
        <v>1582</v>
      </c>
    </row>
    <row r="81" spans="1:7">
      <c r="A81" s="606" t="s">
        <v>1615</v>
      </c>
      <c r="B81" s="605" t="s">
        <v>487</v>
      </c>
      <c r="C81" s="605" t="s">
        <v>1615</v>
      </c>
      <c r="D81" s="605" t="s">
        <v>487</v>
      </c>
      <c r="E81" s="605" t="s">
        <v>1552</v>
      </c>
      <c r="F81" s="605" t="s">
        <v>1616</v>
      </c>
      <c r="G81" s="605" t="s">
        <v>1582</v>
      </c>
    </row>
    <row r="82" spans="1:7">
      <c r="A82" s="606" t="s">
        <v>1615</v>
      </c>
      <c r="B82" s="605" t="s">
        <v>515</v>
      </c>
      <c r="C82" s="605" t="s">
        <v>1615</v>
      </c>
      <c r="D82" s="605" t="s">
        <v>515</v>
      </c>
      <c r="E82" s="605" t="s">
        <v>1552</v>
      </c>
      <c r="F82" s="605" t="s">
        <v>1616</v>
      </c>
      <c r="G82" s="605" t="s">
        <v>1582</v>
      </c>
    </row>
    <row r="83" spans="1:7">
      <c r="A83" s="606" t="s">
        <v>1615</v>
      </c>
      <c r="B83" s="605" t="s">
        <v>163</v>
      </c>
      <c r="C83" s="605" t="s">
        <v>1615</v>
      </c>
      <c r="D83" s="605" t="s">
        <v>163</v>
      </c>
      <c r="E83" s="605" t="s">
        <v>1552</v>
      </c>
      <c r="F83" s="605" t="s">
        <v>1616</v>
      </c>
      <c r="G83" s="605" t="s">
        <v>1582</v>
      </c>
    </row>
    <row r="84" spans="1:7">
      <c r="A84" s="606" t="s">
        <v>1617</v>
      </c>
      <c r="B84" s="605" t="s">
        <v>483</v>
      </c>
      <c r="C84" s="605" t="s">
        <v>1618</v>
      </c>
      <c r="D84" s="605" t="s">
        <v>483</v>
      </c>
      <c r="E84" s="605" t="s">
        <v>1552</v>
      </c>
      <c r="F84" s="605" t="s">
        <v>1614</v>
      </c>
      <c r="G84" s="605" t="s">
        <v>1582</v>
      </c>
    </row>
    <row r="85" spans="1:7">
      <c r="A85" s="606" t="s">
        <v>1618</v>
      </c>
      <c r="B85" s="605" t="s">
        <v>514</v>
      </c>
      <c r="C85" s="605" t="s">
        <v>1618</v>
      </c>
      <c r="D85" s="605" t="s">
        <v>514</v>
      </c>
      <c r="E85" s="605" t="s">
        <v>1619</v>
      </c>
      <c r="F85" s="605" t="s">
        <v>1614</v>
      </c>
      <c r="G85" s="605" t="s">
        <v>1582</v>
      </c>
    </row>
    <row r="86" spans="1:7">
      <c r="A86" s="606" t="s">
        <v>1618</v>
      </c>
      <c r="B86" s="605" t="s">
        <v>161</v>
      </c>
      <c r="C86" s="605" t="s">
        <v>1618</v>
      </c>
      <c r="D86" s="605" t="s">
        <v>161</v>
      </c>
      <c r="E86" s="605" t="s">
        <v>1552</v>
      </c>
      <c r="F86" s="605" t="s">
        <v>1614</v>
      </c>
      <c r="G86" s="605" t="s">
        <v>1582</v>
      </c>
    </row>
    <row r="87" spans="1:7">
      <c r="A87" s="606" t="s">
        <v>1620</v>
      </c>
      <c r="B87" s="605" t="s">
        <v>324</v>
      </c>
      <c r="C87" s="605" t="s">
        <v>2050</v>
      </c>
      <c r="D87" s="605" t="s">
        <v>324</v>
      </c>
      <c r="E87" s="605" t="s">
        <v>1622</v>
      </c>
      <c r="F87" s="605" t="s">
        <v>645</v>
      </c>
      <c r="G87" s="605" t="s">
        <v>1582</v>
      </c>
    </row>
    <row r="88" spans="1:7">
      <c r="A88" s="606" t="s">
        <v>1620</v>
      </c>
      <c r="B88" s="605" t="s">
        <v>592</v>
      </c>
      <c r="C88" s="605" t="s">
        <v>2050</v>
      </c>
      <c r="D88" s="605" t="s">
        <v>592</v>
      </c>
      <c r="E88" s="605" t="s">
        <v>1622</v>
      </c>
      <c r="F88" s="605" t="s">
        <v>645</v>
      </c>
      <c r="G88" s="605" t="s">
        <v>1582</v>
      </c>
    </row>
    <row r="89" spans="1:7">
      <c r="A89" s="606" t="s">
        <v>1620</v>
      </c>
      <c r="B89" s="605" t="s">
        <v>161</v>
      </c>
      <c r="C89" s="605" t="s">
        <v>1621</v>
      </c>
      <c r="D89" s="605" t="s">
        <v>161</v>
      </c>
      <c r="E89" s="605" t="s">
        <v>1622</v>
      </c>
      <c r="F89" s="605" t="s">
        <v>645</v>
      </c>
      <c r="G89" s="605" t="s">
        <v>1582</v>
      </c>
    </row>
    <row r="90" spans="1:7">
      <c r="A90" s="606" t="s">
        <v>1620</v>
      </c>
      <c r="B90" s="605" t="s">
        <v>163</v>
      </c>
      <c r="C90" s="605" t="s">
        <v>1621</v>
      </c>
      <c r="D90" s="605" t="s">
        <v>163</v>
      </c>
      <c r="E90" s="605" t="s">
        <v>1622</v>
      </c>
      <c r="F90" s="605" t="s">
        <v>645</v>
      </c>
      <c r="G90" s="605" t="s">
        <v>1582</v>
      </c>
    </row>
    <row r="91" spans="1:7">
      <c r="A91" s="606" t="s">
        <v>1623</v>
      </c>
      <c r="B91" s="605" t="s">
        <v>161</v>
      </c>
      <c r="C91" s="605" t="s">
        <v>1624</v>
      </c>
      <c r="D91" s="605" t="s">
        <v>163</v>
      </c>
      <c r="E91" s="605" t="s">
        <v>1622</v>
      </c>
      <c r="F91" s="605" t="s">
        <v>645</v>
      </c>
      <c r="G91" s="605" t="s">
        <v>1582</v>
      </c>
    </row>
    <row r="92" spans="1:7">
      <c r="A92" s="606" t="s">
        <v>1623</v>
      </c>
      <c r="B92" s="605" t="s">
        <v>506</v>
      </c>
      <c r="C92" s="605" t="s">
        <v>1625</v>
      </c>
      <c r="D92" s="605" t="s">
        <v>592</v>
      </c>
      <c r="E92" s="605" t="s">
        <v>1622</v>
      </c>
      <c r="F92" s="605" t="s">
        <v>645</v>
      </c>
      <c r="G92" s="605" t="s">
        <v>1582</v>
      </c>
    </row>
    <row r="93" spans="1:7">
      <c r="A93" s="606" t="s">
        <v>1626</v>
      </c>
      <c r="B93" s="605" t="s">
        <v>163</v>
      </c>
      <c r="C93" s="605" t="s">
        <v>1627</v>
      </c>
      <c r="D93" s="605" t="s">
        <v>163</v>
      </c>
      <c r="E93" s="605" t="s">
        <v>1622</v>
      </c>
      <c r="F93" s="605" t="s">
        <v>645</v>
      </c>
      <c r="G93" s="605" t="s">
        <v>1582</v>
      </c>
    </row>
    <row r="94" spans="1:7">
      <c r="A94" s="606" t="s">
        <v>1628</v>
      </c>
      <c r="B94" s="605" t="s">
        <v>163</v>
      </c>
      <c r="C94" s="605" t="s">
        <v>1628</v>
      </c>
      <c r="D94" s="605" t="s">
        <v>163</v>
      </c>
      <c r="E94" s="605" t="s">
        <v>1603</v>
      </c>
      <c r="F94" s="605" t="s">
        <v>645</v>
      </c>
      <c r="G94" s="605" t="s">
        <v>1553</v>
      </c>
    </row>
    <row r="95" spans="1:7">
      <c r="A95" s="606" t="s">
        <v>1628</v>
      </c>
      <c r="B95" s="605" t="s">
        <v>307</v>
      </c>
      <c r="C95" s="605" t="s">
        <v>1628</v>
      </c>
      <c r="D95" s="605" t="s">
        <v>307</v>
      </c>
      <c r="E95" s="605" t="s">
        <v>1603</v>
      </c>
      <c r="F95" s="605" t="s">
        <v>645</v>
      </c>
      <c r="G95" s="605" t="s">
        <v>1553</v>
      </c>
    </row>
    <row r="96" spans="1:7">
      <c r="A96" s="606" t="s">
        <v>1629</v>
      </c>
      <c r="B96" s="605" t="s">
        <v>163</v>
      </c>
      <c r="C96" s="605" t="s">
        <v>1630</v>
      </c>
      <c r="D96" s="605" t="s">
        <v>163</v>
      </c>
      <c r="E96" s="605" t="s">
        <v>1552</v>
      </c>
      <c r="F96" s="605" t="s">
        <v>645</v>
      </c>
      <c r="G96" s="605" t="s">
        <v>1553</v>
      </c>
    </row>
    <row r="97" spans="1:7">
      <c r="A97" s="606" t="s">
        <v>1631</v>
      </c>
      <c r="B97" s="605" t="s">
        <v>163</v>
      </c>
      <c r="C97" s="605" t="s">
        <v>1632</v>
      </c>
      <c r="D97" s="605" t="s">
        <v>163</v>
      </c>
      <c r="E97" s="605" t="s">
        <v>1552</v>
      </c>
      <c r="F97" s="605" t="s">
        <v>645</v>
      </c>
      <c r="G97" s="605" t="s">
        <v>1553</v>
      </c>
    </row>
    <row r="98" spans="1:7">
      <c r="A98" s="606" t="s">
        <v>1633</v>
      </c>
      <c r="B98" s="605" t="s">
        <v>197</v>
      </c>
      <c r="C98" s="605" t="s">
        <v>1634</v>
      </c>
      <c r="D98" s="605" t="s">
        <v>197</v>
      </c>
      <c r="E98" s="605" t="s">
        <v>1613</v>
      </c>
      <c r="F98" s="605" t="s">
        <v>646</v>
      </c>
      <c r="G98" s="605" t="s">
        <v>1582</v>
      </c>
    </row>
    <row r="99" spans="1:7">
      <c r="A99" s="606" t="s">
        <v>1633</v>
      </c>
      <c r="B99" s="605" t="s">
        <v>197</v>
      </c>
      <c r="C99" s="605" t="s">
        <v>2377</v>
      </c>
      <c r="D99" s="605" t="s">
        <v>197</v>
      </c>
      <c r="E99" s="605" t="s">
        <v>1613</v>
      </c>
      <c r="F99" s="605" t="s">
        <v>646</v>
      </c>
      <c r="G99" s="605" t="s">
        <v>1582</v>
      </c>
    </row>
    <row r="100" spans="1:7">
      <c r="A100" s="606" t="s">
        <v>1633</v>
      </c>
      <c r="B100" s="605" t="s">
        <v>197</v>
      </c>
      <c r="C100" s="605" t="s">
        <v>2375</v>
      </c>
      <c r="D100" s="605" t="s">
        <v>2376</v>
      </c>
      <c r="E100" s="605" t="s">
        <v>1613</v>
      </c>
      <c r="F100" s="605" t="s">
        <v>646</v>
      </c>
      <c r="G100" s="605" t="s">
        <v>1582</v>
      </c>
    </row>
    <row r="101" spans="1:7">
      <c r="A101" s="606" t="s">
        <v>1635</v>
      </c>
      <c r="B101" s="605" t="s">
        <v>197</v>
      </c>
      <c r="C101" s="605" t="s">
        <v>1636</v>
      </c>
      <c r="D101" s="605" t="s">
        <v>197</v>
      </c>
      <c r="E101" s="605" t="s">
        <v>1613</v>
      </c>
      <c r="F101" s="605" t="s">
        <v>646</v>
      </c>
      <c r="G101" s="605" t="s">
        <v>1582</v>
      </c>
    </row>
    <row r="102" spans="1:7">
      <c r="A102" s="606" t="s">
        <v>1637</v>
      </c>
      <c r="B102" s="605" t="s">
        <v>324</v>
      </c>
      <c r="C102" s="605" t="s">
        <v>1638</v>
      </c>
      <c r="D102" s="605" t="s">
        <v>324</v>
      </c>
      <c r="E102" s="605" t="s">
        <v>1639</v>
      </c>
      <c r="F102" s="605" t="s">
        <v>646</v>
      </c>
      <c r="G102" s="605" t="s">
        <v>1582</v>
      </c>
    </row>
    <row r="103" spans="1:7">
      <c r="A103" s="606" t="s">
        <v>1640</v>
      </c>
      <c r="B103" s="605" t="s">
        <v>324</v>
      </c>
      <c r="C103" s="605" t="s">
        <v>1641</v>
      </c>
      <c r="D103" s="605" t="s">
        <v>324</v>
      </c>
      <c r="E103" s="605" t="s">
        <v>1639</v>
      </c>
      <c r="F103" s="605" t="s">
        <v>646</v>
      </c>
      <c r="G103" s="605" t="s">
        <v>1582</v>
      </c>
    </row>
    <row r="104" spans="1:7">
      <c r="A104" s="606" t="s">
        <v>1642</v>
      </c>
      <c r="B104" s="605" t="s">
        <v>487</v>
      </c>
      <c r="C104" s="605" t="s">
        <v>1642</v>
      </c>
      <c r="D104" s="605" t="s">
        <v>487</v>
      </c>
      <c r="E104" s="605" t="s">
        <v>1561</v>
      </c>
      <c r="F104" s="605" t="s">
        <v>646</v>
      </c>
      <c r="G104" s="605" t="s">
        <v>1553</v>
      </c>
    </row>
    <row r="105" spans="1:7">
      <c r="A105" s="606" t="s">
        <v>585</v>
      </c>
      <c r="B105" s="605" t="s">
        <v>161</v>
      </c>
      <c r="C105" s="605" t="s">
        <v>585</v>
      </c>
      <c r="D105" s="605" t="s">
        <v>161</v>
      </c>
      <c r="E105" s="605" t="s">
        <v>1607</v>
      </c>
      <c r="F105" s="605" t="s">
        <v>646</v>
      </c>
      <c r="G105" s="605" t="s">
        <v>1553</v>
      </c>
    </row>
    <row r="106" spans="1:7">
      <c r="A106" s="606" t="s">
        <v>585</v>
      </c>
      <c r="B106" s="605" t="s">
        <v>2293</v>
      </c>
      <c r="C106" s="605" t="s">
        <v>585</v>
      </c>
      <c r="D106" s="605" t="s">
        <v>2293</v>
      </c>
      <c r="E106" s="605" t="s">
        <v>1607</v>
      </c>
      <c r="F106" s="605" t="s">
        <v>646</v>
      </c>
      <c r="G106" s="605" t="s">
        <v>1553</v>
      </c>
    </row>
    <row r="107" spans="1:7">
      <c r="A107" s="606" t="s">
        <v>1643</v>
      </c>
      <c r="B107" s="605" t="s">
        <v>163</v>
      </c>
      <c r="C107" s="605" t="s">
        <v>1643</v>
      </c>
      <c r="D107" s="605" t="s">
        <v>163</v>
      </c>
      <c r="E107" s="605" t="s">
        <v>1644</v>
      </c>
      <c r="F107" s="605" t="s">
        <v>646</v>
      </c>
      <c r="G107" s="605" t="s">
        <v>1553</v>
      </c>
    </row>
    <row r="108" spans="1:7">
      <c r="A108" s="606" t="s">
        <v>584</v>
      </c>
      <c r="B108" s="605" t="s">
        <v>161</v>
      </c>
      <c r="C108" s="605" t="s">
        <v>584</v>
      </c>
      <c r="D108" s="605" t="s">
        <v>161</v>
      </c>
      <c r="E108" s="605" t="s">
        <v>1552</v>
      </c>
      <c r="F108" s="605" t="s">
        <v>646</v>
      </c>
      <c r="G108" s="605" t="s">
        <v>1553</v>
      </c>
    </row>
    <row r="109" spans="1:7">
      <c r="A109" s="606" t="s">
        <v>584</v>
      </c>
      <c r="B109" s="605" t="s">
        <v>307</v>
      </c>
      <c r="C109" s="605" t="s">
        <v>584</v>
      </c>
      <c r="D109" s="605" t="s">
        <v>307</v>
      </c>
      <c r="E109" s="605" t="s">
        <v>1552</v>
      </c>
      <c r="F109" s="605" t="s">
        <v>646</v>
      </c>
      <c r="G109" s="605" t="s">
        <v>1553</v>
      </c>
    </row>
    <row r="110" spans="1:7">
      <c r="A110" s="606" t="s">
        <v>584</v>
      </c>
      <c r="B110" s="605" t="s">
        <v>369</v>
      </c>
      <c r="C110" s="606" t="s">
        <v>584</v>
      </c>
      <c r="D110" s="605" t="s">
        <v>369</v>
      </c>
      <c r="E110" s="605" t="s">
        <v>1607</v>
      </c>
      <c r="F110" s="605" t="s">
        <v>646</v>
      </c>
      <c r="G110" s="605" t="s">
        <v>1553</v>
      </c>
    </row>
    <row r="111" spans="1:7">
      <c r="A111" s="606" t="s">
        <v>584</v>
      </c>
      <c r="B111" s="605" t="s">
        <v>330</v>
      </c>
      <c r="C111" s="606" t="s">
        <v>584</v>
      </c>
      <c r="D111" s="605" t="s">
        <v>330</v>
      </c>
      <c r="E111" s="605" t="s">
        <v>1607</v>
      </c>
      <c r="F111" s="605" t="s">
        <v>646</v>
      </c>
      <c r="G111" s="605" t="s">
        <v>1553</v>
      </c>
    </row>
    <row r="112" spans="1:7">
      <c r="A112" s="606" t="s">
        <v>585</v>
      </c>
      <c r="B112" s="605" t="s">
        <v>574</v>
      </c>
      <c r="C112" s="605" t="s">
        <v>1645</v>
      </c>
      <c r="D112" s="605" t="s">
        <v>1646</v>
      </c>
      <c r="E112" s="605" t="s">
        <v>1647</v>
      </c>
      <c r="F112" s="605" t="s">
        <v>646</v>
      </c>
      <c r="G112" s="605" t="s">
        <v>1553</v>
      </c>
    </row>
    <row r="113" spans="1:7">
      <c r="A113" s="606" t="s">
        <v>585</v>
      </c>
      <c r="B113" s="605" t="s">
        <v>352</v>
      </c>
      <c r="C113" s="605" t="s">
        <v>585</v>
      </c>
      <c r="D113" s="605" t="s">
        <v>352</v>
      </c>
      <c r="E113" s="605" t="s">
        <v>1607</v>
      </c>
      <c r="F113" s="605" t="s">
        <v>646</v>
      </c>
      <c r="G113" s="605" t="s">
        <v>1553</v>
      </c>
    </row>
    <row r="114" spans="1:7">
      <c r="A114" s="606" t="s">
        <v>1648</v>
      </c>
      <c r="B114" s="605" t="s">
        <v>163</v>
      </c>
      <c r="C114" s="605" t="s">
        <v>1648</v>
      </c>
      <c r="D114" s="605" t="s">
        <v>163</v>
      </c>
      <c r="E114" s="605" t="s">
        <v>1649</v>
      </c>
      <c r="F114" s="605" t="s">
        <v>646</v>
      </c>
      <c r="G114" s="605" t="s">
        <v>1553</v>
      </c>
    </row>
    <row r="115" spans="1:7">
      <c r="A115" s="606" t="s">
        <v>1650</v>
      </c>
      <c r="B115" s="605" t="s">
        <v>581</v>
      </c>
      <c r="C115" s="605" t="s">
        <v>1650</v>
      </c>
      <c r="D115" s="605" t="s">
        <v>581</v>
      </c>
      <c r="E115" s="605" t="s">
        <v>1649</v>
      </c>
      <c r="F115" s="605" t="s">
        <v>646</v>
      </c>
      <c r="G115" s="605" t="s">
        <v>1553</v>
      </c>
    </row>
    <row r="116" spans="1:7">
      <c r="A116" s="606" t="s">
        <v>1651</v>
      </c>
      <c r="B116" s="605" t="s">
        <v>592</v>
      </c>
      <c r="C116" s="605" t="s">
        <v>1652</v>
      </c>
      <c r="D116" s="605" t="s">
        <v>163</v>
      </c>
      <c r="E116" s="605" t="s">
        <v>1639</v>
      </c>
      <c r="F116" s="605" t="s">
        <v>647</v>
      </c>
      <c r="G116" s="605" t="s">
        <v>1582</v>
      </c>
    </row>
    <row r="117" spans="1:7">
      <c r="A117" s="606" t="s">
        <v>1653</v>
      </c>
      <c r="B117" s="605" t="s">
        <v>592</v>
      </c>
      <c r="C117" s="605" t="s">
        <v>1654</v>
      </c>
      <c r="D117" s="605" t="s">
        <v>163</v>
      </c>
      <c r="E117" s="605" t="s">
        <v>1639</v>
      </c>
      <c r="F117" s="605" t="s">
        <v>647</v>
      </c>
      <c r="G117" s="605" t="s">
        <v>1582</v>
      </c>
    </row>
    <row r="118" spans="1:7">
      <c r="A118" s="606" t="s">
        <v>1655</v>
      </c>
      <c r="B118" s="605" t="s">
        <v>483</v>
      </c>
      <c r="C118" s="605" t="s">
        <v>1655</v>
      </c>
      <c r="D118" s="605" t="s">
        <v>483</v>
      </c>
      <c r="E118" s="605" t="s">
        <v>1607</v>
      </c>
      <c r="F118" s="605" t="s">
        <v>647</v>
      </c>
      <c r="G118" s="605" t="s">
        <v>1553</v>
      </c>
    </row>
    <row r="119" spans="1:7">
      <c r="A119" s="606" t="s">
        <v>1656</v>
      </c>
      <c r="B119" s="605" t="s">
        <v>163</v>
      </c>
      <c r="C119" s="605" t="s">
        <v>1656</v>
      </c>
      <c r="D119" s="605" t="s">
        <v>163</v>
      </c>
      <c r="E119" s="605" t="s">
        <v>1552</v>
      </c>
      <c r="F119" s="605" t="s">
        <v>647</v>
      </c>
      <c r="G119" s="605" t="s">
        <v>1553</v>
      </c>
    </row>
    <row r="120" spans="1:7">
      <c r="A120" s="606" t="s">
        <v>1656</v>
      </c>
      <c r="B120" s="605" t="s">
        <v>487</v>
      </c>
      <c r="C120" s="605" t="s">
        <v>1656</v>
      </c>
      <c r="D120" s="605" t="s">
        <v>487</v>
      </c>
      <c r="E120" s="605" t="s">
        <v>1607</v>
      </c>
      <c r="F120" s="605" t="s">
        <v>647</v>
      </c>
      <c r="G120" s="605" t="s">
        <v>1553</v>
      </c>
    </row>
    <row r="121" spans="1:7">
      <c r="A121" s="606" t="s">
        <v>1656</v>
      </c>
      <c r="B121" s="605" t="s">
        <v>161</v>
      </c>
      <c r="C121" s="605" t="s">
        <v>1656</v>
      </c>
      <c r="D121" s="605" t="s">
        <v>161</v>
      </c>
      <c r="E121" s="605" t="s">
        <v>1607</v>
      </c>
      <c r="F121" s="605" t="s">
        <v>647</v>
      </c>
      <c r="G121" s="605" t="s">
        <v>1553</v>
      </c>
    </row>
    <row r="122" spans="1:7">
      <c r="A122" s="606" t="s">
        <v>2057</v>
      </c>
      <c r="B122" s="605" t="s">
        <v>483</v>
      </c>
      <c r="C122" s="605" t="s">
        <v>2057</v>
      </c>
      <c r="D122" s="605" t="s">
        <v>483</v>
      </c>
      <c r="E122" s="605" t="s">
        <v>2058</v>
      </c>
      <c r="F122" s="605" t="s">
        <v>647</v>
      </c>
      <c r="G122" s="605" t="s">
        <v>1553</v>
      </c>
    </row>
    <row r="123" spans="1:7">
      <c r="A123" s="606" t="s">
        <v>2057</v>
      </c>
      <c r="B123" s="605" t="s">
        <v>487</v>
      </c>
      <c r="C123" s="605" t="s">
        <v>2057</v>
      </c>
      <c r="D123" s="605" t="s">
        <v>487</v>
      </c>
      <c r="E123" s="605" t="s">
        <v>2058</v>
      </c>
      <c r="F123" s="605" t="s">
        <v>647</v>
      </c>
      <c r="G123" s="605" t="s">
        <v>1553</v>
      </c>
    </row>
    <row r="124" spans="1:7">
      <c r="A124" s="605" t="s">
        <v>2281</v>
      </c>
      <c r="B124" s="605" t="s">
        <v>483</v>
      </c>
      <c r="C124" s="605" t="s">
        <v>2281</v>
      </c>
      <c r="D124" s="605" t="s">
        <v>483</v>
      </c>
      <c r="E124" s="605" t="s">
        <v>2058</v>
      </c>
      <c r="F124" s="605" t="s">
        <v>2282</v>
      </c>
      <c r="G124" s="605" t="s">
        <v>1553</v>
      </c>
    </row>
    <row r="125" spans="1:7">
      <c r="A125" s="605" t="s">
        <v>2281</v>
      </c>
      <c r="B125" s="605" t="s">
        <v>163</v>
      </c>
      <c r="C125" s="605" t="s">
        <v>2281</v>
      </c>
      <c r="D125" s="605" t="s">
        <v>163</v>
      </c>
      <c r="E125" s="605" t="s">
        <v>2058</v>
      </c>
      <c r="F125" s="605" t="s">
        <v>2282</v>
      </c>
      <c r="G125" s="605" t="s">
        <v>1553</v>
      </c>
    </row>
    <row r="126" spans="1:7">
      <c r="A126" s="605" t="s">
        <v>2283</v>
      </c>
      <c r="B126" s="605" t="s">
        <v>483</v>
      </c>
      <c r="C126" s="605" t="s">
        <v>2283</v>
      </c>
      <c r="D126" s="605" t="s">
        <v>483</v>
      </c>
      <c r="E126" s="605" t="s">
        <v>2058</v>
      </c>
      <c r="F126" s="605" t="s">
        <v>2282</v>
      </c>
      <c r="G126" s="605" t="s">
        <v>1553</v>
      </c>
    </row>
    <row r="127" spans="1:7">
      <c r="A127" s="605" t="s">
        <v>2283</v>
      </c>
      <c r="B127" s="605" t="s">
        <v>163</v>
      </c>
      <c r="C127" s="605" t="s">
        <v>2283</v>
      </c>
      <c r="D127" s="605" t="s">
        <v>163</v>
      </c>
      <c r="E127" s="605" t="s">
        <v>2058</v>
      </c>
      <c r="F127" s="605" t="s">
        <v>2282</v>
      </c>
      <c r="G127" s="605" t="s">
        <v>1553</v>
      </c>
    </row>
    <row r="128" spans="1:7">
      <c r="A128" s="605" t="s">
        <v>2284</v>
      </c>
      <c r="B128" s="605" t="s">
        <v>2061</v>
      </c>
      <c r="C128" s="605" t="s">
        <v>2285</v>
      </c>
      <c r="D128" s="605" t="s">
        <v>2061</v>
      </c>
      <c r="E128" s="605" t="s">
        <v>1639</v>
      </c>
      <c r="F128" s="605" t="s">
        <v>2282</v>
      </c>
      <c r="G128" s="605" t="s">
        <v>1582</v>
      </c>
    </row>
    <row r="129" spans="1:7">
      <c r="A129" s="605" t="s">
        <v>2330</v>
      </c>
      <c r="B129" s="605" t="s">
        <v>2061</v>
      </c>
      <c r="C129" s="605" t="s">
        <v>2331</v>
      </c>
      <c r="D129" s="605" t="s">
        <v>2061</v>
      </c>
      <c r="E129" s="605" t="s">
        <v>1639</v>
      </c>
      <c r="F129" s="605" t="s">
        <v>2282</v>
      </c>
      <c r="G129" s="605" t="s">
        <v>1582</v>
      </c>
    </row>
    <row r="130" spans="1:7">
      <c r="A130" s="605" t="s">
        <v>2414</v>
      </c>
      <c r="B130" s="605" t="s">
        <v>487</v>
      </c>
      <c r="C130" s="605" t="s">
        <v>2414</v>
      </c>
      <c r="D130" s="605" t="s">
        <v>487</v>
      </c>
      <c r="E130" s="605" t="s">
        <v>2058</v>
      </c>
      <c r="F130" s="605" t="s">
        <v>1616</v>
      </c>
      <c r="G130" s="605" t="s">
        <v>1582</v>
      </c>
    </row>
    <row r="131" spans="1:7">
      <c r="A131" s="605" t="s">
        <v>2368</v>
      </c>
      <c r="B131" s="605" t="s">
        <v>515</v>
      </c>
      <c r="C131" s="605" t="s">
        <v>2368</v>
      </c>
      <c r="D131" s="605" t="s">
        <v>515</v>
      </c>
      <c r="E131" t="s">
        <v>1607</v>
      </c>
      <c r="F131" s="605" t="s">
        <v>2035</v>
      </c>
      <c r="G131" s="605" t="s">
        <v>1553</v>
      </c>
    </row>
    <row r="132" spans="1:7">
      <c r="A132" s="605" t="s">
        <v>2368</v>
      </c>
      <c r="B132" s="605" t="s">
        <v>2380</v>
      </c>
      <c r="C132" s="605" t="s">
        <v>2368</v>
      </c>
      <c r="D132" s="605" t="s">
        <v>2380</v>
      </c>
      <c r="E132" t="s">
        <v>1607</v>
      </c>
      <c r="F132" s="605" t="s">
        <v>2035</v>
      </c>
      <c r="G132" s="605" t="s">
        <v>1553</v>
      </c>
    </row>
    <row r="133" spans="1:7">
      <c r="A133" s="605" t="s">
        <v>2368</v>
      </c>
      <c r="B133" s="605" t="s">
        <v>500</v>
      </c>
      <c r="C133" s="605" t="s">
        <v>2368</v>
      </c>
      <c r="D133" s="605" t="s">
        <v>500</v>
      </c>
      <c r="E133" t="s">
        <v>1607</v>
      </c>
      <c r="F133" s="605" t="s">
        <v>2035</v>
      </c>
      <c r="G133" s="605" t="s">
        <v>1553</v>
      </c>
    </row>
    <row r="134" spans="1:7">
      <c r="A134" t="s">
        <v>2371</v>
      </c>
      <c r="B134" s="605" t="s">
        <v>324</v>
      </c>
      <c r="C134" s="605" t="s">
        <v>2369</v>
      </c>
      <c r="D134" s="605" t="s">
        <v>324</v>
      </c>
      <c r="E134" s="605" t="s">
        <v>1639</v>
      </c>
      <c r="F134" s="605" t="s">
        <v>2035</v>
      </c>
      <c r="G134" s="605" t="s">
        <v>1582</v>
      </c>
    </row>
    <row r="135" spans="1:7">
      <c r="A135" t="s">
        <v>2372</v>
      </c>
      <c r="B135" s="605" t="s">
        <v>324</v>
      </c>
      <c r="C135" s="605" t="s">
        <v>2370</v>
      </c>
      <c r="D135" s="605" t="s">
        <v>324</v>
      </c>
      <c r="E135" s="605" t="s">
        <v>1639</v>
      </c>
      <c r="F135" s="605" t="s">
        <v>2035</v>
      </c>
      <c r="G135" s="605" t="s">
        <v>1582</v>
      </c>
    </row>
    <row r="136" spans="1:7">
      <c r="A136" s="606" t="s">
        <v>2382</v>
      </c>
      <c r="B136" s="605" t="s">
        <v>2383</v>
      </c>
      <c r="C136" s="605" t="s">
        <v>2382</v>
      </c>
      <c r="D136" s="605" t="s">
        <v>2383</v>
      </c>
      <c r="E136" s="605" t="s">
        <v>1559</v>
      </c>
      <c r="F136" s="605" t="s">
        <v>645</v>
      </c>
      <c r="G136" s="605" t="s">
        <v>1553</v>
      </c>
    </row>
    <row r="137" spans="1:7">
      <c r="A137" s="605" t="s">
        <v>2414</v>
      </c>
      <c r="B137" s="605" t="s">
        <v>161</v>
      </c>
      <c r="C137" s="605" t="s">
        <v>2414</v>
      </c>
      <c r="D137" s="605" t="s">
        <v>161</v>
      </c>
      <c r="E137" s="605" t="s">
        <v>2058</v>
      </c>
      <c r="F137" s="605" t="s">
        <v>1616</v>
      </c>
      <c r="G137" s="605" t="s">
        <v>1582</v>
      </c>
    </row>
    <row r="138" spans="1:7">
      <c r="A138" t="s">
        <v>1626</v>
      </c>
      <c r="B138" t="s">
        <v>352</v>
      </c>
      <c r="C138" t="s">
        <v>2513</v>
      </c>
      <c r="D138" t="s">
        <v>352</v>
      </c>
      <c r="E138" t="s">
        <v>1622</v>
      </c>
      <c r="F138" t="s">
        <v>645</v>
      </c>
      <c r="G138" t="s">
        <v>1582</v>
      </c>
    </row>
    <row r="139" spans="1:7">
      <c r="A139" s="605" t="s">
        <v>2368</v>
      </c>
      <c r="B139" s="605" t="s">
        <v>2521</v>
      </c>
      <c r="C139" s="605" t="s">
        <v>2522</v>
      </c>
      <c r="D139" s="605" t="s">
        <v>2521</v>
      </c>
      <c r="E139" t="s">
        <v>1649</v>
      </c>
      <c r="F139" s="605" t="s">
        <v>2035</v>
      </c>
      <c r="G139" s="605" t="s">
        <v>1553</v>
      </c>
    </row>
  </sheetData>
  <autoFilter ref="A1:G139" xr:uid="{00000000-0009-0000-0000-00000C000000}"/>
  <phoneticPr fontId="64" type="noConversion"/>
  <pageMargins left="0.7" right="0.7" top="0.75" bottom="0.75" header="0.51180555555555496" footer="0.51180555555555496"/>
  <pageSetup paperSize="9" firstPageNumber="0"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dimension ref="A1:P311"/>
  <sheetViews>
    <sheetView topLeftCell="A231" zoomScaleNormal="100" workbookViewId="0">
      <selection activeCell="B251" sqref="B251"/>
    </sheetView>
  </sheetViews>
  <sheetFormatPr defaultColWidth="8.5703125" defaultRowHeight="15"/>
  <cols>
    <col min="2" max="2" width="19.28515625" customWidth="1"/>
    <col min="3" max="3" width="18.42578125" customWidth="1"/>
    <col min="4" max="4" width="40.42578125" customWidth="1"/>
    <col min="5" max="5" width="18.85546875" customWidth="1"/>
    <col min="11" max="11" width="6.5703125" bestFit="1" customWidth="1"/>
    <col min="12" max="12" width="8.5703125" style="15"/>
  </cols>
  <sheetData>
    <row r="1" spans="1:16" ht="27" customHeight="1">
      <c r="A1" t="s">
        <v>1178</v>
      </c>
      <c r="B1" t="s">
        <v>1179</v>
      </c>
      <c r="C1" t="s">
        <v>1657</v>
      </c>
      <c r="D1" t="s">
        <v>638</v>
      </c>
      <c r="E1" t="s">
        <v>1184</v>
      </c>
      <c r="F1" t="s">
        <v>1185</v>
      </c>
      <c r="G1" t="s">
        <v>643</v>
      </c>
      <c r="H1" t="s">
        <v>644</v>
      </c>
      <c r="I1" t="s">
        <v>1186</v>
      </c>
      <c r="J1" t="s">
        <v>1187</v>
      </c>
      <c r="K1" t="s">
        <v>645</v>
      </c>
      <c r="L1" s="15" t="s">
        <v>2282</v>
      </c>
      <c r="M1" t="s">
        <v>646</v>
      </c>
      <c r="N1" t="s">
        <v>2034</v>
      </c>
      <c r="O1" t="s">
        <v>647</v>
      </c>
      <c r="P1" t="s">
        <v>2035</v>
      </c>
    </row>
    <row r="2" spans="1:16">
      <c r="A2">
        <f>'Rules-Platform'!C3</f>
        <v>422</v>
      </c>
      <c r="B2" t="str">
        <f>'Rules-Platform'!D3</f>
        <v>AR3050S</v>
      </c>
      <c r="D2" t="str">
        <f>'Rules-Platform'!O3</f>
        <v>eth1,eth2</v>
      </c>
      <c r="E2" t="str">
        <f>'Rules-Platform'!P3</f>
        <v>1G Uplink</v>
      </c>
      <c r="F2" t="str">
        <f>'Rules-Platform'!Q3</f>
        <v>n</v>
      </c>
      <c r="G2" t="str">
        <f>'Rules-Platform'!R3</f>
        <v>n</v>
      </c>
      <c r="H2" t="str">
        <f>'Rules-Platform'!S3</f>
        <v>y</v>
      </c>
      <c r="I2" t="str">
        <f>'Rules-Platform'!T3</f>
        <v>n</v>
      </c>
      <c r="J2" t="str">
        <f>'Rules-Platform'!U3</f>
        <v>n</v>
      </c>
      <c r="K2" t="str">
        <f>'Rules-Platform'!V3</f>
        <v>n</v>
      </c>
      <c r="L2" s="15" t="str">
        <f>'Rules-Platform'!W3</f>
        <v>n</v>
      </c>
      <c r="M2" t="str">
        <f>'Rules-Platform'!X3</f>
        <v>n</v>
      </c>
      <c r="N2" t="str">
        <f>'Rules-Platform'!Y3</f>
        <v>n</v>
      </c>
      <c r="O2" t="str">
        <f>'Rules-Platform'!Z3</f>
        <v>n</v>
      </c>
      <c r="P2" t="str">
        <f>'Rules-Platform'!AA3</f>
        <v>n</v>
      </c>
    </row>
    <row r="3" spans="1:16">
      <c r="A3">
        <f>'Rules-Platform'!C4</f>
        <v>425</v>
      </c>
      <c r="B3" t="str">
        <f>'Rules-Platform'!D4</f>
        <v>AR4050S</v>
      </c>
      <c r="D3" t="str">
        <f>'Rules-Platform'!O4</f>
        <v>eth1,eth2</v>
      </c>
      <c r="E3" t="str">
        <f>'Rules-Platform'!P4</f>
        <v>1G Uplink</v>
      </c>
      <c r="F3" t="str">
        <f>'Rules-Platform'!Q4</f>
        <v>n</v>
      </c>
      <c r="G3" t="str">
        <f>'Rules-Platform'!R4</f>
        <v>n</v>
      </c>
      <c r="H3" t="str">
        <f>'Rules-Platform'!S4</f>
        <v>y</v>
      </c>
      <c r="I3" t="str">
        <f>'Rules-Platform'!T4</f>
        <v>n</v>
      </c>
      <c r="J3" t="str">
        <f>'Rules-Platform'!U4</f>
        <v>n</v>
      </c>
      <c r="K3" t="str">
        <f>'Rules-Platform'!V4</f>
        <v>n</v>
      </c>
      <c r="L3" s="15" t="str">
        <f>'Rules-Platform'!W4</f>
        <v>n</v>
      </c>
      <c r="M3" t="str">
        <f>'Rules-Platform'!X4</f>
        <v>n</v>
      </c>
      <c r="N3" t="str">
        <f>'Rules-Platform'!Y4</f>
        <v>n</v>
      </c>
      <c r="O3" t="str">
        <f>'Rules-Platform'!Z4</f>
        <v>n</v>
      </c>
      <c r="P3" t="str">
        <f>'Rules-Platform'!AA4</f>
        <v>n</v>
      </c>
    </row>
    <row r="4" spans="1:16">
      <c r="A4">
        <f>'Rules-Platform'!C5</f>
        <v>453</v>
      </c>
      <c r="B4" t="str">
        <f>'Rules-Platform'!D5</f>
        <v>AR2050V</v>
      </c>
      <c r="D4" t="str">
        <f>'Rules-Platform'!O5</f>
        <v>N/A</v>
      </c>
      <c r="E4" t="str">
        <f>'Rules-Platform'!P5</f>
        <v>-</v>
      </c>
      <c r="F4" t="str">
        <f>'Rules-Platform'!Q5</f>
        <v>n</v>
      </c>
      <c r="G4" t="str">
        <f>'Rules-Platform'!R5</f>
        <v>n</v>
      </c>
      <c r="H4" t="str">
        <f>'Rules-Platform'!S5</f>
        <v>n</v>
      </c>
      <c r="I4" t="str">
        <f>'Rules-Platform'!T5</f>
        <v>n</v>
      </c>
      <c r="J4" t="str">
        <f>'Rules-Platform'!U5</f>
        <v>n</v>
      </c>
      <c r="K4" t="str">
        <f>'Rules-Platform'!V5</f>
        <v>n</v>
      </c>
      <c r="L4" s="15" t="str">
        <f>'Rules-Platform'!W5</f>
        <v>n</v>
      </c>
      <c r="M4" t="str">
        <f>'Rules-Platform'!X5</f>
        <v>n</v>
      </c>
      <c r="N4" t="str">
        <f>'Rules-Platform'!Y5</f>
        <v>n</v>
      </c>
      <c r="O4" t="str">
        <f>'Rules-Platform'!Z5</f>
        <v>n</v>
      </c>
      <c r="P4" t="str">
        <f>'Rules-Platform'!AA5</f>
        <v>n</v>
      </c>
    </row>
    <row r="5" spans="1:16">
      <c r="A5">
        <f>'Rules-Platform'!C6</f>
        <v>454</v>
      </c>
      <c r="B5" t="str">
        <f>'Rules-Platform'!D6</f>
        <v>AR2010V</v>
      </c>
      <c r="D5" t="str">
        <f>'Rules-Platform'!O6</f>
        <v>N/A</v>
      </c>
      <c r="E5" t="str">
        <f>'Rules-Platform'!P6</f>
        <v>-</v>
      </c>
      <c r="F5" t="str">
        <f>'Rules-Platform'!Q6</f>
        <v>n</v>
      </c>
      <c r="G5" t="str">
        <f>'Rules-Platform'!R6</f>
        <v>n</v>
      </c>
      <c r="H5" t="str">
        <f>'Rules-Platform'!S6</f>
        <v>n</v>
      </c>
      <c r="I5" t="str">
        <f>'Rules-Platform'!T6</f>
        <v>n</v>
      </c>
      <c r="J5" t="str">
        <f>'Rules-Platform'!U6</f>
        <v>n</v>
      </c>
      <c r="K5" t="str">
        <f>'Rules-Platform'!V6</f>
        <v>n</v>
      </c>
      <c r="L5" s="15" t="str">
        <f>'Rules-Platform'!W6</f>
        <v>n</v>
      </c>
      <c r="M5" t="str">
        <f>'Rules-Platform'!X6</f>
        <v>n</v>
      </c>
      <c r="N5" t="str">
        <f>'Rules-Platform'!Y6</f>
        <v>n</v>
      </c>
      <c r="O5" t="str">
        <f>'Rules-Platform'!Z6</f>
        <v>n</v>
      </c>
      <c r="P5" t="str">
        <f>'Rules-Platform'!AA6</f>
        <v>n</v>
      </c>
    </row>
    <row r="6" spans="1:16">
      <c r="A6">
        <f>'Rules-Platform'!C7</f>
        <v>560</v>
      </c>
      <c r="B6" t="str">
        <f>'Rules-Platform'!D7</f>
        <v>AR1050V</v>
      </c>
      <c r="D6" t="str">
        <f>'Rules-Platform'!O7</f>
        <v>N/A</v>
      </c>
      <c r="E6" t="str">
        <f>'Rules-Platform'!P7</f>
        <v>-</v>
      </c>
      <c r="F6" t="str">
        <f>'Rules-Platform'!Q7</f>
        <v>n</v>
      </c>
      <c r="G6" t="str">
        <f>'Rules-Platform'!R7</f>
        <v>n</v>
      </c>
      <c r="H6" t="str">
        <f>'Rules-Platform'!S7</f>
        <v>n</v>
      </c>
      <c r="I6" t="str">
        <f>'Rules-Platform'!T7</f>
        <v>n</v>
      </c>
      <c r="J6" t="str">
        <f>'Rules-Platform'!U7</f>
        <v>n</v>
      </c>
      <c r="K6" t="str">
        <f>'Rules-Platform'!V7</f>
        <v>n</v>
      </c>
      <c r="L6" s="15" t="str">
        <f>'Rules-Platform'!W7</f>
        <v>n</v>
      </c>
      <c r="M6" t="str">
        <f>'Rules-Platform'!X7</f>
        <v>n</v>
      </c>
      <c r="N6" t="str">
        <f>'Rules-Platform'!Y7</f>
        <v>n</v>
      </c>
      <c r="O6" t="str">
        <f>'Rules-Platform'!Z7</f>
        <v>n</v>
      </c>
      <c r="P6" t="str">
        <f>'Rules-Platform'!AA7</f>
        <v>n</v>
      </c>
    </row>
    <row r="7" spans="1:16">
      <c r="A7">
        <f>'Rules-Platform'!C8</f>
        <v>598</v>
      </c>
      <c r="B7" t="str">
        <f>'Rules-Platform'!D8</f>
        <v>AR4050S-5G</v>
      </c>
      <c r="D7" t="str">
        <f>'Rules-Platform'!O8</f>
        <v>N/A</v>
      </c>
      <c r="E7" t="str">
        <f>'Rules-Platform'!P8</f>
        <v>-</v>
      </c>
      <c r="F7" t="str">
        <f>'Rules-Platform'!Q8</f>
        <v>n</v>
      </c>
      <c r="G7" t="str">
        <f>'Rules-Platform'!R8</f>
        <v>n</v>
      </c>
      <c r="H7" t="str">
        <f>'Rules-Platform'!S8</f>
        <v>n</v>
      </c>
      <c r="I7" t="str">
        <f>'Rules-Platform'!T8</f>
        <v>n</v>
      </c>
      <c r="J7" t="str">
        <f>'Rules-Platform'!U8</f>
        <v>n</v>
      </c>
      <c r="K7" t="str">
        <f>'Rules-Platform'!V8</f>
        <v>n</v>
      </c>
      <c r="L7" s="15" t="str">
        <f>'Rules-Platform'!W8</f>
        <v>n</v>
      </c>
      <c r="M7" t="str">
        <f>'Rules-Platform'!X8</f>
        <v>n</v>
      </c>
      <c r="N7" t="str">
        <f>'Rules-Platform'!Y8</f>
        <v>n</v>
      </c>
      <c r="O7" t="str">
        <f>'Rules-Platform'!Z8</f>
        <v>n</v>
      </c>
      <c r="P7" t="str">
        <f>'Rules-Platform'!AA8</f>
        <v>n</v>
      </c>
    </row>
    <row r="8" spans="1:16">
      <c r="A8">
        <f>'Rules-Platform'!C9</f>
        <v>413</v>
      </c>
      <c r="B8" t="str">
        <f>'Rules-Platform'!D9</f>
        <v>AT-DC2552XS</v>
      </c>
      <c r="D8" t="str">
        <f>'Rules-Platform'!O9</f>
        <v>port1.0.1-1.0.48</v>
      </c>
      <c r="E8" t="str">
        <f>'Rules-Platform'!P9</f>
        <v>10G Base</v>
      </c>
      <c r="F8" t="str">
        <f>'Rules-Platform'!Q9</f>
        <v>n</v>
      </c>
      <c r="G8" t="str">
        <f>'Rules-Platform'!R9</f>
        <v>n</v>
      </c>
      <c r="H8" t="str">
        <f>'Rules-Platform'!S9</f>
        <v>y</v>
      </c>
      <c r="I8" t="str">
        <f>'Rules-Platform'!T9</f>
        <v>n</v>
      </c>
      <c r="J8" t="str">
        <f>'Rules-Platform'!U9</f>
        <v>n</v>
      </c>
      <c r="K8" t="str">
        <f>'Rules-Platform'!V9</f>
        <v>y</v>
      </c>
      <c r="L8" s="15" t="str">
        <f>'Rules-Platform'!W9</f>
        <v>n</v>
      </c>
      <c r="M8" t="str">
        <f>'Rules-Platform'!X9</f>
        <v>n</v>
      </c>
      <c r="N8" t="str">
        <f>'Rules-Platform'!Y9</f>
        <v>n</v>
      </c>
      <c r="O8" t="str">
        <f>'Rules-Platform'!Z9</f>
        <v>n</v>
      </c>
      <c r="P8" t="str">
        <f>'Rules-Platform'!AA9</f>
        <v>n</v>
      </c>
    </row>
    <row r="9" spans="1:16">
      <c r="A9">
        <f>'Rules-Platform'!C10</f>
        <v>413</v>
      </c>
      <c r="B9" t="str">
        <f>'Rules-Platform'!D10</f>
        <v>AT-DC2552XS</v>
      </c>
      <c r="D9" t="str">
        <f>'Rules-Platform'!O10</f>
        <v>port1.0.49-1.0.52</v>
      </c>
      <c r="E9" t="str">
        <f>'Rules-Platform'!P10</f>
        <v>40G Uplink</v>
      </c>
      <c r="F9" t="str">
        <f>'Rules-Platform'!Q10</f>
        <v>n</v>
      </c>
      <c r="G9" t="str">
        <f>'Rules-Platform'!R10</f>
        <v>n</v>
      </c>
      <c r="H9" t="str">
        <f>'Rules-Platform'!S10</f>
        <v>n</v>
      </c>
      <c r="I9" t="str">
        <f>'Rules-Platform'!T10</f>
        <v>n</v>
      </c>
      <c r="J9" t="str">
        <f>'Rules-Platform'!U10</f>
        <v>n</v>
      </c>
      <c r="K9" t="str">
        <f>'Rules-Platform'!V10</f>
        <v>n</v>
      </c>
      <c r="L9" s="15" t="str">
        <f>'Rules-Platform'!W10</f>
        <v>n</v>
      </c>
      <c r="M9" t="str">
        <f>'Rules-Platform'!X10</f>
        <v>y</v>
      </c>
      <c r="N9" t="str">
        <f>'Rules-Platform'!Y10</f>
        <v>n</v>
      </c>
      <c r="O9" t="str">
        <f>'Rules-Platform'!Z10</f>
        <v>n</v>
      </c>
      <c r="P9" t="str">
        <f>'Rules-Platform'!AA10</f>
        <v>n</v>
      </c>
    </row>
    <row r="10" spans="1:16">
      <c r="A10">
        <f>'Rules-Platform'!C11</f>
        <v>475</v>
      </c>
      <c r="B10" t="str">
        <f>'Rules-Platform'!D11</f>
        <v>AT-FS980M/9</v>
      </c>
      <c r="D10" t="str">
        <f>'Rules-Platform'!O11</f>
        <v>port1.0.9</v>
      </c>
      <c r="E10" t="str">
        <f>'Rules-Platform'!P11</f>
        <v>1G Combo</v>
      </c>
      <c r="F10" t="str">
        <f>'Rules-Platform'!Q11</f>
        <v>n</v>
      </c>
      <c r="G10" t="str">
        <f>'Rules-Platform'!R11</f>
        <v>y</v>
      </c>
      <c r="H10" t="str">
        <f>'Rules-Platform'!S11</f>
        <v>y</v>
      </c>
      <c r="I10" t="str">
        <f>'Rules-Platform'!T11</f>
        <v>n</v>
      </c>
      <c r="J10" t="str">
        <f>'Rules-Platform'!U11</f>
        <v>n</v>
      </c>
      <c r="K10" t="str">
        <f>'Rules-Platform'!V11</f>
        <v>n</v>
      </c>
      <c r="L10" s="15" t="str">
        <f>'Rules-Platform'!W11</f>
        <v>n</v>
      </c>
      <c r="M10" t="str">
        <f>'Rules-Platform'!X11</f>
        <v>n</v>
      </c>
      <c r="N10" t="str">
        <f>'Rules-Platform'!Y11</f>
        <v>n</v>
      </c>
      <c r="O10" t="str">
        <f>'Rules-Platform'!Z11</f>
        <v>n</v>
      </c>
      <c r="P10" t="str">
        <f>'Rules-Platform'!AA11</f>
        <v>n</v>
      </c>
    </row>
    <row r="11" spans="1:16">
      <c r="A11">
        <f>'Rules-Platform'!C12</f>
        <v>476</v>
      </c>
      <c r="B11" t="str">
        <f>'Rules-Platform'!D12</f>
        <v>AT-FS980M/9PS</v>
      </c>
      <c r="D11" t="str">
        <f>'Rules-Platform'!O12</f>
        <v>port1.0.9</v>
      </c>
      <c r="E11" t="str">
        <f>'Rules-Platform'!P12</f>
        <v>1G Combo</v>
      </c>
      <c r="F11" t="str">
        <f>'Rules-Platform'!Q12</f>
        <v>n</v>
      </c>
      <c r="G11" t="str">
        <f>'Rules-Platform'!R12</f>
        <v>y</v>
      </c>
      <c r="H11" t="str">
        <f>'Rules-Platform'!S12</f>
        <v>y</v>
      </c>
      <c r="I11" t="str">
        <f>'Rules-Platform'!T12</f>
        <v>n</v>
      </c>
      <c r="J11" t="str">
        <f>'Rules-Platform'!U12</f>
        <v>n</v>
      </c>
      <c r="K11" t="str">
        <f>'Rules-Platform'!V12</f>
        <v>n</v>
      </c>
      <c r="L11" s="15" t="str">
        <f>'Rules-Platform'!W12</f>
        <v>n</v>
      </c>
      <c r="M11" t="str">
        <f>'Rules-Platform'!X12</f>
        <v>n</v>
      </c>
      <c r="N11" t="str">
        <f>'Rules-Platform'!Y12</f>
        <v>n</v>
      </c>
      <c r="O11" t="str">
        <f>'Rules-Platform'!Z12</f>
        <v>n</v>
      </c>
      <c r="P11" t="str">
        <f>'Rules-Platform'!AA12</f>
        <v>n</v>
      </c>
    </row>
    <row r="12" spans="1:16">
      <c r="A12">
        <f>'Rules-Platform'!C13</f>
        <v>477</v>
      </c>
      <c r="B12" t="str">
        <f>'Rules-Platform'!D13</f>
        <v>AT-FS980M/18</v>
      </c>
      <c r="D12" t="str">
        <f>'Rules-Platform'!O13</f>
        <v>port1.0.17,port1.0.18</v>
      </c>
      <c r="E12" t="str">
        <f>'Rules-Platform'!P13</f>
        <v>1G Combo</v>
      </c>
      <c r="F12" t="str">
        <f>'Rules-Platform'!Q13</f>
        <v>n</v>
      </c>
      <c r="G12" t="str">
        <f>'Rules-Platform'!R13</f>
        <v>y</v>
      </c>
      <c r="H12" t="str">
        <f>'Rules-Platform'!S13</f>
        <v>y</v>
      </c>
      <c r="I12" t="str">
        <f>'Rules-Platform'!T13</f>
        <v>n</v>
      </c>
      <c r="J12" t="str">
        <f>'Rules-Platform'!U13</f>
        <v>n</v>
      </c>
      <c r="K12" t="str">
        <f>'Rules-Platform'!V13</f>
        <v>n</v>
      </c>
      <c r="L12" s="15" t="str">
        <f>'Rules-Platform'!W13</f>
        <v>n</v>
      </c>
      <c r="M12" t="str">
        <f>'Rules-Platform'!X13</f>
        <v>n</v>
      </c>
      <c r="N12" t="str">
        <f>'Rules-Platform'!Y13</f>
        <v>n</v>
      </c>
      <c r="O12" t="str">
        <f>'Rules-Platform'!Z13</f>
        <v>n</v>
      </c>
      <c r="P12" t="str">
        <f>'Rules-Platform'!AA13</f>
        <v>n</v>
      </c>
    </row>
    <row r="13" spans="1:16">
      <c r="A13">
        <f>'Rules-Platform'!C14</f>
        <v>478</v>
      </c>
      <c r="B13" t="str">
        <f>'Rules-Platform'!D14</f>
        <v>AT-FS980M/18PS</v>
      </c>
      <c r="D13" t="str">
        <f>'Rules-Platform'!O14</f>
        <v>port1.0.17,port1.0.18</v>
      </c>
      <c r="E13" t="str">
        <f>'Rules-Platform'!P14</f>
        <v>1G Combo</v>
      </c>
      <c r="F13" t="str">
        <f>'Rules-Platform'!Q14</f>
        <v>n</v>
      </c>
      <c r="G13" t="str">
        <f>'Rules-Platform'!R14</f>
        <v>y</v>
      </c>
      <c r="H13" t="str">
        <f>'Rules-Platform'!S14</f>
        <v>y</v>
      </c>
      <c r="I13" t="str">
        <f>'Rules-Platform'!T14</f>
        <v>n</v>
      </c>
      <c r="J13" t="str">
        <f>'Rules-Platform'!U14</f>
        <v>n</v>
      </c>
      <c r="K13" t="str">
        <f>'Rules-Platform'!V14</f>
        <v>n</v>
      </c>
      <c r="L13" s="15" t="str">
        <f>'Rules-Platform'!W14</f>
        <v>n</v>
      </c>
      <c r="M13" t="str">
        <f>'Rules-Platform'!X14</f>
        <v>n</v>
      </c>
      <c r="N13" t="str">
        <f>'Rules-Platform'!Y14</f>
        <v>n</v>
      </c>
      <c r="O13" t="str">
        <f>'Rules-Platform'!Z14</f>
        <v>n</v>
      </c>
      <c r="P13" t="str">
        <f>'Rules-Platform'!AA14</f>
        <v>n</v>
      </c>
    </row>
    <row r="14" spans="1:16">
      <c r="A14">
        <f>'Rules-Platform'!C15</f>
        <v>479</v>
      </c>
      <c r="B14" t="str">
        <f>'Rules-Platform'!D15</f>
        <v>AT-FS980M/28</v>
      </c>
      <c r="D14" t="str">
        <f>'Rules-Platform'!O15</f>
        <v>port1.0.25-1.0.28</v>
      </c>
      <c r="E14" t="str">
        <f>'Rules-Platform'!P15</f>
        <v>1G Uplink</v>
      </c>
      <c r="F14" t="str">
        <f>'Rules-Platform'!Q15</f>
        <v>n</v>
      </c>
      <c r="G14" t="str">
        <f>'Rules-Platform'!R15</f>
        <v>y</v>
      </c>
      <c r="H14" t="str">
        <f>'Rules-Platform'!S15</f>
        <v>y</v>
      </c>
      <c r="I14" t="str">
        <f>'Rules-Platform'!T15</f>
        <v>n</v>
      </c>
      <c r="J14" t="str">
        <f>'Rules-Platform'!U15</f>
        <v>n</v>
      </c>
      <c r="K14" t="str">
        <f>'Rules-Platform'!V15</f>
        <v>n</v>
      </c>
      <c r="L14" s="15" t="str">
        <f>'Rules-Platform'!W15</f>
        <v>n</v>
      </c>
      <c r="M14" t="str">
        <f>'Rules-Platform'!X15</f>
        <v>n</v>
      </c>
      <c r="N14" t="str">
        <f>'Rules-Platform'!Y15</f>
        <v>n</v>
      </c>
      <c r="O14" t="str">
        <f>'Rules-Platform'!Z15</f>
        <v>n</v>
      </c>
      <c r="P14" t="str">
        <f>'Rules-Platform'!AA15</f>
        <v>n</v>
      </c>
    </row>
    <row r="15" spans="1:16">
      <c r="A15">
        <f>'Rules-Platform'!C16</f>
        <v>480</v>
      </c>
      <c r="B15" t="str">
        <f>'Rules-Platform'!D16</f>
        <v>AT-FS980M/28PS</v>
      </c>
      <c r="D15" t="str">
        <f>'Rules-Platform'!O16</f>
        <v>port1.0.25-1.0.28</v>
      </c>
      <c r="E15" t="str">
        <f>'Rules-Platform'!P16</f>
        <v>1G Uplink</v>
      </c>
      <c r="F15" t="str">
        <f>'Rules-Platform'!Q16</f>
        <v>n</v>
      </c>
      <c r="G15" t="str">
        <f>'Rules-Platform'!R16</f>
        <v>y</v>
      </c>
      <c r="H15" t="str">
        <f>'Rules-Platform'!S16</f>
        <v>y</v>
      </c>
      <c r="I15" t="str">
        <f>'Rules-Platform'!T16</f>
        <v>n</v>
      </c>
      <c r="J15" t="str">
        <f>'Rules-Platform'!U16</f>
        <v>n</v>
      </c>
      <c r="K15" t="str">
        <f>'Rules-Platform'!V16</f>
        <v>n</v>
      </c>
      <c r="L15" s="15" t="str">
        <f>'Rules-Platform'!W16</f>
        <v>n</v>
      </c>
      <c r="M15" t="str">
        <f>'Rules-Platform'!X16</f>
        <v>n</v>
      </c>
      <c r="N15" t="str">
        <f>'Rules-Platform'!Y16</f>
        <v>n</v>
      </c>
      <c r="O15" t="str">
        <f>'Rules-Platform'!Z16</f>
        <v>n</v>
      </c>
      <c r="P15" t="str">
        <f>'Rules-Platform'!AA16</f>
        <v>n</v>
      </c>
    </row>
    <row r="16" spans="1:16">
      <c r="A16">
        <f>'Rules-Platform'!C17</f>
        <v>481</v>
      </c>
      <c r="B16" t="str">
        <f>'Rules-Platform'!D17</f>
        <v>AT-FS980M/52</v>
      </c>
      <c r="D16" t="str">
        <f>'Rules-Platform'!O17</f>
        <v>port1.0.49-1.0.52</v>
      </c>
      <c r="E16" t="str">
        <f>'Rules-Platform'!P17</f>
        <v>1G Uplink</v>
      </c>
      <c r="F16" t="str">
        <f>'Rules-Platform'!Q17</f>
        <v>n</v>
      </c>
      <c r="G16" t="str">
        <f>'Rules-Platform'!R17</f>
        <v>y</v>
      </c>
      <c r="H16" t="str">
        <f>'Rules-Platform'!S17</f>
        <v>y</v>
      </c>
      <c r="I16" t="str">
        <f>'Rules-Platform'!T17</f>
        <v>n</v>
      </c>
      <c r="J16" t="str">
        <f>'Rules-Platform'!U17</f>
        <v>n</v>
      </c>
      <c r="K16" t="str">
        <f>'Rules-Platform'!V17</f>
        <v>n</v>
      </c>
      <c r="L16" s="15" t="str">
        <f>'Rules-Platform'!W17</f>
        <v>n</v>
      </c>
      <c r="M16" t="str">
        <f>'Rules-Platform'!X17</f>
        <v>n</v>
      </c>
      <c r="N16" t="str">
        <f>'Rules-Platform'!Y17</f>
        <v>n</v>
      </c>
      <c r="O16" t="str">
        <f>'Rules-Platform'!Z17</f>
        <v>n</v>
      </c>
      <c r="P16" t="str">
        <f>'Rules-Platform'!AA17</f>
        <v>n</v>
      </c>
    </row>
    <row r="17" spans="1:16">
      <c r="A17">
        <f>'Rules-Platform'!C18</f>
        <v>482</v>
      </c>
      <c r="B17" t="str">
        <f>'Rules-Platform'!D18</f>
        <v>AT-FS980M/52PS</v>
      </c>
      <c r="D17" t="str">
        <f>'Rules-Platform'!O18</f>
        <v>port1.0.49-1.0.52</v>
      </c>
      <c r="E17" t="str">
        <f>'Rules-Platform'!P18</f>
        <v>1G Uplink</v>
      </c>
      <c r="F17" t="str">
        <f>'Rules-Platform'!Q18</f>
        <v>n</v>
      </c>
      <c r="G17" t="str">
        <f>'Rules-Platform'!R18</f>
        <v>y</v>
      </c>
      <c r="H17" t="str">
        <f>'Rules-Platform'!S18</f>
        <v>y</v>
      </c>
      <c r="I17" t="str">
        <f>'Rules-Platform'!T18</f>
        <v>n</v>
      </c>
      <c r="J17" t="str">
        <f>'Rules-Platform'!U18</f>
        <v>n</v>
      </c>
      <c r="K17" t="str">
        <f>'Rules-Platform'!V18</f>
        <v>n</v>
      </c>
      <c r="L17" s="15" t="str">
        <f>'Rules-Platform'!W18</f>
        <v>n</v>
      </c>
      <c r="M17" t="str">
        <f>'Rules-Platform'!X18</f>
        <v>n</v>
      </c>
      <c r="N17" t="str">
        <f>'Rules-Platform'!Y18</f>
        <v>n</v>
      </c>
      <c r="O17" t="str">
        <f>'Rules-Platform'!Z18</f>
        <v>n</v>
      </c>
      <c r="P17" t="str">
        <f>'Rules-Platform'!AA18</f>
        <v>n</v>
      </c>
    </row>
    <row r="18" spans="1:16">
      <c r="A18">
        <f>'Rules-Platform'!C19</f>
        <v>572</v>
      </c>
      <c r="B18" t="str">
        <f>'Rules-Platform'!D19</f>
        <v>AT-FS980M/28DP</v>
      </c>
      <c r="D18" t="str">
        <f>'Rules-Platform'!O19</f>
        <v>port1.0.25-1.0.28</v>
      </c>
      <c r="E18" t="str">
        <f>'Rules-Platform'!P19</f>
        <v>1G Uplink</v>
      </c>
      <c r="F18" t="str">
        <f>'Rules-Platform'!Q19</f>
        <v>n</v>
      </c>
      <c r="G18" t="str">
        <f>'Rules-Platform'!R19</f>
        <v>y</v>
      </c>
      <c r="H18" t="str">
        <f>'Rules-Platform'!S19</f>
        <v>y</v>
      </c>
      <c r="I18" t="str">
        <f>'Rules-Platform'!T19</f>
        <v>n</v>
      </c>
      <c r="J18" t="str">
        <f>'Rules-Platform'!U19</f>
        <v>n</v>
      </c>
      <c r="K18" t="str">
        <f>'Rules-Platform'!V19</f>
        <v>n</v>
      </c>
      <c r="L18" s="15" t="str">
        <f>'Rules-Platform'!W19</f>
        <v>n</v>
      </c>
      <c r="M18" t="str">
        <f>'Rules-Platform'!X19</f>
        <v>n</v>
      </c>
      <c r="N18" t="str">
        <f>'Rules-Platform'!Y19</f>
        <v>n</v>
      </c>
      <c r="O18" t="str">
        <f>'Rules-Platform'!Z19</f>
        <v>n</v>
      </c>
      <c r="P18" t="str">
        <f>'Rules-Platform'!AA19</f>
        <v>n</v>
      </c>
    </row>
    <row r="19" spans="1:16">
      <c r="A19">
        <f>'Rules-Platform'!C20</f>
        <v>409</v>
      </c>
      <c r="B19" t="str">
        <f>'Rules-Platform'!D20</f>
        <v>AT-IE200-6GT</v>
      </c>
      <c r="D19" t="str">
        <f>'Rules-Platform'!O20</f>
        <v>port1.0.5</v>
      </c>
      <c r="E19" t="str">
        <f>'Rules-Platform'!P20</f>
        <v>1G SFP Port 5</v>
      </c>
      <c r="F19" t="str">
        <f>'Rules-Platform'!Q20</f>
        <v>n</v>
      </c>
      <c r="G19" t="str">
        <f>'Rules-Platform'!R20</f>
        <v>y</v>
      </c>
      <c r="H19" t="str">
        <f>'Rules-Platform'!S20</f>
        <v>y</v>
      </c>
      <c r="I19" t="str">
        <f>'Rules-Platform'!T20</f>
        <v>n</v>
      </c>
      <c r="J19" t="str">
        <f>'Rules-Platform'!U20</f>
        <v>n</v>
      </c>
      <c r="K19" t="str">
        <f>'Rules-Platform'!V20</f>
        <v>n</v>
      </c>
      <c r="L19" s="15" t="str">
        <f>'Rules-Platform'!W20</f>
        <v>n</v>
      </c>
      <c r="M19" t="str">
        <f>'Rules-Platform'!X20</f>
        <v>n</v>
      </c>
      <c r="N19" t="str">
        <f>'Rules-Platform'!Y20</f>
        <v>n</v>
      </c>
      <c r="O19" t="str">
        <f>'Rules-Platform'!Z20</f>
        <v>n</v>
      </c>
      <c r="P19" t="str">
        <f>'Rules-Platform'!AA20</f>
        <v>n</v>
      </c>
    </row>
    <row r="20" spans="1:16">
      <c r="A20">
        <f>'Rules-Platform'!C21</f>
        <v>409</v>
      </c>
      <c r="B20" t="str">
        <f>'Rules-Platform'!D21</f>
        <v>AT-IE200-6GT</v>
      </c>
      <c r="D20" t="str">
        <f>'Rules-Platform'!O21</f>
        <v>port1.0.6</v>
      </c>
      <c r="E20" t="str">
        <f>'Rules-Platform'!P21</f>
        <v>1G SFP Port 6</v>
      </c>
      <c r="F20" t="str">
        <f>'Rules-Platform'!Q21</f>
        <v>n</v>
      </c>
      <c r="G20" t="str">
        <f>'Rules-Platform'!R21</f>
        <v>y</v>
      </c>
      <c r="H20" t="str">
        <f>'Rules-Platform'!S21</f>
        <v>y</v>
      </c>
      <c r="I20" t="str">
        <f>'Rules-Platform'!T21</f>
        <v>n</v>
      </c>
      <c r="J20" t="str">
        <f>'Rules-Platform'!U21</f>
        <v>n</v>
      </c>
      <c r="K20" t="str">
        <f>'Rules-Platform'!V21</f>
        <v>n</v>
      </c>
      <c r="L20" s="15" t="str">
        <f>'Rules-Platform'!W21</f>
        <v>n</v>
      </c>
      <c r="M20" t="str">
        <f>'Rules-Platform'!X21</f>
        <v>n</v>
      </c>
      <c r="N20" t="str">
        <f>'Rules-Platform'!Y21</f>
        <v>n</v>
      </c>
      <c r="O20" t="str">
        <f>'Rules-Platform'!Z21</f>
        <v>n</v>
      </c>
      <c r="P20" t="str">
        <f>'Rules-Platform'!AA21</f>
        <v>n</v>
      </c>
    </row>
    <row r="21" spans="1:16">
      <c r="A21">
        <f>'Rules-Platform'!C22</f>
        <v>410</v>
      </c>
      <c r="B21" t="str">
        <f>'Rules-Platform'!D22</f>
        <v>AT-IE200-6GP</v>
      </c>
      <c r="D21" t="str">
        <f>'Rules-Platform'!O22</f>
        <v>port1.0.5</v>
      </c>
      <c r="E21" t="str">
        <f>'Rules-Platform'!P22</f>
        <v>1G SFP Port 5</v>
      </c>
      <c r="F21" t="str">
        <f>'Rules-Platform'!Q22</f>
        <v>n</v>
      </c>
      <c r="G21" t="str">
        <f>'Rules-Platform'!R22</f>
        <v>y</v>
      </c>
      <c r="H21" t="str">
        <f>'Rules-Platform'!S22</f>
        <v>y</v>
      </c>
      <c r="I21" t="str">
        <f>'Rules-Platform'!T22</f>
        <v>n</v>
      </c>
      <c r="J21" t="str">
        <f>'Rules-Platform'!U22</f>
        <v>n</v>
      </c>
      <c r="K21" t="str">
        <f>'Rules-Platform'!V22</f>
        <v>n</v>
      </c>
      <c r="L21" s="15" t="str">
        <f>'Rules-Platform'!W22</f>
        <v>n</v>
      </c>
      <c r="M21" t="str">
        <f>'Rules-Platform'!X22</f>
        <v>n</v>
      </c>
      <c r="N21" t="str">
        <f>'Rules-Platform'!Y22</f>
        <v>n</v>
      </c>
      <c r="O21" t="str">
        <f>'Rules-Platform'!Z22</f>
        <v>n</v>
      </c>
      <c r="P21" t="str">
        <f>'Rules-Platform'!AA22</f>
        <v>n</v>
      </c>
    </row>
    <row r="22" spans="1:16">
      <c r="A22">
        <f>'Rules-Platform'!C23</f>
        <v>410</v>
      </c>
      <c r="B22" t="str">
        <f>'Rules-Platform'!D23</f>
        <v>AT-IE200-6GP</v>
      </c>
      <c r="D22" t="str">
        <f>'Rules-Platform'!O23</f>
        <v>port1.0.6</v>
      </c>
      <c r="E22" t="str">
        <f>'Rules-Platform'!P23</f>
        <v>1G SFP Port 6</v>
      </c>
      <c r="F22" t="str">
        <f>'Rules-Platform'!Q23</f>
        <v>n</v>
      </c>
      <c r="G22" t="str">
        <f>'Rules-Platform'!R23</f>
        <v>y</v>
      </c>
      <c r="H22" t="str">
        <f>'Rules-Platform'!S23</f>
        <v>y</v>
      </c>
      <c r="I22" t="str">
        <f>'Rules-Platform'!T23</f>
        <v>n</v>
      </c>
      <c r="J22" t="str">
        <f>'Rules-Platform'!U23</f>
        <v>n</v>
      </c>
      <c r="K22" t="str">
        <f>'Rules-Platform'!V23</f>
        <v>n</v>
      </c>
      <c r="L22" s="15" t="str">
        <f>'Rules-Platform'!W23</f>
        <v>n</v>
      </c>
      <c r="M22" t="str">
        <f>'Rules-Platform'!X23</f>
        <v>n</v>
      </c>
      <c r="N22" t="str">
        <f>'Rules-Platform'!Y23</f>
        <v>n</v>
      </c>
      <c r="O22" t="str">
        <f>'Rules-Platform'!Z23</f>
        <v>n</v>
      </c>
      <c r="P22" t="str">
        <f>'Rules-Platform'!AA23</f>
        <v>n</v>
      </c>
    </row>
    <row r="23" spans="1:16">
      <c r="A23">
        <f>'Rules-Platform'!C24</f>
        <v>428</v>
      </c>
      <c r="B23" t="str">
        <f>'Rules-Platform'!D24</f>
        <v>AT-IE200-6FT</v>
      </c>
      <c r="D23" t="str">
        <f>'Rules-Platform'!O24</f>
        <v>port1.0.5</v>
      </c>
      <c r="E23" t="str">
        <f>'Rules-Platform'!P24</f>
        <v>1G SFP Port 5</v>
      </c>
      <c r="F23" t="str">
        <f>'Rules-Platform'!Q24</f>
        <v>n</v>
      </c>
      <c r="G23" t="str">
        <f>'Rules-Platform'!R24</f>
        <v>y</v>
      </c>
      <c r="H23" t="str">
        <f>'Rules-Platform'!S24</f>
        <v>y</v>
      </c>
      <c r="I23" t="str">
        <f>'Rules-Platform'!T24</f>
        <v>n</v>
      </c>
      <c r="J23" t="str">
        <f>'Rules-Platform'!U24</f>
        <v>n</v>
      </c>
      <c r="K23" t="str">
        <f>'Rules-Platform'!V24</f>
        <v>n</v>
      </c>
      <c r="L23" s="15" t="str">
        <f>'Rules-Platform'!W24</f>
        <v>n</v>
      </c>
      <c r="M23" t="str">
        <f>'Rules-Platform'!X24</f>
        <v>n</v>
      </c>
      <c r="N23" t="str">
        <f>'Rules-Platform'!Y24</f>
        <v>n</v>
      </c>
      <c r="O23" t="str">
        <f>'Rules-Platform'!Z24</f>
        <v>n</v>
      </c>
      <c r="P23" t="str">
        <f>'Rules-Platform'!AA24</f>
        <v>n</v>
      </c>
    </row>
    <row r="24" spans="1:16">
      <c r="A24">
        <f>'Rules-Platform'!C25</f>
        <v>428</v>
      </c>
      <c r="B24" t="str">
        <f>'Rules-Platform'!D25</f>
        <v>AT-IE200-6FT</v>
      </c>
      <c r="D24" t="str">
        <f>'Rules-Platform'!O25</f>
        <v>port1.0.6</v>
      </c>
      <c r="E24" t="str">
        <f>'Rules-Platform'!P25</f>
        <v>1G SFP Port 6</v>
      </c>
      <c r="F24" t="str">
        <f>'Rules-Platform'!Q25</f>
        <v>n</v>
      </c>
      <c r="G24" t="str">
        <f>'Rules-Platform'!R25</f>
        <v>y</v>
      </c>
      <c r="H24" t="str">
        <f>'Rules-Platform'!S25</f>
        <v>y</v>
      </c>
      <c r="I24" t="str">
        <f>'Rules-Platform'!T25</f>
        <v>n</v>
      </c>
      <c r="J24" t="str">
        <f>'Rules-Platform'!U25</f>
        <v>n</v>
      </c>
      <c r="K24" t="str">
        <f>'Rules-Platform'!V25</f>
        <v>n</v>
      </c>
      <c r="L24" s="15" t="str">
        <f>'Rules-Platform'!W25</f>
        <v>n</v>
      </c>
      <c r="M24" t="str">
        <f>'Rules-Platform'!X25</f>
        <v>n</v>
      </c>
      <c r="N24" t="str">
        <f>'Rules-Platform'!Y25</f>
        <v>n</v>
      </c>
      <c r="O24" t="str">
        <f>'Rules-Platform'!Z25</f>
        <v>n</v>
      </c>
      <c r="P24" t="str">
        <f>'Rules-Platform'!AA25</f>
        <v>n</v>
      </c>
    </row>
    <row r="25" spans="1:16">
      <c r="A25">
        <f>'Rules-Platform'!C26</f>
        <v>429</v>
      </c>
      <c r="B25" t="str">
        <f>'Rules-Platform'!D26</f>
        <v>AT-IE200-6FP</v>
      </c>
      <c r="D25" t="str">
        <f>'Rules-Platform'!O26</f>
        <v>port1.0.5</v>
      </c>
      <c r="E25" t="str">
        <f>'Rules-Platform'!P26</f>
        <v>1G SFP Port 5</v>
      </c>
      <c r="F25" t="str">
        <f>'Rules-Platform'!Q26</f>
        <v>n</v>
      </c>
      <c r="G25" t="str">
        <f>'Rules-Platform'!R26</f>
        <v>y</v>
      </c>
      <c r="H25" t="str">
        <f>'Rules-Platform'!S26</f>
        <v>y</v>
      </c>
      <c r="I25" t="str">
        <f>'Rules-Platform'!T26</f>
        <v>n</v>
      </c>
      <c r="J25" t="str">
        <f>'Rules-Platform'!U26</f>
        <v>n</v>
      </c>
      <c r="K25" t="str">
        <f>'Rules-Platform'!V26</f>
        <v>n</v>
      </c>
      <c r="L25" s="15" t="str">
        <f>'Rules-Platform'!W26</f>
        <v>n</v>
      </c>
      <c r="M25" t="str">
        <f>'Rules-Platform'!X26</f>
        <v>n</v>
      </c>
      <c r="N25" t="str">
        <f>'Rules-Platform'!Y26</f>
        <v>n</v>
      </c>
      <c r="O25" t="str">
        <f>'Rules-Platform'!Z26</f>
        <v>n</v>
      </c>
      <c r="P25" t="str">
        <f>'Rules-Platform'!AA26</f>
        <v>n</v>
      </c>
    </row>
    <row r="26" spans="1:16">
      <c r="A26">
        <f>'Rules-Platform'!C27</f>
        <v>429</v>
      </c>
      <c r="B26" t="str">
        <f>'Rules-Platform'!D27</f>
        <v>AT-IE200-6FP</v>
      </c>
      <c r="D26" t="str">
        <f>'Rules-Platform'!O27</f>
        <v>port1.0.6</v>
      </c>
      <c r="E26" t="str">
        <f>'Rules-Platform'!P27</f>
        <v>1G SFP Port 6</v>
      </c>
      <c r="F26" t="str">
        <f>'Rules-Platform'!Q27</f>
        <v>n</v>
      </c>
      <c r="G26" t="str">
        <f>'Rules-Platform'!R27</f>
        <v>y</v>
      </c>
      <c r="H26" t="str">
        <f>'Rules-Platform'!S27</f>
        <v>y</v>
      </c>
      <c r="I26" t="str">
        <f>'Rules-Platform'!T27</f>
        <v>n</v>
      </c>
      <c r="J26" t="str">
        <f>'Rules-Platform'!U27</f>
        <v>n</v>
      </c>
      <c r="K26" t="str">
        <f>'Rules-Platform'!V27</f>
        <v>n</v>
      </c>
      <c r="L26" s="15" t="str">
        <f>'Rules-Platform'!W27</f>
        <v>n</v>
      </c>
      <c r="M26" t="str">
        <f>'Rules-Platform'!X27</f>
        <v>n</v>
      </c>
      <c r="N26" t="str">
        <f>'Rules-Platform'!Y27</f>
        <v>n</v>
      </c>
      <c r="O26" t="str">
        <f>'Rules-Platform'!Z27</f>
        <v>n</v>
      </c>
      <c r="P26" t="str">
        <f>'Rules-Platform'!AA27</f>
        <v>n</v>
      </c>
    </row>
    <row r="27" spans="1:16">
      <c r="A27">
        <f>'Rules-Platform'!C28</f>
        <v>316</v>
      </c>
      <c r="B27" t="str">
        <f>'Rules-Platform'!D28</f>
        <v>AT-SBx81CFC400</v>
      </c>
      <c r="D27" t="str">
        <f>'Rules-Platform'!O28</f>
        <v>N/A</v>
      </c>
      <c r="E27" t="str">
        <f>'Rules-Platform'!P28</f>
        <v>-</v>
      </c>
      <c r="F27" t="str">
        <f>'Rules-Platform'!Q28</f>
        <v>n</v>
      </c>
      <c r="G27" t="str">
        <f>'Rules-Platform'!R28</f>
        <v>n</v>
      </c>
      <c r="H27" t="str">
        <f>'Rules-Platform'!S28</f>
        <v>n</v>
      </c>
      <c r="I27" t="str">
        <f>'Rules-Platform'!T28</f>
        <v>n</v>
      </c>
      <c r="J27" t="str">
        <f>'Rules-Platform'!U28</f>
        <v>n</v>
      </c>
      <c r="K27" t="str">
        <f>'Rules-Platform'!V28</f>
        <v>n</v>
      </c>
      <c r="L27" s="15" t="str">
        <f>'Rules-Platform'!W28</f>
        <v>n</v>
      </c>
      <c r="M27" t="str">
        <f>'Rules-Platform'!X28</f>
        <v>n</v>
      </c>
      <c r="N27" t="str">
        <f>'Rules-Platform'!Y28</f>
        <v>n</v>
      </c>
      <c r="O27" t="str">
        <f>'Rules-Platform'!Z28</f>
        <v>n</v>
      </c>
      <c r="P27" t="str">
        <f>'Rules-Platform'!AA28</f>
        <v>n</v>
      </c>
    </row>
    <row r="28" spans="1:16">
      <c r="A28">
        <f>'Rules-Platform'!C29</f>
        <v>376</v>
      </c>
      <c r="B28" t="str">
        <f>'Rules-Platform'!D29</f>
        <v>AT-SBx81CFC960</v>
      </c>
      <c r="D28" t="str">
        <f>'Rules-Platform'!O29</f>
        <v>port1.{}.1-1.{}.4</v>
      </c>
      <c r="E28" t="str">
        <f>'Rules-Platform'!P29</f>
        <v>10G SFP</v>
      </c>
      <c r="F28" t="str">
        <f>'Rules-Platform'!Q29</f>
        <v>n</v>
      </c>
      <c r="G28" t="str">
        <f>'Rules-Platform'!R29</f>
        <v>n</v>
      </c>
      <c r="H28" t="str">
        <f>'Rules-Platform'!S29</f>
        <v>n</v>
      </c>
      <c r="I28" t="str">
        <f>'Rules-Platform'!T29</f>
        <v>n</v>
      </c>
      <c r="J28" t="str">
        <f>'Rules-Platform'!U29</f>
        <v>n</v>
      </c>
      <c r="K28" t="str">
        <f>'Rules-Platform'!V29</f>
        <v>y</v>
      </c>
      <c r="L28" s="15" t="str">
        <f>'Rules-Platform'!W29</f>
        <v>n</v>
      </c>
      <c r="M28" t="str">
        <f>'Rules-Platform'!X29</f>
        <v>n</v>
      </c>
      <c r="N28" t="str">
        <f>'Rules-Platform'!Y29</f>
        <v>n</v>
      </c>
      <c r="O28" t="str">
        <f>'Rules-Platform'!Z29</f>
        <v>n</v>
      </c>
      <c r="P28" t="str">
        <f>'Rules-Platform'!AA29</f>
        <v>n</v>
      </c>
    </row>
    <row r="29" spans="1:16">
      <c r="A29">
        <f>'Rules-Platform'!C30</f>
        <v>379</v>
      </c>
      <c r="B29" t="str">
        <f>'Rules-Platform'!D30</f>
        <v>AT-SBx81CFC960</v>
      </c>
      <c r="D29" t="str">
        <f>'Rules-Platform'!O30</f>
        <v>port1.{}.1-1.{}.4</v>
      </c>
      <c r="E29" t="str">
        <f>'Rules-Platform'!P30</f>
        <v>10G SFP</v>
      </c>
      <c r="F29" t="str">
        <f>'Rules-Platform'!Q30</f>
        <v>n</v>
      </c>
      <c r="G29" t="str">
        <f>'Rules-Platform'!R30</f>
        <v>n</v>
      </c>
      <c r="H29" t="str">
        <f>'Rules-Platform'!S30</f>
        <v>y</v>
      </c>
      <c r="I29" t="str">
        <f>'Rules-Platform'!T30</f>
        <v>n</v>
      </c>
      <c r="J29" t="str">
        <f>'Rules-Platform'!U30</f>
        <v>n</v>
      </c>
      <c r="K29" t="str">
        <f>'Rules-Platform'!V30</f>
        <v>y</v>
      </c>
      <c r="L29" s="15" t="str">
        <f>'Rules-Platform'!W30</f>
        <v>n</v>
      </c>
      <c r="M29" t="str">
        <f>'Rules-Platform'!X30</f>
        <v>n</v>
      </c>
      <c r="N29" t="str">
        <f>'Rules-Platform'!Y30</f>
        <v>n</v>
      </c>
      <c r="O29" t="str">
        <f>'Rules-Platform'!Z30</f>
        <v>n</v>
      </c>
      <c r="P29" t="str">
        <f>'Rules-Platform'!AA30</f>
        <v>n</v>
      </c>
    </row>
    <row r="30" spans="1:16">
      <c r="A30">
        <f>'Rules-Platform'!C31</f>
        <v>587</v>
      </c>
      <c r="B30" t="str">
        <f>'Rules-Platform'!D31</f>
        <v>AT-SBx81CFC960 v2</v>
      </c>
      <c r="D30" t="str">
        <f>'Rules-Platform'!O31</f>
        <v>port1.{}.1-1.{}.4</v>
      </c>
      <c r="E30" t="str">
        <f>'Rules-Platform'!P31</f>
        <v>10G SFP</v>
      </c>
      <c r="F30" t="str">
        <f>'Rules-Platform'!Q31</f>
        <v>n</v>
      </c>
      <c r="G30" t="str">
        <f>'Rules-Platform'!R31</f>
        <v>n</v>
      </c>
      <c r="H30" t="str">
        <f>'Rules-Platform'!S31</f>
        <v>y</v>
      </c>
      <c r="I30" t="str">
        <f>'Rules-Platform'!T31</f>
        <v>n</v>
      </c>
      <c r="J30" t="str">
        <f>'Rules-Platform'!U31</f>
        <v>n</v>
      </c>
      <c r="K30" t="str">
        <f>'Rules-Platform'!V31</f>
        <v>y</v>
      </c>
      <c r="L30" s="15" t="str">
        <f>'Rules-Platform'!W31</f>
        <v>n</v>
      </c>
      <c r="M30" t="str">
        <f>'Rules-Platform'!X31</f>
        <v>n</v>
      </c>
      <c r="N30" t="str">
        <f>'Rules-Platform'!Y31</f>
        <v>n</v>
      </c>
      <c r="O30" t="str">
        <f>'Rules-Platform'!Z31</f>
        <v>n</v>
      </c>
      <c r="P30" t="str">
        <f>'Rules-Platform'!AA31</f>
        <v>n</v>
      </c>
    </row>
    <row r="31" spans="1:16">
      <c r="A31">
        <f>'Rules-Platform'!C32</f>
        <v>317</v>
      </c>
      <c r="B31" t="str">
        <f>'Rules-Platform'!D32</f>
        <v>AT-SBx81GP24</v>
      </c>
      <c r="D31" t="str">
        <f>'Rules-Platform'!O32</f>
        <v>N/A</v>
      </c>
      <c r="E31" t="str">
        <f>'Rules-Platform'!P32</f>
        <v>-</v>
      </c>
      <c r="F31" t="str">
        <f>'Rules-Platform'!Q32</f>
        <v>n</v>
      </c>
      <c r="G31" t="str">
        <f>'Rules-Platform'!R32</f>
        <v>n</v>
      </c>
      <c r="H31" t="str">
        <f>'Rules-Platform'!S32</f>
        <v>n</v>
      </c>
      <c r="I31" t="str">
        <f>'Rules-Platform'!T32</f>
        <v>n</v>
      </c>
      <c r="J31" t="str">
        <f>'Rules-Platform'!U32</f>
        <v>n</v>
      </c>
      <c r="K31" t="str">
        <f>'Rules-Platform'!V32</f>
        <v>n</v>
      </c>
      <c r="L31" s="15" t="str">
        <f>'Rules-Platform'!W32</f>
        <v>n</v>
      </c>
      <c r="M31" t="str">
        <f>'Rules-Platform'!X32</f>
        <v>n</v>
      </c>
      <c r="N31" t="str">
        <f>'Rules-Platform'!Y32</f>
        <v>n</v>
      </c>
      <c r="O31" t="str">
        <f>'Rules-Platform'!Z32</f>
        <v>n</v>
      </c>
      <c r="P31" t="str">
        <f>'Rules-Platform'!AA32</f>
        <v>n</v>
      </c>
    </row>
    <row r="32" spans="1:16">
      <c r="A32">
        <f>'Rules-Platform'!C33</f>
        <v>318</v>
      </c>
      <c r="B32" t="str">
        <f>'Rules-Platform'!D33</f>
        <v>AT-SBx81XZ4</v>
      </c>
      <c r="D32" t="str">
        <f>'Rules-Platform'!O33</f>
        <v>N/A</v>
      </c>
      <c r="E32" t="str">
        <f>'Rules-Platform'!P33</f>
        <v>-</v>
      </c>
      <c r="F32" t="str">
        <f>'Rules-Platform'!Q33</f>
        <v>n</v>
      </c>
      <c r="G32" t="str">
        <f>'Rules-Platform'!R33</f>
        <v>n</v>
      </c>
      <c r="H32" t="str">
        <f>'Rules-Platform'!S33</f>
        <v>n</v>
      </c>
      <c r="I32" t="str">
        <f>'Rules-Platform'!T33</f>
        <v>n</v>
      </c>
      <c r="J32" t="str">
        <f>'Rules-Platform'!U33</f>
        <v>n</v>
      </c>
      <c r="K32" t="str">
        <f>'Rules-Platform'!V33</f>
        <v>n</v>
      </c>
      <c r="L32" s="15" t="str">
        <f>'Rules-Platform'!W33</f>
        <v>n</v>
      </c>
      <c r="M32" t="str">
        <f>'Rules-Platform'!X33</f>
        <v>n</v>
      </c>
      <c r="N32" t="str">
        <f>'Rules-Platform'!Y33</f>
        <v>n</v>
      </c>
      <c r="O32" t="str">
        <f>'Rules-Platform'!Z33</f>
        <v>n</v>
      </c>
      <c r="P32" t="str">
        <f>'Rules-Platform'!AA33</f>
        <v>n</v>
      </c>
    </row>
    <row r="33" spans="1:16">
      <c r="A33">
        <f>'Rules-Platform'!C34</f>
        <v>351</v>
      </c>
      <c r="B33" t="str">
        <f>'Rules-Platform'!D34</f>
        <v>AT-SBx81GT24</v>
      </c>
      <c r="D33" t="str">
        <f>'Rules-Platform'!O34</f>
        <v>N/A</v>
      </c>
      <c r="E33" t="str">
        <f>'Rules-Platform'!P34</f>
        <v>-</v>
      </c>
      <c r="F33" t="str">
        <f>'Rules-Platform'!Q34</f>
        <v>n</v>
      </c>
      <c r="G33" t="str">
        <f>'Rules-Platform'!R34</f>
        <v>n</v>
      </c>
      <c r="H33" t="str">
        <f>'Rules-Platform'!S34</f>
        <v>n</v>
      </c>
      <c r="I33" t="str">
        <f>'Rules-Platform'!T34</f>
        <v>n</v>
      </c>
      <c r="J33" t="str">
        <f>'Rules-Platform'!U34</f>
        <v>n</v>
      </c>
      <c r="K33" t="str">
        <f>'Rules-Platform'!V34</f>
        <v>n</v>
      </c>
      <c r="L33" s="15" t="str">
        <f>'Rules-Platform'!W34</f>
        <v>n</v>
      </c>
      <c r="M33" t="str">
        <f>'Rules-Platform'!X34</f>
        <v>n</v>
      </c>
      <c r="N33" t="str">
        <f>'Rules-Platform'!Y34</f>
        <v>n</v>
      </c>
      <c r="O33" t="str">
        <f>'Rules-Platform'!Z34</f>
        <v>n</v>
      </c>
      <c r="P33" t="str">
        <f>'Rules-Platform'!AA34</f>
        <v>n</v>
      </c>
    </row>
    <row r="34" spans="1:16">
      <c r="A34">
        <f>'Rules-Platform'!C35</f>
        <v>352</v>
      </c>
      <c r="B34" t="str">
        <f>'Rules-Platform'!D35</f>
        <v>AT-SBx81GS24a</v>
      </c>
      <c r="D34" t="str">
        <f>'Rules-Platform'!O35</f>
        <v>port1.{}.1-1.{}.24</v>
      </c>
      <c r="E34" t="str">
        <f>'Rules-Platform'!P35</f>
        <v>1G SFP</v>
      </c>
      <c r="F34" t="str">
        <f>'Rules-Platform'!Q35</f>
        <v>n</v>
      </c>
      <c r="G34" t="str">
        <f>'Rules-Platform'!R35</f>
        <v>y</v>
      </c>
      <c r="H34" t="str">
        <f>'Rules-Platform'!S35</f>
        <v>y</v>
      </c>
      <c r="I34" t="str">
        <f>'Rules-Platform'!T35</f>
        <v>n</v>
      </c>
      <c r="J34" t="str">
        <f>'Rules-Platform'!U35</f>
        <v>n</v>
      </c>
      <c r="K34" t="str">
        <f>'Rules-Platform'!V35</f>
        <v>n</v>
      </c>
      <c r="L34" s="15" t="str">
        <f>'Rules-Platform'!W35</f>
        <v>n</v>
      </c>
      <c r="M34" t="str">
        <f>'Rules-Platform'!X35</f>
        <v>n</v>
      </c>
      <c r="N34" t="str">
        <f>'Rules-Platform'!Y35</f>
        <v>n</v>
      </c>
      <c r="O34" t="str">
        <f>'Rules-Platform'!Z35</f>
        <v>n</v>
      </c>
      <c r="P34" t="str">
        <f>'Rules-Platform'!AA35</f>
        <v>n</v>
      </c>
    </row>
    <row r="35" spans="1:16">
      <c r="A35">
        <f>'Rules-Platform'!C36</f>
        <v>353</v>
      </c>
      <c r="B35" t="str">
        <f>'Rules-Platform'!D36</f>
        <v>AT-SBx81XS6</v>
      </c>
      <c r="D35" t="str">
        <f>'Rules-Platform'!O36</f>
        <v>port1.{}.1-1.{}.6</v>
      </c>
      <c r="E35" t="str">
        <f>'Rules-Platform'!P36</f>
        <v>10G SFP</v>
      </c>
      <c r="F35" t="str">
        <f>'Rules-Platform'!Q36</f>
        <v>n</v>
      </c>
      <c r="G35" t="str">
        <f>'Rules-Platform'!R36</f>
        <v>n</v>
      </c>
      <c r="H35" t="str">
        <f>'Rules-Platform'!S36</f>
        <v>n</v>
      </c>
      <c r="I35" t="str">
        <f>'Rules-Platform'!T36</f>
        <v>n</v>
      </c>
      <c r="J35" t="str">
        <f>'Rules-Platform'!U36</f>
        <v>n</v>
      </c>
      <c r="K35" t="str">
        <f>'Rules-Platform'!V36</f>
        <v>y</v>
      </c>
      <c r="L35" s="15" t="str">
        <f>'Rules-Platform'!W36</f>
        <v>n</v>
      </c>
      <c r="M35" t="str">
        <f>'Rules-Platform'!X36</f>
        <v>n</v>
      </c>
      <c r="N35" t="str">
        <f>'Rules-Platform'!Y36</f>
        <v>n</v>
      </c>
      <c r="O35" t="str">
        <f>'Rules-Platform'!Z36</f>
        <v>n</v>
      </c>
      <c r="P35" t="str">
        <f>'Rules-Platform'!AA36</f>
        <v>n</v>
      </c>
    </row>
    <row r="36" spans="1:16">
      <c r="A36">
        <f>'Rules-Platform'!C37</f>
        <v>380</v>
      </c>
      <c r="B36" t="str">
        <f>'Rules-Platform'!D37</f>
        <v>AT-SBx81GT40</v>
      </c>
      <c r="D36" t="str">
        <f>'Rules-Platform'!O37</f>
        <v>N/A</v>
      </c>
      <c r="E36" t="str">
        <f>'Rules-Platform'!P37</f>
        <v>-</v>
      </c>
      <c r="F36" t="str">
        <f>'Rules-Platform'!Q37</f>
        <v>n</v>
      </c>
      <c r="G36" t="str">
        <f>'Rules-Platform'!R37</f>
        <v>n</v>
      </c>
      <c r="H36" t="str">
        <f>'Rules-Platform'!S37</f>
        <v>n</v>
      </c>
      <c r="I36" t="str">
        <f>'Rules-Platform'!T37</f>
        <v>n</v>
      </c>
      <c r="J36" t="str">
        <f>'Rules-Platform'!U37</f>
        <v>n</v>
      </c>
      <c r="K36" t="str">
        <f>'Rules-Platform'!V37</f>
        <v>n</v>
      </c>
      <c r="L36" s="15" t="str">
        <f>'Rules-Platform'!W37</f>
        <v>n</v>
      </c>
      <c r="M36" t="str">
        <f>'Rules-Platform'!X37</f>
        <v>n</v>
      </c>
      <c r="N36" t="str">
        <f>'Rules-Platform'!Y37</f>
        <v>n</v>
      </c>
      <c r="O36" t="str">
        <f>'Rules-Platform'!Z37</f>
        <v>n</v>
      </c>
      <c r="P36" t="str">
        <f>'Rules-Platform'!AA37</f>
        <v>n</v>
      </c>
    </row>
    <row r="37" spans="1:16">
      <c r="A37">
        <f>'Rules-Platform'!C38</f>
        <v>381</v>
      </c>
      <c r="B37" t="str">
        <f>'Rules-Platform'!D38</f>
        <v>AT-SBx81XS16</v>
      </c>
      <c r="D37" t="str">
        <f>'Rules-Platform'!O38</f>
        <v>port1.{}.1-1.{}.16</v>
      </c>
      <c r="E37" t="str">
        <f>'Rules-Platform'!P38</f>
        <v>10G SFP</v>
      </c>
      <c r="F37" t="str">
        <f>'Rules-Platform'!Q38</f>
        <v>n</v>
      </c>
      <c r="G37" t="str">
        <f>'Rules-Platform'!R38</f>
        <v>n</v>
      </c>
      <c r="H37" t="str">
        <f>'Rules-Platform'!S38</f>
        <v>n</v>
      </c>
      <c r="I37" t="str">
        <f>'Rules-Platform'!T38</f>
        <v>n</v>
      </c>
      <c r="J37" t="str">
        <f>'Rules-Platform'!U38</f>
        <v>n</v>
      </c>
      <c r="K37" t="str">
        <f>'Rules-Platform'!V38</f>
        <v>y</v>
      </c>
      <c r="L37" s="15" t="str">
        <f>'Rules-Platform'!W38</f>
        <v>n</v>
      </c>
      <c r="M37" t="str">
        <f>'Rules-Platform'!X38</f>
        <v>n</v>
      </c>
      <c r="N37" t="str">
        <f>'Rules-Platform'!Y38</f>
        <v>n</v>
      </c>
      <c r="O37" t="str">
        <f>'Rules-Platform'!Z38</f>
        <v>n</v>
      </c>
      <c r="P37" t="str">
        <f>'Rules-Platform'!AA38</f>
        <v>n</v>
      </c>
    </row>
    <row r="38" spans="1:16">
      <c r="A38">
        <f>'Rules-Platform'!C39</f>
        <v>561</v>
      </c>
      <c r="B38" t="str">
        <f>'Rules-Platform'!D39</f>
        <v>AT-SBx81GC40</v>
      </c>
      <c r="D38" t="str">
        <f>'Rules-Platform'!O39</f>
        <v>port1.{}.1-1.{}.40</v>
      </c>
      <c r="E38" t="str">
        <f>'Rules-Platform'!P39</f>
        <v>1G CSFP</v>
      </c>
      <c r="F38" t="str">
        <f>'Rules-Platform'!Q39</f>
        <v>n</v>
      </c>
      <c r="G38" t="str">
        <f>'Rules-Platform'!R39</f>
        <v>n</v>
      </c>
      <c r="H38" t="str">
        <f>'Rules-Platform'!S39</f>
        <v>y</v>
      </c>
      <c r="I38" t="str">
        <f>'Rules-Platform'!T39</f>
        <v>n</v>
      </c>
      <c r="J38" t="str">
        <f>'Rules-Platform'!U39</f>
        <v>n</v>
      </c>
      <c r="K38" t="str">
        <f>'Rules-Platform'!V39</f>
        <v>n</v>
      </c>
      <c r="L38" s="15" t="str">
        <f>'Rules-Platform'!W39</f>
        <v>n</v>
      </c>
      <c r="M38" t="str">
        <f>'Rules-Platform'!X39</f>
        <v>n</v>
      </c>
      <c r="N38" t="str">
        <f>'Rules-Platform'!Y39</f>
        <v>n</v>
      </c>
      <c r="O38" t="str">
        <f>'Rules-Platform'!Z39</f>
        <v>n</v>
      </c>
      <c r="P38" t="str">
        <f>'Rules-Platform'!AA39</f>
        <v>n</v>
      </c>
    </row>
    <row r="39" spans="1:16">
      <c r="A39">
        <f>'Rules-Platform'!C40</f>
        <v>580</v>
      </c>
      <c r="B39" t="str">
        <f>'Rules-Platform'!D40</f>
        <v>AT-SBx81GP24 v2</v>
      </c>
      <c r="D39" t="str">
        <f>'Rules-Platform'!O40</f>
        <v>N/A</v>
      </c>
      <c r="E39" t="str">
        <f>'Rules-Platform'!P40</f>
        <v>-</v>
      </c>
      <c r="F39" t="str">
        <f>'Rules-Platform'!Q40</f>
        <v>n</v>
      </c>
      <c r="G39" t="str">
        <f>'Rules-Platform'!R40</f>
        <v>n</v>
      </c>
      <c r="H39" t="str">
        <f>'Rules-Platform'!S40</f>
        <v>n</v>
      </c>
      <c r="I39" t="str">
        <f>'Rules-Platform'!T40</f>
        <v>n</v>
      </c>
      <c r="J39" t="str">
        <f>'Rules-Platform'!U40</f>
        <v>n</v>
      </c>
      <c r="K39" t="str">
        <f>'Rules-Platform'!V40</f>
        <v>n</v>
      </c>
      <c r="L39" s="15" t="str">
        <f>'Rules-Platform'!W40</f>
        <v>n</v>
      </c>
      <c r="M39" t="str">
        <f>'Rules-Platform'!X40</f>
        <v>n</v>
      </c>
      <c r="N39" t="str">
        <f>'Rules-Platform'!Y40</f>
        <v>n</v>
      </c>
      <c r="O39" t="str">
        <f>'Rules-Platform'!Z40</f>
        <v>n</v>
      </c>
      <c r="P39" t="str">
        <f>'Rules-Platform'!AA40</f>
        <v>n</v>
      </c>
    </row>
    <row r="40" spans="1:16">
      <c r="A40">
        <f>'Rules-Platform'!C41</f>
        <v>446</v>
      </c>
      <c r="B40" t="str">
        <f>'Rules-Platform'!D41</f>
        <v>AT-SBx81XLEM</v>
      </c>
      <c r="D40" t="str">
        <f>'Rules-Platform'!O41</f>
        <v>port1.{}.1-1.{}.12</v>
      </c>
      <c r="E40" t="str">
        <f>'Rules-Platform'!P41</f>
        <v>1G Base</v>
      </c>
      <c r="F40" t="str">
        <f>'Rules-Platform'!Q41</f>
        <v>n</v>
      </c>
      <c r="G40" t="str">
        <f>'Rules-Platform'!R41</f>
        <v>n</v>
      </c>
      <c r="H40" t="str">
        <f>'Rules-Platform'!S41</f>
        <v>y</v>
      </c>
      <c r="I40" t="str">
        <f>'Rules-Platform'!T41</f>
        <v>n</v>
      </c>
      <c r="J40" t="str">
        <f>'Rules-Platform'!U41</f>
        <v>n</v>
      </c>
      <c r="K40" t="str">
        <f>'Rules-Platform'!V41</f>
        <v>n</v>
      </c>
      <c r="L40" s="15" t="str">
        <f>'Rules-Platform'!W41</f>
        <v>n</v>
      </c>
      <c r="M40" t="str">
        <f>'Rules-Platform'!X41</f>
        <v>n</v>
      </c>
      <c r="N40" t="str">
        <f>'Rules-Platform'!Y41</f>
        <v>n</v>
      </c>
      <c r="O40" t="str">
        <f>'Rules-Platform'!Z41</f>
        <v>n</v>
      </c>
      <c r="P40" t="str">
        <f>'Rules-Platform'!AA41</f>
        <v>n</v>
      </c>
    </row>
    <row r="41" spans="1:16">
      <c r="A41">
        <f>'Rules-Platform'!C42</f>
        <v>447</v>
      </c>
      <c r="B41" t="str">
        <f>'Rules-Platform'!D42</f>
        <v>AT-SBx81XLEM/XS8</v>
      </c>
      <c r="D41" t="str">
        <f>'Rules-Platform'!O42</f>
        <v>port1.{}.13-1.{}.20</v>
      </c>
      <c r="E41" t="str">
        <f>'Rules-Platform'!P42</f>
        <v>10G SFP</v>
      </c>
      <c r="F41" t="str">
        <f>'Rules-Platform'!Q42</f>
        <v>n</v>
      </c>
      <c r="G41" t="str">
        <f>'Rules-Platform'!R42</f>
        <v>n</v>
      </c>
      <c r="H41" t="str">
        <f>'Rules-Platform'!S42</f>
        <v>y</v>
      </c>
      <c r="I41" t="str">
        <f>'Rules-Platform'!T42</f>
        <v>n</v>
      </c>
      <c r="J41" t="str">
        <f>'Rules-Platform'!U42</f>
        <v>n</v>
      </c>
      <c r="K41" t="str">
        <f>'Rules-Platform'!V42</f>
        <v>y</v>
      </c>
      <c r="L41" s="15" t="str">
        <f>'Rules-Platform'!W42</f>
        <v>n</v>
      </c>
      <c r="M41" t="str">
        <f>'Rules-Platform'!X42</f>
        <v>n</v>
      </c>
      <c r="N41" t="str">
        <f>'Rules-Platform'!Y42</f>
        <v>n</v>
      </c>
      <c r="O41" t="str">
        <f>'Rules-Platform'!Z42</f>
        <v>n</v>
      </c>
      <c r="P41" t="str">
        <f>'Rules-Platform'!AA42</f>
        <v>n</v>
      </c>
    </row>
    <row r="42" spans="1:16">
      <c r="A42">
        <f>'Rules-Platform'!C43</f>
        <v>448</v>
      </c>
      <c r="B42" t="str">
        <f>'Rules-Platform'!D43</f>
        <v>AT-SBx81XLEM/Q2</v>
      </c>
      <c r="D42" t="str">
        <f>'Rules-Platform'!O43</f>
        <v>port1.{}.13,port1.{}.17</v>
      </c>
      <c r="E42" t="str">
        <f>'Rules-Platform'!P43</f>
        <v>40G SFP</v>
      </c>
      <c r="F42" t="str">
        <f>'Rules-Platform'!Q43</f>
        <v>n</v>
      </c>
      <c r="G42" t="str">
        <f>'Rules-Platform'!R43</f>
        <v>n</v>
      </c>
      <c r="H42" t="str">
        <f>'Rules-Platform'!S43</f>
        <v>n</v>
      </c>
      <c r="I42" t="str">
        <f>'Rules-Platform'!T43</f>
        <v>n</v>
      </c>
      <c r="J42" t="str">
        <f>'Rules-Platform'!U43</f>
        <v>n</v>
      </c>
      <c r="K42" t="str">
        <f>'Rules-Platform'!V43</f>
        <v>n</v>
      </c>
      <c r="L42" s="15" t="str">
        <f>'Rules-Platform'!W43</f>
        <v>n</v>
      </c>
      <c r="M42" t="str">
        <f>'Rules-Platform'!X43</f>
        <v>y</v>
      </c>
      <c r="N42" t="str">
        <f>'Rules-Platform'!Y43</f>
        <v>n</v>
      </c>
      <c r="O42" t="str">
        <f>'Rules-Platform'!Z43</f>
        <v>n</v>
      </c>
      <c r="P42" t="str">
        <f>'Rules-Platform'!AA43</f>
        <v>n</v>
      </c>
    </row>
    <row r="43" spans="1:16">
      <c r="A43">
        <f>'Rules-Platform'!C44</f>
        <v>449</v>
      </c>
      <c r="B43" t="str">
        <f>'Rules-Platform'!D44</f>
        <v>AT-SBx81XLEM/XT4</v>
      </c>
      <c r="D43" t="str">
        <f>'Rules-Platform'!O44</f>
        <v>N/A</v>
      </c>
      <c r="E43" t="str">
        <f>'Rules-Platform'!P44</f>
        <v>-</v>
      </c>
      <c r="F43" t="str">
        <f>'Rules-Platform'!Q44</f>
        <v>n</v>
      </c>
      <c r="G43" t="str">
        <f>'Rules-Platform'!R44</f>
        <v>n</v>
      </c>
      <c r="H43" t="str">
        <f>'Rules-Platform'!S44</f>
        <v>n</v>
      </c>
      <c r="I43" t="str">
        <f>'Rules-Platform'!T44</f>
        <v>n</v>
      </c>
      <c r="J43" t="str">
        <f>'Rules-Platform'!U44</f>
        <v>n</v>
      </c>
      <c r="K43" t="str">
        <f>'Rules-Platform'!V44</f>
        <v>n</v>
      </c>
      <c r="L43" s="15" t="str">
        <f>'Rules-Platform'!W44</f>
        <v>n</v>
      </c>
      <c r="M43" t="str">
        <f>'Rules-Platform'!X44</f>
        <v>n</v>
      </c>
      <c r="N43" t="str">
        <f>'Rules-Platform'!Y44</f>
        <v>n</v>
      </c>
      <c r="O43" t="str">
        <f>'Rules-Platform'!Z44</f>
        <v>n</v>
      </c>
      <c r="P43" t="str">
        <f>'Rules-Platform'!AA44</f>
        <v>n</v>
      </c>
    </row>
    <row r="44" spans="1:16">
      <c r="A44">
        <f>'Rules-Platform'!C45</f>
        <v>450</v>
      </c>
      <c r="B44" t="str">
        <f>'Rules-Platform'!D45</f>
        <v>AT-SBx81XLEM/GT8</v>
      </c>
      <c r="D44" t="str">
        <f>'Rules-Platform'!O45</f>
        <v>N/A</v>
      </c>
      <c r="E44" t="str">
        <f>'Rules-Platform'!P45</f>
        <v>-</v>
      </c>
      <c r="F44" t="str">
        <f>'Rules-Platform'!Q45</f>
        <v>n</v>
      </c>
      <c r="G44" t="str">
        <f>'Rules-Platform'!R45</f>
        <v>n</v>
      </c>
      <c r="H44" t="str">
        <f>'Rules-Platform'!S45</f>
        <v>n</v>
      </c>
      <c r="I44" t="str">
        <f>'Rules-Platform'!T45</f>
        <v>n</v>
      </c>
      <c r="J44" t="str">
        <f>'Rules-Platform'!U45</f>
        <v>n</v>
      </c>
      <c r="K44" t="str">
        <f>'Rules-Platform'!V45</f>
        <v>n</v>
      </c>
      <c r="L44" s="15" t="str">
        <f>'Rules-Platform'!W45</f>
        <v>n</v>
      </c>
      <c r="M44" t="str">
        <f>'Rules-Platform'!X45</f>
        <v>n</v>
      </c>
      <c r="N44" t="str">
        <f>'Rules-Platform'!Y45</f>
        <v>n</v>
      </c>
      <c r="O44" t="str">
        <f>'Rules-Platform'!Z45</f>
        <v>n</v>
      </c>
      <c r="P44" t="str">
        <f>'Rules-Platform'!AA45</f>
        <v>n</v>
      </c>
    </row>
    <row r="45" spans="1:16">
      <c r="A45">
        <f>'Rules-Platform'!C46</f>
        <v>503</v>
      </c>
      <c r="B45" t="str">
        <f>'Rules-Platform'!D46</f>
        <v>AT-SBx81XLEM/GT8</v>
      </c>
      <c r="D45" t="str">
        <f>'Rules-Platform'!O46</f>
        <v>N/A</v>
      </c>
      <c r="E45" t="str">
        <f>'Rules-Platform'!P46</f>
        <v>-</v>
      </c>
      <c r="F45" t="str">
        <f>'Rules-Platform'!Q46</f>
        <v>n</v>
      </c>
      <c r="G45" t="str">
        <f>'Rules-Platform'!R46</f>
        <v>n</v>
      </c>
      <c r="H45" t="str">
        <f>'Rules-Platform'!S46</f>
        <v>n</v>
      </c>
      <c r="I45" t="str">
        <f>'Rules-Platform'!T46</f>
        <v>n</v>
      </c>
      <c r="J45" t="str">
        <f>'Rules-Platform'!U46</f>
        <v>n</v>
      </c>
      <c r="K45" t="str">
        <f>'Rules-Platform'!V46</f>
        <v>n</v>
      </c>
      <c r="L45" s="15" t="str">
        <f>'Rules-Platform'!W46</f>
        <v>n</v>
      </c>
      <c r="M45" t="str">
        <f>'Rules-Platform'!X46</f>
        <v>n</v>
      </c>
      <c r="N45" t="str">
        <f>'Rules-Platform'!Y46</f>
        <v>n</v>
      </c>
      <c r="O45" t="str">
        <f>'Rules-Platform'!Z46</f>
        <v>n</v>
      </c>
      <c r="P45" t="str">
        <f>'Rules-Platform'!AA46</f>
        <v>n</v>
      </c>
    </row>
    <row r="46" spans="1:16">
      <c r="A46">
        <f>'Rules-Platform'!C47</f>
        <v>483</v>
      </c>
      <c r="B46" t="str">
        <f>'Rules-Platform'!D47</f>
        <v>AT-SBx908 GEN2</v>
      </c>
      <c r="D46" t="str">
        <f>'Rules-Platform'!O47</f>
        <v>N/A</v>
      </c>
      <c r="E46" t="str">
        <f>'Rules-Platform'!P47</f>
        <v>-</v>
      </c>
      <c r="F46" t="str">
        <f>'Rules-Platform'!Q47</f>
        <v>n</v>
      </c>
      <c r="G46" t="str">
        <f>'Rules-Platform'!R47</f>
        <v>n</v>
      </c>
      <c r="H46" t="str">
        <f>'Rules-Platform'!S47</f>
        <v>n</v>
      </c>
      <c r="I46" t="str">
        <f>'Rules-Platform'!T47</f>
        <v>n</v>
      </c>
      <c r="J46" t="str">
        <f>'Rules-Platform'!U47</f>
        <v>n</v>
      </c>
      <c r="K46" t="str">
        <f>'Rules-Platform'!V47</f>
        <v>n</v>
      </c>
      <c r="L46" s="15" t="str">
        <f>'Rules-Platform'!W47</f>
        <v>n</v>
      </c>
      <c r="M46" t="str">
        <f>'Rules-Platform'!X47</f>
        <v>n</v>
      </c>
      <c r="N46" t="str">
        <f>'Rules-Platform'!Y47</f>
        <v>n</v>
      </c>
      <c r="O46" t="str">
        <f>'Rules-Platform'!Z47</f>
        <v>n</v>
      </c>
      <c r="P46" t="str">
        <f>'Rules-Platform'!AA47</f>
        <v>n</v>
      </c>
    </row>
    <row r="47" spans="1:16">
      <c r="A47">
        <f>'Rules-Platform'!C48</f>
        <v>486</v>
      </c>
      <c r="B47" t="str">
        <f>'Rules-Platform'!D48</f>
        <v>AT-XEM2-4QS</v>
      </c>
      <c r="D47" t="str">
        <f>'Rules-Platform'!O48</f>
        <v>port1.{}.1-1.{}.13</v>
      </c>
      <c r="E47" t="str">
        <f>'Rules-Platform'!P48</f>
        <v>40G SFP</v>
      </c>
      <c r="F47" t="str">
        <f>'Rules-Platform'!Q48</f>
        <v>n</v>
      </c>
      <c r="G47" t="str">
        <f>'Rules-Platform'!R48</f>
        <v>n</v>
      </c>
      <c r="H47" t="str">
        <f>'Rules-Platform'!S48</f>
        <v>n</v>
      </c>
      <c r="I47" t="str">
        <f>'Rules-Platform'!T48</f>
        <v>n</v>
      </c>
      <c r="J47" t="str">
        <f>'Rules-Platform'!U48</f>
        <v>n</v>
      </c>
      <c r="K47" t="str">
        <f>'Rules-Platform'!V48</f>
        <v>n</v>
      </c>
      <c r="L47" s="15" t="str">
        <f>'Rules-Platform'!W48</f>
        <v>n</v>
      </c>
      <c r="M47" t="str">
        <f>'Rules-Platform'!X48</f>
        <v>y</v>
      </c>
      <c r="N47" t="str">
        <f>'Rules-Platform'!Y48</f>
        <v>n</v>
      </c>
      <c r="O47" t="str">
        <f>'Rules-Platform'!Z48</f>
        <v>n</v>
      </c>
      <c r="P47" t="str">
        <f>'Rules-Platform'!AA48</f>
        <v>n</v>
      </c>
    </row>
    <row r="48" spans="1:16">
      <c r="A48">
        <f>'Rules-Platform'!C49</f>
        <v>487</v>
      </c>
      <c r="B48" t="str">
        <f>'Rules-Platform'!D49</f>
        <v>AT-XEM2-12XS</v>
      </c>
      <c r="D48" t="str">
        <f>'Rules-Platform'!O49</f>
        <v>port1.{}.1-port1.{}.12</v>
      </c>
      <c r="E48" t="str">
        <f>'Rules-Platform'!P49</f>
        <v>10G SFP</v>
      </c>
      <c r="F48" t="str">
        <f>'Rules-Platform'!Q49</f>
        <v>n</v>
      </c>
      <c r="G48" t="str">
        <f>'Rules-Platform'!R49</f>
        <v>n</v>
      </c>
      <c r="H48" t="str">
        <f>'Rules-Platform'!S49</f>
        <v>y</v>
      </c>
      <c r="I48" t="str">
        <f>'Rules-Platform'!T49</f>
        <v>n</v>
      </c>
      <c r="J48" t="str">
        <f>'Rules-Platform'!U49</f>
        <v>n</v>
      </c>
      <c r="K48" t="str">
        <f>'Rules-Platform'!V49</f>
        <v>y</v>
      </c>
      <c r="L48" s="15" t="str">
        <f>'Rules-Platform'!W49</f>
        <v>n</v>
      </c>
      <c r="M48" t="str">
        <f>'Rules-Platform'!X49</f>
        <v>n</v>
      </c>
      <c r="N48" t="str">
        <f>'Rules-Platform'!Y49</f>
        <v>n</v>
      </c>
      <c r="O48" t="str">
        <f>'Rules-Platform'!Z49</f>
        <v>n</v>
      </c>
      <c r="P48" t="str">
        <f>'Rules-Platform'!AA49</f>
        <v>n</v>
      </c>
    </row>
    <row r="49" spans="1:16">
      <c r="A49">
        <f>'Rules-Platform'!C50</f>
        <v>488</v>
      </c>
      <c r="B49" t="str">
        <f>'Rules-Platform'!D50</f>
        <v>AT-XEM2-12XT</v>
      </c>
      <c r="D49" t="str">
        <f>'Rules-Platform'!O50</f>
        <v>N/A</v>
      </c>
      <c r="E49" t="str">
        <f>'Rules-Platform'!P50</f>
        <v>-</v>
      </c>
      <c r="F49" t="str">
        <f>'Rules-Platform'!Q50</f>
        <v>n</v>
      </c>
      <c r="G49" t="str">
        <f>'Rules-Platform'!R50</f>
        <v>n</v>
      </c>
      <c r="H49" t="str">
        <f>'Rules-Platform'!S50</f>
        <v>n</v>
      </c>
      <c r="I49" t="str">
        <f>'Rules-Platform'!T50</f>
        <v>n</v>
      </c>
      <c r="J49" t="str">
        <f>'Rules-Platform'!U50</f>
        <v>n</v>
      </c>
      <c r="K49" t="str">
        <f>'Rules-Platform'!V50</f>
        <v>n</v>
      </c>
      <c r="L49" s="15" t="str">
        <f>'Rules-Platform'!W50</f>
        <v>n</v>
      </c>
      <c r="M49" t="str">
        <f>'Rules-Platform'!X50</f>
        <v>n</v>
      </c>
      <c r="N49" t="str">
        <f>'Rules-Platform'!Y50</f>
        <v>n</v>
      </c>
      <c r="O49" t="str">
        <f>'Rules-Platform'!Z50</f>
        <v>n</v>
      </c>
      <c r="P49" t="str">
        <f>'Rules-Platform'!AA50</f>
        <v>n</v>
      </c>
    </row>
    <row r="50" spans="1:16">
      <c r="A50">
        <f>'Rules-Platform'!C51</f>
        <v>493</v>
      </c>
      <c r="B50" t="str">
        <f>'Rules-Platform'!D51</f>
        <v>AT-XEM2-1CQ</v>
      </c>
      <c r="D50" t="str">
        <f>'Rules-Platform'!O51</f>
        <v>port1.{}.1</v>
      </c>
      <c r="E50" t="str">
        <f>'Rules-Platform'!P51</f>
        <v>100G</v>
      </c>
      <c r="F50" t="str">
        <f>'Rules-Platform'!Q51</f>
        <v>n</v>
      </c>
      <c r="G50" t="str">
        <f>'Rules-Platform'!R51</f>
        <v>n</v>
      </c>
      <c r="H50" t="str">
        <f>'Rules-Platform'!S51</f>
        <v>n</v>
      </c>
      <c r="I50" t="str">
        <f>'Rules-Platform'!T51</f>
        <v>n</v>
      </c>
      <c r="J50" t="str">
        <f>'Rules-Platform'!U51</f>
        <v>n</v>
      </c>
      <c r="K50" t="str">
        <f>'Rules-Platform'!V51</f>
        <v>n</v>
      </c>
      <c r="L50" s="15" t="str">
        <f>'Rules-Platform'!W51</f>
        <v>n</v>
      </c>
      <c r="M50" t="str">
        <f>'Rules-Platform'!X51</f>
        <v>n</v>
      </c>
      <c r="N50" t="str">
        <f>'Rules-Platform'!Y51</f>
        <v>n</v>
      </c>
      <c r="O50" t="str">
        <f>'Rules-Platform'!Z51</f>
        <v>y</v>
      </c>
      <c r="P50" t="str">
        <f>'Rules-Platform'!AA51</f>
        <v>n</v>
      </c>
    </row>
    <row r="51" spans="1:16">
      <c r="A51">
        <f>'Rules-Platform'!C52</f>
        <v>545</v>
      </c>
      <c r="B51" t="str">
        <f>'Rules-Platform'!D52</f>
        <v>AT-XEM2-12XTm</v>
      </c>
      <c r="D51" t="str">
        <f>'Rules-Platform'!O52</f>
        <v>N/A</v>
      </c>
      <c r="E51" t="str">
        <f>'Rules-Platform'!P52</f>
        <v>-</v>
      </c>
      <c r="F51" t="str">
        <f>'Rules-Platform'!Q52</f>
        <v>n</v>
      </c>
      <c r="G51" t="str">
        <f>'Rules-Platform'!R52</f>
        <v>n</v>
      </c>
      <c r="H51" t="str">
        <f>'Rules-Platform'!S52</f>
        <v>n</v>
      </c>
      <c r="I51" t="str">
        <f>'Rules-Platform'!T52</f>
        <v>y</v>
      </c>
      <c r="J51" t="str">
        <f>'Rules-Platform'!U52</f>
        <v>y</v>
      </c>
      <c r="K51" t="str">
        <f>'Rules-Platform'!V52</f>
        <v>n</v>
      </c>
      <c r="L51" s="15" t="str">
        <f>'Rules-Platform'!W52</f>
        <v>n</v>
      </c>
      <c r="M51" t="str">
        <f>'Rules-Platform'!X52</f>
        <v>n</v>
      </c>
      <c r="N51" t="str">
        <f>'Rules-Platform'!Y52</f>
        <v>n</v>
      </c>
      <c r="O51" t="str">
        <f>'Rules-Platform'!Z52</f>
        <v>n</v>
      </c>
      <c r="P51" t="str">
        <f>'Rules-Platform'!AA52</f>
        <v>n</v>
      </c>
    </row>
    <row r="52" spans="1:16">
      <c r="A52">
        <f>'Rules-Platform'!C53</f>
        <v>546</v>
      </c>
      <c r="B52" t="str">
        <f>'Rules-Platform'!D53</f>
        <v>AT-XEM2-8XSTm</v>
      </c>
      <c r="D52" t="str">
        <f>'Rules-Platform'!O53</f>
        <v>port1.{}.5-1.{}.8</v>
      </c>
      <c r="E52" t="str">
        <f>'Rules-Platform'!P53</f>
        <v>10G SFP</v>
      </c>
      <c r="F52" t="str">
        <f>'Rules-Platform'!Q53</f>
        <v>n</v>
      </c>
      <c r="G52" t="str">
        <f>'Rules-Platform'!R53</f>
        <v>n</v>
      </c>
      <c r="H52" t="str">
        <f>'Rules-Platform'!S53</f>
        <v>y</v>
      </c>
      <c r="I52" t="str">
        <f>'Rules-Platform'!T53</f>
        <v>y</v>
      </c>
      <c r="J52" t="str">
        <f>'Rules-Platform'!U53</f>
        <v>y</v>
      </c>
      <c r="K52" t="str">
        <f>'Rules-Platform'!V53</f>
        <v>y</v>
      </c>
      <c r="L52" s="15" t="str">
        <f>'Rules-Platform'!W53</f>
        <v>n</v>
      </c>
      <c r="M52" t="str">
        <f>'Rules-Platform'!X53</f>
        <v>n</v>
      </c>
      <c r="N52" t="str">
        <f>'Rules-Platform'!Y53</f>
        <v>n</v>
      </c>
      <c r="O52" t="str">
        <f>'Rules-Platform'!Z53</f>
        <v>n</v>
      </c>
      <c r="P52" t="str">
        <f>'Rules-Platform'!AA53</f>
        <v>n</v>
      </c>
    </row>
    <row r="53" spans="1:16">
      <c r="A53">
        <f>'Rules-Platform'!C54</f>
        <v>559</v>
      </c>
      <c r="B53" t="str">
        <f>'Rules-Platform'!D54</f>
        <v>AT-XEM2-12XS v2</v>
      </c>
      <c r="D53" t="str">
        <f>'Rules-Platform'!O54</f>
        <v>port1.{}.1-1.{}.12</v>
      </c>
      <c r="E53" t="str">
        <f>'Rules-Platform'!P54</f>
        <v>10G SFP</v>
      </c>
      <c r="F53" t="str">
        <f>'Rules-Platform'!Q54</f>
        <v>n</v>
      </c>
      <c r="G53" t="str">
        <f>'Rules-Platform'!R54</f>
        <v>n</v>
      </c>
      <c r="H53" t="str">
        <f>'Rules-Platform'!S54</f>
        <v>y</v>
      </c>
      <c r="I53" t="str">
        <f>'Rules-Platform'!T54</f>
        <v>n</v>
      </c>
      <c r="J53" t="str">
        <f>'Rules-Platform'!U54</f>
        <v>n</v>
      </c>
      <c r="K53" t="str">
        <f>'Rules-Platform'!V54</f>
        <v>y</v>
      </c>
      <c r="L53" s="15" t="str">
        <f>'Rules-Platform'!W54</f>
        <v>n</v>
      </c>
      <c r="M53" t="str">
        <f>'Rules-Platform'!X54</f>
        <v>n</v>
      </c>
      <c r="N53" t="str">
        <f>'Rules-Platform'!Y54</f>
        <v>n</v>
      </c>
      <c r="O53" t="str">
        <f>'Rules-Platform'!Z54</f>
        <v>n</v>
      </c>
      <c r="P53" t="str">
        <f>'Rules-Platform'!AA54</f>
        <v>n</v>
      </c>
    </row>
    <row r="54" spans="1:16">
      <c r="A54">
        <f>'Rules-Platform'!C55</f>
        <v>547</v>
      </c>
      <c r="B54" t="str">
        <f>'Rules-Platform'!D55</f>
        <v>AT-x950-28XTQm</v>
      </c>
      <c r="D54" t="str">
        <f>'Rules-Platform'!O55</f>
        <v>port1.0.25, port1.0.29, port1.0.33, port1.0.37</v>
      </c>
      <c r="E54" t="str">
        <f>'Rules-Platform'!P55</f>
        <v>100G Uplink</v>
      </c>
      <c r="F54" t="str">
        <f>'Rules-Platform'!Q55</f>
        <v>n</v>
      </c>
      <c r="G54" t="str">
        <f>'Rules-Platform'!R55</f>
        <v>n</v>
      </c>
      <c r="H54" t="str">
        <f>'Rules-Platform'!S55</f>
        <v>n</v>
      </c>
      <c r="I54" t="str">
        <f>'Rules-Platform'!T55</f>
        <v>n</v>
      </c>
      <c r="J54" t="str">
        <f>'Rules-Platform'!U55</f>
        <v>n</v>
      </c>
      <c r="K54" t="str">
        <f>'Rules-Platform'!V55</f>
        <v>n</v>
      </c>
      <c r="L54" s="15" t="str">
        <f>'Rules-Platform'!W55</f>
        <v>n</v>
      </c>
      <c r="M54" t="str">
        <f>'Rules-Platform'!X55</f>
        <v>y</v>
      </c>
      <c r="N54" t="str">
        <f>'Rules-Platform'!Y55</f>
        <v>n</v>
      </c>
      <c r="O54" t="str">
        <f>'Rules-Platform'!Z55</f>
        <v>y</v>
      </c>
      <c r="P54" t="str">
        <f>'Rules-Platform'!AA55</f>
        <v>n</v>
      </c>
    </row>
    <row r="55" spans="1:16">
      <c r="A55">
        <f>'Rules-Platform'!C56</f>
        <v>548</v>
      </c>
      <c r="B55" t="str">
        <f>'Rules-Platform'!D56</f>
        <v>AT-x950-28XSQ</v>
      </c>
      <c r="D55" t="str">
        <f>'Rules-Platform'!O56</f>
        <v>port1.0.1-1.0.24</v>
      </c>
      <c r="E55" t="str">
        <f>'Rules-Platform'!P56</f>
        <v>10G Base</v>
      </c>
      <c r="F55" t="str">
        <f>'Rules-Platform'!Q56</f>
        <v>n</v>
      </c>
      <c r="G55" t="str">
        <f>'Rules-Platform'!R56</f>
        <v>n</v>
      </c>
      <c r="H55" t="str">
        <f>'Rules-Platform'!S56</f>
        <v>y</v>
      </c>
      <c r="I55" t="str">
        <f>'Rules-Platform'!T56</f>
        <v>n</v>
      </c>
      <c r="J55" t="str">
        <f>'Rules-Platform'!U56</f>
        <v>n</v>
      </c>
      <c r="K55" t="str">
        <f>'Rules-Platform'!V56</f>
        <v>y</v>
      </c>
      <c r="L55" s="15" t="str">
        <f>'Rules-Platform'!W56</f>
        <v>n</v>
      </c>
      <c r="M55" t="str">
        <f>'Rules-Platform'!X56</f>
        <v>n</v>
      </c>
      <c r="N55" t="str">
        <f>'Rules-Platform'!Y56</f>
        <v>n</v>
      </c>
      <c r="O55" t="str">
        <f>'Rules-Platform'!Z56</f>
        <v>n</v>
      </c>
      <c r="P55" t="str">
        <f>'Rules-Platform'!AA56</f>
        <v>n</v>
      </c>
    </row>
    <row r="56" spans="1:16">
      <c r="A56">
        <f>'Rules-Platform'!C57</f>
        <v>548</v>
      </c>
      <c r="B56" t="str">
        <f>'Rules-Platform'!D57</f>
        <v>AT-x950-28XSQ</v>
      </c>
      <c r="D56" t="str">
        <f>'Rules-Platform'!O57</f>
        <v>port1.0.25, port1.0.29, port1.0.33, port1.0.37</v>
      </c>
      <c r="E56" t="str">
        <f>'Rules-Platform'!P57</f>
        <v>100G Uplink</v>
      </c>
      <c r="F56" t="str">
        <f>'Rules-Platform'!Q57</f>
        <v>n</v>
      </c>
      <c r="G56" t="str">
        <f>'Rules-Platform'!R57</f>
        <v>n</v>
      </c>
      <c r="H56" t="str">
        <f>'Rules-Platform'!S57</f>
        <v>n</v>
      </c>
      <c r="I56" t="str">
        <f>'Rules-Platform'!T57</f>
        <v>n</v>
      </c>
      <c r="J56" t="str">
        <f>'Rules-Platform'!U57</f>
        <v>n</v>
      </c>
      <c r="K56" t="str">
        <f>'Rules-Platform'!V57</f>
        <v>n</v>
      </c>
      <c r="L56" s="15" t="str">
        <f>'Rules-Platform'!W57</f>
        <v>n</v>
      </c>
      <c r="M56" t="str">
        <f>'Rules-Platform'!X57</f>
        <v>y</v>
      </c>
      <c r="N56" t="str">
        <f>'Rules-Platform'!Y57</f>
        <v>n</v>
      </c>
      <c r="O56" t="str">
        <f>'Rules-Platform'!Z57</f>
        <v>y</v>
      </c>
      <c r="P56" t="str">
        <f>'Rules-Platform'!AA57</f>
        <v>n</v>
      </c>
    </row>
    <row r="57" spans="1:16">
      <c r="A57">
        <f>'Rules-Platform'!C58</f>
        <v>576</v>
      </c>
      <c r="B57" t="str">
        <f>'Rules-Platform'!D58</f>
        <v>AT-x950-52XSQ</v>
      </c>
      <c r="D57" t="str">
        <f>'Rules-Platform'!O58</f>
        <v>port1.0.1-1.0.48</v>
      </c>
      <c r="E57" t="str">
        <f>'Rules-Platform'!P58</f>
        <v>10G Base</v>
      </c>
      <c r="F57" t="str">
        <f>'Rules-Platform'!Q58</f>
        <v>n</v>
      </c>
      <c r="G57" t="str">
        <f>'Rules-Platform'!R58</f>
        <v>n</v>
      </c>
      <c r="H57" t="str">
        <f>'Rules-Platform'!S58</f>
        <v>y</v>
      </c>
      <c r="I57" t="str">
        <f>'Rules-Platform'!T58</f>
        <v>n</v>
      </c>
      <c r="J57" t="str">
        <f>'Rules-Platform'!U58</f>
        <v>n</v>
      </c>
      <c r="K57" t="str">
        <f>'Rules-Platform'!V58</f>
        <v>y</v>
      </c>
      <c r="L57" s="15" t="str">
        <f>'Rules-Platform'!W58</f>
        <v>n</v>
      </c>
      <c r="M57" t="str">
        <f>'Rules-Platform'!X58</f>
        <v>n</v>
      </c>
      <c r="N57" t="str">
        <f>'Rules-Platform'!Y58</f>
        <v>n</v>
      </c>
      <c r="O57" t="str">
        <f>'Rules-Platform'!Z58</f>
        <v>n</v>
      </c>
      <c r="P57" t="str">
        <f>'Rules-Platform'!AA58</f>
        <v>n</v>
      </c>
    </row>
    <row r="58" spans="1:16">
      <c r="A58">
        <f>'Rules-Platform'!C59</f>
        <v>576</v>
      </c>
      <c r="B58" t="str">
        <f>'Rules-Platform'!D59</f>
        <v>AT-x950-52XSQ</v>
      </c>
      <c r="D58" t="str">
        <f>'Rules-Platform'!O59</f>
        <v>port1.0.49, port1.0.53, port1.0.57, port1.0.61</v>
      </c>
      <c r="E58" t="str">
        <f>'Rules-Platform'!P59</f>
        <v>100G Uplink</v>
      </c>
      <c r="F58" t="str">
        <f>'Rules-Platform'!Q59</f>
        <v>n</v>
      </c>
      <c r="G58" t="str">
        <f>'Rules-Platform'!R59</f>
        <v>n</v>
      </c>
      <c r="H58" t="str">
        <f>'Rules-Platform'!S59</f>
        <v>n</v>
      </c>
      <c r="I58" t="str">
        <f>'Rules-Platform'!T59</f>
        <v>n</v>
      </c>
      <c r="J58" t="str">
        <f>'Rules-Platform'!U59</f>
        <v>n</v>
      </c>
      <c r="K58" t="str">
        <f>'Rules-Platform'!V59</f>
        <v>n</v>
      </c>
      <c r="L58" s="15" t="str">
        <f>'Rules-Platform'!W59</f>
        <v>n</v>
      </c>
      <c r="M58" t="str">
        <f>'Rules-Platform'!X59</f>
        <v>y</v>
      </c>
      <c r="N58" t="str">
        <f>'Rules-Platform'!Y59</f>
        <v>n</v>
      </c>
      <c r="O58" t="str">
        <f>'Rules-Platform'!Z59</f>
        <v>y</v>
      </c>
      <c r="P58" t="str">
        <f>'Rules-Platform'!AA59</f>
        <v>n</v>
      </c>
    </row>
    <row r="59" spans="1:16">
      <c r="A59">
        <f>'Rules-Platform'!C60</f>
        <v>575</v>
      </c>
      <c r="B59" t="str">
        <f>'Rules-Platform'!D60</f>
        <v>AT-x950-52XTQm</v>
      </c>
      <c r="D59" t="str">
        <f>'Rules-Platform'!O60</f>
        <v>port1.0.49-1.0.61</v>
      </c>
      <c r="E59" t="str">
        <f>'Rules-Platform'!P60</f>
        <v>100G Uplink</v>
      </c>
      <c r="F59" t="str">
        <f>'Rules-Platform'!Q60</f>
        <v>n</v>
      </c>
      <c r="G59" t="str">
        <f>'Rules-Platform'!R60</f>
        <v>n</v>
      </c>
      <c r="H59" t="str">
        <f>'Rules-Platform'!S60</f>
        <v>n</v>
      </c>
      <c r="I59" t="str">
        <f>'Rules-Platform'!T60</f>
        <v>n</v>
      </c>
      <c r="J59" t="str">
        <f>'Rules-Platform'!U60</f>
        <v>n</v>
      </c>
      <c r="K59" t="str">
        <f>'Rules-Platform'!V60</f>
        <v>n</v>
      </c>
      <c r="L59" s="15" t="str">
        <f>'Rules-Platform'!W60</f>
        <v>n</v>
      </c>
      <c r="M59" t="str">
        <f>'Rules-Platform'!X60</f>
        <v>y</v>
      </c>
      <c r="N59" t="str">
        <f>'Rules-Platform'!Y60</f>
        <v>n</v>
      </c>
      <c r="O59" t="str">
        <f>'Rules-Platform'!Z60</f>
        <v>y</v>
      </c>
      <c r="P59" t="str">
        <f>'Rules-Platform'!AA60</f>
        <v>n</v>
      </c>
    </row>
    <row r="60" spans="1:16">
      <c r="A60">
        <f>'Rules-Platform'!C61</f>
        <v>465</v>
      </c>
      <c r="B60" t="str">
        <f>'Rules-Platform'!D61</f>
        <v>AT-SH210-9GT</v>
      </c>
      <c r="D60" t="str">
        <f>'Rules-Platform'!O61</f>
        <v>port1.0.9</v>
      </c>
      <c r="E60" t="str">
        <f>'Rules-Platform'!P61</f>
        <v>1G SFP</v>
      </c>
      <c r="F60" t="str">
        <f>'Rules-Platform'!Q61</f>
        <v>n</v>
      </c>
      <c r="G60" t="str">
        <f>'Rules-Platform'!R61</f>
        <v>n</v>
      </c>
      <c r="H60" t="str">
        <f>'Rules-Platform'!S61</f>
        <v>y</v>
      </c>
      <c r="I60" t="str">
        <f>'Rules-Platform'!T61</f>
        <v>n</v>
      </c>
      <c r="J60" t="str">
        <f>'Rules-Platform'!U61</f>
        <v>n</v>
      </c>
      <c r="K60" t="str">
        <f>'Rules-Platform'!V61</f>
        <v>n</v>
      </c>
      <c r="L60" s="15" t="str">
        <f>'Rules-Platform'!W61</f>
        <v>n</v>
      </c>
      <c r="M60" t="str">
        <f>'Rules-Platform'!X61</f>
        <v>n</v>
      </c>
      <c r="N60" t="str">
        <f>'Rules-Platform'!Y61</f>
        <v>n</v>
      </c>
      <c r="O60" t="str">
        <f>'Rules-Platform'!Z61</f>
        <v>n</v>
      </c>
      <c r="P60" t="str">
        <f>'Rules-Platform'!AA61</f>
        <v>n</v>
      </c>
    </row>
    <row r="61" spans="1:16">
      <c r="A61">
        <f>'Rules-Platform'!C62</f>
        <v>466</v>
      </c>
      <c r="B61" t="str">
        <f>'Rules-Platform'!D62</f>
        <v>AT-SH210-16GT</v>
      </c>
      <c r="D61" t="str">
        <f>'Rules-Platform'!O62</f>
        <v>port1.0.25-1.0.28</v>
      </c>
      <c r="E61" t="str">
        <f>'Rules-Platform'!P62</f>
        <v>1G Combo</v>
      </c>
      <c r="F61" t="str">
        <f>'Rules-Platform'!Q62</f>
        <v>n</v>
      </c>
      <c r="G61" t="str">
        <f>'Rules-Platform'!R62</f>
        <v>y</v>
      </c>
      <c r="H61" t="str">
        <f>'Rules-Platform'!S62</f>
        <v>y</v>
      </c>
      <c r="I61" t="str">
        <f>'Rules-Platform'!T62</f>
        <v>n</v>
      </c>
      <c r="J61" t="str">
        <f>'Rules-Platform'!U62</f>
        <v>n</v>
      </c>
      <c r="K61" t="str">
        <f>'Rules-Platform'!V62</f>
        <v>n</v>
      </c>
      <c r="L61" s="15" t="str">
        <f>'Rules-Platform'!W62</f>
        <v>n</v>
      </c>
      <c r="M61" t="str">
        <f>'Rules-Platform'!X62</f>
        <v>n</v>
      </c>
      <c r="N61" t="str">
        <f>'Rules-Platform'!Y62</f>
        <v>n</v>
      </c>
      <c r="O61" t="str">
        <f>'Rules-Platform'!Z62</f>
        <v>n</v>
      </c>
      <c r="P61" t="str">
        <f>'Rules-Platform'!AA62</f>
        <v>n</v>
      </c>
    </row>
    <row r="62" spans="1:16">
      <c r="A62">
        <f>'Rules-Platform'!C63</f>
        <v>467</v>
      </c>
      <c r="B62" t="str">
        <f>'Rules-Platform'!D63</f>
        <v>AT-SH210-24GT</v>
      </c>
      <c r="D62" t="str">
        <f>'Rules-Platform'!O63</f>
        <v>port1.0.17-1.0.18</v>
      </c>
      <c r="E62" t="str">
        <f>'Rules-Platform'!P63</f>
        <v>1G Combo</v>
      </c>
      <c r="F62" t="str">
        <f>'Rules-Platform'!Q63</f>
        <v>n</v>
      </c>
      <c r="G62" t="str">
        <f>'Rules-Platform'!R63</f>
        <v>y</v>
      </c>
      <c r="H62" t="str">
        <f>'Rules-Platform'!S63</f>
        <v>y</v>
      </c>
      <c r="I62" t="str">
        <f>'Rules-Platform'!T63</f>
        <v>n</v>
      </c>
      <c r="J62" t="str">
        <f>'Rules-Platform'!U63</f>
        <v>n</v>
      </c>
      <c r="K62" t="str">
        <f>'Rules-Platform'!V63</f>
        <v>n</v>
      </c>
      <c r="L62" s="15" t="str">
        <f>'Rules-Platform'!W63</f>
        <v>n</v>
      </c>
      <c r="M62" t="str">
        <f>'Rules-Platform'!X63</f>
        <v>n</v>
      </c>
      <c r="N62" t="str">
        <f>'Rules-Platform'!Y63</f>
        <v>n</v>
      </c>
      <c r="O62" t="str">
        <f>'Rules-Platform'!Z63</f>
        <v>n</v>
      </c>
      <c r="P62" t="str">
        <f>'Rules-Platform'!AA63</f>
        <v>n</v>
      </c>
    </row>
    <row r="63" spans="1:16">
      <c r="A63">
        <f>'Rules-Platform'!C64</f>
        <v>366</v>
      </c>
      <c r="B63" t="str">
        <f>'Rules-Platform'!D64</f>
        <v>AT-x210-9GT</v>
      </c>
      <c r="D63" t="str">
        <f>'Rules-Platform'!O64</f>
        <v>port1.0.9</v>
      </c>
      <c r="E63" t="str">
        <f>'Rules-Platform'!P64</f>
        <v>1G SFP</v>
      </c>
      <c r="F63" t="str">
        <f>'Rules-Platform'!Q64</f>
        <v>n</v>
      </c>
      <c r="G63" t="str">
        <f>'Rules-Platform'!R64</f>
        <v>n</v>
      </c>
      <c r="H63" t="str">
        <f>'Rules-Platform'!S64</f>
        <v>y</v>
      </c>
      <c r="I63" t="str">
        <f>'Rules-Platform'!T64</f>
        <v>n</v>
      </c>
      <c r="J63" t="str">
        <f>'Rules-Platform'!U64</f>
        <v>n</v>
      </c>
      <c r="K63" t="str">
        <f>'Rules-Platform'!V64</f>
        <v>n</v>
      </c>
      <c r="L63" s="15" t="str">
        <f>'Rules-Platform'!W64</f>
        <v>n</v>
      </c>
      <c r="M63" t="str">
        <f>'Rules-Platform'!X64</f>
        <v>n</v>
      </c>
      <c r="N63" t="str">
        <f>'Rules-Platform'!Y64</f>
        <v>n</v>
      </c>
      <c r="O63" t="str">
        <f>'Rules-Platform'!Z64</f>
        <v>n</v>
      </c>
      <c r="P63" t="str">
        <f>'Rules-Platform'!AA64</f>
        <v>n</v>
      </c>
    </row>
    <row r="64" spans="1:16">
      <c r="A64">
        <f>'Rules-Platform'!C65</f>
        <v>367</v>
      </c>
      <c r="B64" t="str">
        <f>'Rules-Platform'!D65</f>
        <v>AT-x210-16GT</v>
      </c>
      <c r="D64" t="str">
        <f>'Rules-Platform'!O65</f>
        <v>port1.0.15-1.0.16</v>
      </c>
      <c r="E64" t="str">
        <f>'Rules-Platform'!P65</f>
        <v>1G Combo</v>
      </c>
      <c r="F64" t="str">
        <f>'Rules-Platform'!Q65</f>
        <v>n</v>
      </c>
      <c r="G64" t="str">
        <f>'Rules-Platform'!R65</f>
        <v>y</v>
      </c>
      <c r="H64" t="str">
        <f>'Rules-Platform'!S65</f>
        <v>y</v>
      </c>
      <c r="I64" t="str">
        <f>'Rules-Platform'!T65</f>
        <v>n</v>
      </c>
      <c r="J64" t="str">
        <f>'Rules-Platform'!U65</f>
        <v>n</v>
      </c>
      <c r="K64" t="str">
        <f>'Rules-Platform'!V65</f>
        <v>n</v>
      </c>
      <c r="L64" s="15" t="str">
        <f>'Rules-Platform'!W65</f>
        <v>n</v>
      </c>
      <c r="M64" t="str">
        <f>'Rules-Platform'!X65</f>
        <v>n</v>
      </c>
      <c r="N64" t="str">
        <f>'Rules-Platform'!Y65</f>
        <v>n</v>
      </c>
      <c r="O64" t="str">
        <f>'Rules-Platform'!Z65</f>
        <v>n</v>
      </c>
      <c r="P64" t="str">
        <f>'Rules-Platform'!AA65</f>
        <v>n</v>
      </c>
    </row>
    <row r="65" spans="1:16">
      <c r="A65">
        <f>'Rules-Platform'!C66</f>
        <v>368</v>
      </c>
      <c r="B65" t="str">
        <f>'Rules-Platform'!D66</f>
        <v>AT-x210-24GT</v>
      </c>
      <c r="D65" t="str">
        <f>'Rules-Platform'!O66</f>
        <v>port1.0.25-1.0.28</v>
      </c>
      <c r="E65" t="str">
        <f>'Rules-Platform'!P66</f>
        <v>1G Combo</v>
      </c>
      <c r="F65" t="str">
        <f>'Rules-Platform'!Q66</f>
        <v>n</v>
      </c>
      <c r="G65" t="str">
        <f>'Rules-Platform'!R66</f>
        <v>y</v>
      </c>
      <c r="H65" t="str">
        <f>'Rules-Platform'!S66</f>
        <v>y</v>
      </c>
      <c r="I65" t="str">
        <f>'Rules-Platform'!T66</f>
        <v>n</v>
      </c>
      <c r="J65" t="str">
        <f>'Rules-Platform'!U66</f>
        <v>n</v>
      </c>
      <c r="K65" t="str">
        <f>'Rules-Platform'!V66</f>
        <v>n</v>
      </c>
      <c r="L65" s="15" t="str">
        <f>'Rules-Platform'!W66</f>
        <v>n</v>
      </c>
      <c r="M65" t="str">
        <f>'Rules-Platform'!X66</f>
        <v>n</v>
      </c>
      <c r="N65" t="str">
        <f>'Rules-Platform'!Y66</f>
        <v>n</v>
      </c>
      <c r="O65" t="str">
        <f>'Rules-Platform'!Z66</f>
        <v>n</v>
      </c>
      <c r="P65" t="str">
        <f>'Rules-Platform'!AA66</f>
        <v>n</v>
      </c>
    </row>
    <row r="66" spans="1:16">
      <c r="A66">
        <f>'Rules-Platform'!C67</f>
        <v>514</v>
      </c>
      <c r="B66" t="str">
        <f>'Rules-Platform'!D67</f>
        <v>AT-GS980M/52</v>
      </c>
      <c r="D66" t="str">
        <f>'Rules-Platform'!O67</f>
        <v>port1.0.48-1.0.52</v>
      </c>
      <c r="E66" t="str">
        <f>'Rules-Platform'!P67</f>
        <v>1G Uplink</v>
      </c>
      <c r="F66" t="str">
        <f>'Rules-Platform'!Q67</f>
        <v>n</v>
      </c>
      <c r="G66" t="str">
        <f>'Rules-Platform'!R67</f>
        <v>y</v>
      </c>
      <c r="H66" t="str">
        <f>'Rules-Platform'!S67</f>
        <v>y</v>
      </c>
      <c r="I66" t="str">
        <f>'Rules-Platform'!T67</f>
        <v>n</v>
      </c>
      <c r="J66" t="str">
        <f>'Rules-Platform'!U67</f>
        <v>n</v>
      </c>
      <c r="K66" t="str">
        <f>'Rules-Platform'!V67</f>
        <v>n</v>
      </c>
      <c r="L66" s="15" t="str">
        <f>'Rules-Platform'!W67</f>
        <v>n</v>
      </c>
      <c r="M66" t="str">
        <f>'Rules-Platform'!X67</f>
        <v>n</v>
      </c>
      <c r="N66" t="str">
        <f>'Rules-Platform'!Y67</f>
        <v>n</v>
      </c>
      <c r="O66" t="str">
        <f>'Rules-Platform'!Z67</f>
        <v>n</v>
      </c>
      <c r="P66" t="str">
        <f>'Rules-Platform'!AA67</f>
        <v>n</v>
      </c>
    </row>
    <row r="67" spans="1:16">
      <c r="A67">
        <f>'Rules-Platform'!C68</f>
        <v>515</v>
      </c>
      <c r="B67" t="str">
        <f>'Rules-Platform'!D68</f>
        <v>AT-GS980M/52PS</v>
      </c>
      <c r="D67" t="str">
        <f>'Rules-Platform'!O68</f>
        <v>port1.0.48-1.0.52</v>
      </c>
      <c r="E67" t="str">
        <f>'Rules-Platform'!P68</f>
        <v>1G Uplink</v>
      </c>
      <c r="F67" t="str">
        <f>'Rules-Platform'!Q68</f>
        <v>n</v>
      </c>
      <c r="G67" t="str">
        <f>'Rules-Platform'!R68</f>
        <v>y</v>
      </c>
      <c r="H67" t="str">
        <f>'Rules-Platform'!S68</f>
        <v>y</v>
      </c>
      <c r="I67" t="str">
        <f>'Rules-Platform'!T68</f>
        <v>n</v>
      </c>
      <c r="J67" t="str">
        <f>'Rules-Platform'!U68</f>
        <v>n</v>
      </c>
      <c r="K67" t="str">
        <f>'Rules-Platform'!V68</f>
        <v>n</v>
      </c>
      <c r="L67" s="15" t="str">
        <f>'Rules-Platform'!W68</f>
        <v>n</v>
      </c>
      <c r="M67" t="str">
        <f>'Rules-Platform'!X68</f>
        <v>n</v>
      </c>
      <c r="N67" t="str">
        <f>'Rules-Platform'!Y68</f>
        <v>n</v>
      </c>
      <c r="O67" t="str">
        <f>'Rules-Platform'!Z68</f>
        <v>n</v>
      </c>
      <c r="P67" t="str">
        <f>'Rules-Platform'!AA68</f>
        <v>n</v>
      </c>
    </row>
    <row r="68" spans="1:16">
      <c r="A68">
        <f>'Rules-Platform'!C69</f>
        <v>516</v>
      </c>
      <c r="B68" t="str">
        <f>'Rules-Platform'!D69</f>
        <v>AT-GS980M/28</v>
      </c>
      <c r="D68" t="str">
        <f>'Rules-Platform'!O69</f>
        <v>port1.0.25-1.0.28</v>
      </c>
      <c r="E68" t="str">
        <f>'Rules-Platform'!P69</f>
        <v>1G Uplink</v>
      </c>
      <c r="F68" t="str">
        <f>'Rules-Platform'!Q69</f>
        <v>n</v>
      </c>
      <c r="G68" t="str">
        <f>'Rules-Platform'!R69</f>
        <v>y</v>
      </c>
      <c r="H68" t="str">
        <f>'Rules-Platform'!S69</f>
        <v>y</v>
      </c>
      <c r="I68" t="str">
        <f>'Rules-Platform'!T69</f>
        <v>n</v>
      </c>
      <c r="J68" t="str">
        <f>'Rules-Platform'!U69</f>
        <v>n</v>
      </c>
      <c r="K68" t="str">
        <f>'Rules-Platform'!V69</f>
        <v>n</v>
      </c>
      <c r="L68" s="15" t="str">
        <f>'Rules-Platform'!W69</f>
        <v>n</v>
      </c>
      <c r="M68" t="str">
        <f>'Rules-Platform'!X69</f>
        <v>n</v>
      </c>
      <c r="N68" t="str">
        <f>'Rules-Platform'!Y69</f>
        <v>n</v>
      </c>
      <c r="O68" t="str">
        <f>'Rules-Platform'!Z69</f>
        <v>n</v>
      </c>
      <c r="P68" t="str">
        <f>'Rules-Platform'!AA69</f>
        <v>n</v>
      </c>
    </row>
    <row r="69" spans="1:16">
      <c r="A69">
        <f>'Rules-Platform'!C70</f>
        <v>517</v>
      </c>
      <c r="B69" t="str">
        <f>'Rules-Platform'!D70</f>
        <v>AT-GS980M/28PS</v>
      </c>
      <c r="D69" t="str">
        <f>'Rules-Platform'!O70</f>
        <v>port1.0.25-1.0.28</v>
      </c>
      <c r="E69" t="str">
        <f>'Rules-Platform'!P70</f>
        <v>1G Uplink</v>
      </c>
      <c r="F69" t="str">
        <f>'Rules-Platform'!Q70</f>
        <v>n</v>
      </c>
      <c r="G69" t="str">
        <f>'Rules-Platform'!R70</f>
        <v>y</v>
      </c>
      <c r="H69" t="str">
        <f>'Rules-Platform'!S70</f>
        <v>y</v>
      </c>
      <c r="I69" t="str">
        <f>'Rules-Platform'!T70</f>
        <v>n</v>
      </c>
      <c r="J69" t="str">
        <f>'Rules-Platform'!U70</f>
        <v>n</v>
      </c>
      <c r="K69" t="str">
        <f>'Rules-Platform'!V70</f>
        <v>n</v>
      </c>
      <c r="L69" s="15" t="str">
        <f>'Rules-Platform'!W70</f>
        <v>n</v>
      </c>
      <c r="M69" t="str">
        <f>'Rules-Platform'!X70</f>
        <v>n</v>
      </c>
      <c r="N69" t="str">
        <f>'Rules-Platform'!Y70</f>
        <v>n</v>
      </c>
      <c r="O69" t="str">
        <f>'Rules-Platform'!Z70</f>
        <v>n</v>
      </c>
      <c r="P69" t="str">
        <f>'Rules-Platform'!AA70</f>
        <v>n</v>
      </c>
    </row>
    <row r="70" spans="1:16">
      <c r="A70">
        <f>'Rules-Platform'!C71</f>
        <v>504</v>
      </c>
      <c r="B70" t="str">
        <f>'Rules-Platform'!D71</f>
        <v>AT-x220-52GT</v>
      </c>
      <c r="D70" t="str">
        <f>'Rules-Platform'!O71</f>
        <v>port1.0.48-1.0.52</v>
      </c>
      <c r="E70" t="str">
        <f>'Rules-Platform'!P71</f>
        <v>1G Uplink</v>
      </c>
      <c r="F70" t="str">
        <f>'Rules-Platform'!Q71</f>
        <v>n</v>
      </c>
      <c r="G70" t="str">
        <f>'Rules-Platform'!R71</f>
        <v>y</v>
      </c>
      <c r="H70" t="str">
        <f>'Rules-Platform'!S71</f>
        <v>y</v>
      </c>
      <c r="I70" t="str">
        <f>'Rules-Platform'!T71</f>
        <v>n</v>
      </c>
      <c r="J70" t="str">
        <f>'Rules-Platform'!U71</f>
        <v>n</v>
      </c>
      <c r="K70" t="str">
        <f>'Rules-Platform'!V71</f>
        <v>n</v>
      </c>
      <c r="L70" s="15" t="str">
        <f>'Rules-Platform'!W71</f>
        <v>n</v>
      </c>
      <c r="M70" t="str">
        <f>'Rules-Platform'!X71</f>
        <v>n</v>
      </c>
      <c r="N70" t="str">
        <f>'Rules-Platform'!Y71</f>
        <v>n</v>
      </c>
      <c r="O70" t="str">
        <f>'Rules-Platform'!Z71</f>
        <v>n</v>
      </c>
      <c r="P70" t="str">
        <f>'Rules-Platform'!AA71</f>
        <v>n</v>
      </c>
    </row>
    <row r="71" spans="1:16">
      <c r="A71">
        <f>'Rules-Platform'!C72</f>
        <v>505</v>
      </c>
      <c r="B71" t="str">
        <f>'Rules-Platform'!D72</f>
        <v>AT-x220-52GP</v>
      </c>
      <c r="D71" t="str">
        <f>'Rules-Platform'!O72</f>
        <v>port1.0.48-1.0.52</v>
      </c>
      <c r="E71" t="str">
        <f>'Rules-Platform'!P72</f>
        <v>1G Uplink</v>
      </c>
      <c r="F71" t="str">
        <f>'Rules-Platform'!Q72</f>
        <v>n</v>
      </c>
      <c r="G71" t="str">
        <f>'Rules-Platform'!R72</f>
        <v>y</v>
      </c>
      <c r="H71" t="str">
        <f>'Rules-Platform'!S72</f>
        <v>y</v>
      </c>
      <c r="I71" t="str">
        <f>'Rules-Platform'!T72</f>
        <v>n</v>
      </c>
      <c r="J71" t="str">
        <f>'Rules-Platform'!U72</f>
        <v>n</v>
      </c>
      <c r="K71" t="str">
        <f>'Rules-Platform'!V72</f>
        <v>n</v>
      </c>
      <c r="L71" s="15" t="str">
        <f>'Rules-Platform'!W72</f>
        <v>n</v>
      </c>
      <c r="M71" t="str">
        <f>'Rules-Platform'!X72</f>
        <v>n</v>
      </c>
      <c r="N71" t="str">
        <f>'Rules-Platform'!Y72</f>
        <v>n</v>
      </c>
      <c r="O71" t="str">
        <f>'Rules-Platform'!Z72</f>
        <v>n</v>
      </c>
      <c r="P71" t="str">
        <f>'Rules-Platform'!AA72</f>
        <v>n</v>
      </c>
    </row>
    <row r="72" spans="1:16">
      <c r="A72">
        <f>'Rules-Platform'!C73</f>
        <v>506</v>
      </c>
      <c r="B72" t="str">
        <f>'Rules-Platform'!D73</f>
        <v>AT-x220-28GT</v>
      </c>
      <c r="D72" t="str">
        <f>'Rules-Platform'!O73</f>
        <v>port1.0.25-1.0.28</v>
      </c>
      <c r="E72" t="str">
        <f>'Rules-Platform'!P73</f>
        <v>1G Uplink</v>
      </c>
      <c r="F72" t="str">
        <f>'Rules-Platform'!Q73</f>
        <v>n</v>
      </c>
      <c r="G72" t="str">
        <f>'Rules-Platform'!R73</f>
        <v>y</v>
      </c>
      <c r="H72" t="str">
        <f>'Rules-Platform'!S73</f>
        <v>y</v>
      </c>
      <c r="I72" t="str">
        <f>'Rules-Platform'!T73</f>
        <v>n</v>
      </c>
      <c r="J72" t="str">
        <f>'Rules-Platform'!U73</f>
        <v>n</v>
      </c>
      <c r="K72" t="str">
        <f>'Rules-Platform'!V73</f>
        <v>n</v>
      </c>
      <c r="L72" s="15" t="str">
        <f>'Rules-Platform'!W73</f>
        <v>n</v>
      </c>
      <c r="M72" t="str">
        <f>'Rules-Platform'!X73</f>
        <v>n</v>
      </c>
      <c r="N72" t="str">
        <f>'Rules-Platform'!Y73</f>
        <v>n</v>
      </c>
      <c r="O72" t="str">
        <f>'Rules-Platform'!Z73</f>
        <v>n</v>
      </c>
      <c r="P72" t="str">
        <f>'Rules-Platform'!AA73</f>
        <v>n</v>
      </c>
    </row>
    <row r="73" spans="1:16">
      <c r="A73">
        <f>'Rules-Platform'!C74</f>
        <v>507</v>
      </c>
      <c r="B73" t="str">
        <f>'Rules-Platform'!D74</f>
        <v>AT-x220-28GP</v>
      </c>
      <c r="D73" t="str">
        <f>'Rules-Platform'!O74</f>
        <v>port1.0.25-1.0.28</v>
      </c>
      <c r="E73" t="str">
        <f>'Rules-Platform'!P74</f>
        <v>1G Uplink</v>
      </c>
      <c r="F73" t="str">
        <f>'Rules-Platform'!Q74</f>
        <v>n</v>
      </c>
      <c r="G73" t="str">
        <f>'Rules-Platform'!R74</f>
        <v>y</v>
      </c>
      <c r="H73" t="str">
        <f>'Rules-Platform'!S74</f>
        <v>y</v>
      </c>
      <c r="I73" t="str">
        <f>'Rules-Platform'!T74</f>
        <v>n</v>
      </c>
      <c r="J73" t="str">
        <f>'Rules-Platform'!U74</f>
        <v>n</v>
      </c>
      <c r="K73" t="str">
        <f>'Rules-Platform'!V74</f>
        <v>n</v>
      </c>
      <c r="L73" s="15" t="str">
        <f>'Rules-Platform'!W74</f>
        <v>n</v>
      </c>
      <c r="M73" t="str">
        <f>'Rules-Platform'!X74</f>
        <v>n</v>
      </c>
      <c r="N73" t="str">
        <f>'Rules-Platform'!Y74</f>
        <v>n</v>
      </c>
      <c r="O73" t="str">
        <f>'Rules-Platform'!Z74</f>
        <v>n</v>
      </c>
      <c r="P73" t="str">
        <f>'Rules-Platform'!AA74</f>
        <v>n</v>
      </c>
    </row>
    <row r="74" spans="1:16">
      <c r="A74">
        <f>'Rules-Platform'!C75</f>
        <v>508</v>
      </c>
      <c r="B74" t="str">
        <f>'Rules-Platform'!D75</f>
        <v>AT-x220-28GS</v>
      </c>
      <c r="D74" t="str">
        <f>'Rules-Platform'!O75</f>
        <v>port1.0.25-1.0.28</v>
      </c>
      <c r="E74" t="str">
        <f>'Rules-Platform'!P75</f>
        <v>1G Uplink</v>
      </c>
      <c r="F74" t="str">
        <f>'Rules-Platform'!Q75</f>
        <v>n</v>
      </c>
      <c r="G74" t="str">
        <f>'Rules-Platform'!R75</f>
        <v>y</v>
      </c>
      <c r="H74" t="str">
        <f>'Rules-Platform'!S75</f>
        <v>y</v>
      </c>
      <c r="I74" t="str">
        <f>'Rules-Platform'!T75</f>
        <v>n</v>
      </c>
      <c r="J74" t="str">
        <f>'Rules-Platform'!U75</f>
        <v>n</v>
      </c>
      <c r="K74" t="str">
        <f>'Rules-Platform'!V75</f>
        <v>n</v>
      </c>
      <c r="L74" s="15" t="str">
        <f>'Rules-Platform'!W75</f>
        <v>n</v>
      </c>
      <c r="M74" t="str">
        <f>'Rules-Platform'!X75</f>
        <v>n</v>
      </c>
      <c r="N74" t="str">
        <f>'Rules-Platform'!Y75</f>
        <v>n</v>
      </c>
      <c r="O74" t="str">
        <f>'Rules-Platform'!Z75</f>
        <v>n</v>
      </c>
      <c r="P74" t="str">
        <f>'Rules-Platform'!AA75</f>
        <v>n</v>
      </c>
    </row>
    <row r="75" spans="1:16">
      <c r="A75">
        <f>'Rules-Platform'!C76</f>
        <v>508</v>
      </c>
      <c r="B75" t="str">
        <f>'Rules-Platform'!D76</f>
        <v>AT-x220-28GS</v>
      </c>
      <c r="D75" t="str">
        <f>'Rules-Platform'!O76</f>
        <v>port1.0.1-1.0.24</v>
      </c>
      <c r="E75" t="str">
        <f>'Rules-Platform'!P76</f>
        <v>1G Base</v>
      </c>
      <c r="F75" t="str">
        <f>'Rules-Platform'!Q76</f>
        <v>n</v>
      </c>
      <c r="G75" t="str">
        <f>'Rules-Platform'!R76</f>
        <v>y</v>
      </c>
      <c r="H75" t="str">
        <f>'Rules-Platform'!S76</f>
        <v>y</v>
      </c>
      <c r="I75" t="str">
        <f>'Rules-Platform'!T76</f>
        <v>n</v>
      </c>
      <c r="J75" t="str">
        <f>'Rules-Platform'!U76</f>
        <v>n</v>
      </c>
      <c r="K75" t="str">
        <f>'Rules-Platform'!V76</f>
        <v>n</v>
      </c>
      <c r="L75" s="15" t="str">
        <f>'Rules-Platform'!W76</f>
        <v>n</v>
      </c>
      <c r="M75" t="str">
        <f>'Rules-Platform'!X76</f>
        <v>n</v>
      </c>
      <c r="N75" t="str">
        <f>'Rules-Platform'!Y76</f>
        <v>n</v>
      </c>
      <c r="O75" t="str">
        <f>'Rules-Platform'!Z76</f>
        <v>n</v>
      </c>
      <c r="P75" t="str">
        <f>'Rules-Platform'!AA76</f>
        <v>n</v>
      </c>
    </row>
    <row r="76" spans="1:16">
      <c r="A76">
        <f>'Rules-Platform'!C77</f>
        <v>533</v>
      </c>
      <c r="B76" t="str">
        <f>'Rules-Platform'!D77</f>
        <v>AT-GS970M/28PS</v>
      </c>
      <c r="D76" t="str">
        <f>'Rules-Platform'!O77</f>
        <v>port1.0.25-1.0.28</v>
      </c>
      <c r="E76" t="str">
        <f>'Rules-Platform'!P77</f>
        <v>1G SFP</v>
      </c>
      <c r="F76" t="str">
        <f>'Rules-Platform'!Q77</f>
        <v>n</v>
      </c>
      <c r="G76" t="str">
        <f>'Rules-Platform'!R77</f>
        <v>y</v>
      </c>
      <c r="H76" t="str">
        <f>'Rules-Platform'!S77</f>
        <v>y</v>
      </c>
      <c r="I76" t="str">
        <f>'Rules-Platform'!T77</f>
        <v>n</v>
      </c>
      <c r="J76" t="str">
        <f>'Rules-Platform'!U77</f>
        <v>n</v>
      </c>
      <c r="K76" t="str">
        <f>'Rules-Platform'!V77</f>
        <v>n</v>
      </c>
      <c r="L76" s="15" t="str">
        <f>'Rules-Platform'!W77</f>
        <v>n</v>
      </c>
      <c r="M76" t="str">
        <f>'Rules-Platform'!X77</f>
        <v>n</v>
      </c>
      <c r="N76" t="str">
        <f>'Rules-Platform'!Y77</f>
        <v>n</v>
      </c>
      <c r="O76" t="str">
        <f>'Rules-Platform'!Z77</f>
        <v>n</v>
      </c>
      <c r="P76" t="str">
        <f>'Rules-Platform'!AA77</f>
        <v>n</v>
      </c>
    </row>
    <row r="77" spans="1:16">
      <c r="A77">
        <f>'Rules-Platform'!C78</f>
        <v>534</v>
      </c>
      <c r="B77" t="str">
        <f>'Rules-Platform'!D78</f>
        <v>AT-GS970M/18PS</v>
      </c>
      <c r="D77" t="str">
        <f>'Rules-Platform'!O78</f>
        <v>port1.0.17-1.0.18</v>
      </c>
      <c r="E77" t="str">
        <f>'Rules-Platform'!P78</f>
        <v>1G SFP</v>
      </c>
      <c r="F77" t="str">
        <f>'Rules-Platform'!Q78</f>
        <v>n</v>
      </c>
      <c r="G77" t="str">
        <f>'Rules-Platform'!R78</f>
        <v>y</v>
      </c>
      <c r="H77" t="str">
        <f>'Rules-Platform'!S78</f>
        <v>y</v>
      </c>
      <c r="I77" t="str">
        <f>'Rules-Platform'!T78</f>
        <v>n</v>
      </c>
      <c r="J77" t="str">
        <f>'Rules-Platform'!U78</f>
        <v>n</v>
      </c>
      <c r="K77" t="str">
        <f>'Rules-Platform'!V78</f>
        <v>n</v>
      </c>
      <c r="L77" s="15" t="str">
        <f>'Rules-Platform'!W78</f>
        <v>n</v>
      </c>
      <c r="M77" t="str">
        <f>'Rules-Platform'!X78</f>
        <v>n</v>
      </c>
      <c r="N77" t="str">
        <f>'Rules-Platform'!Y78</f>
        <v>n</v>
      </c>
      <c r="O77" t="str">
        <f>'Rules-Platform'!Z78</f>
        <v>n</v>
      </c>
      <c r="P77" t="str">
        <f>'Rules-Platform'!AA78</f>
        <v>n</v>
      </c>
    </row>
    <row r="78" spans="1:16">
      <c r="A78">
        <f>'Rules-Platform'!C79</f>
        <v>535</v>
      </c>
      <c r="B78" t="str">
        <f>'Rules-Platform'!D79</f>
        <v>AT-GS970M/10PS</v>
      </c>
      <c r="D78" t="str">
        <f>'Rules-Platform'!O79</f>
        <v>port1.0.9-1.0.10</v>
      </c>
      <c r="E78" t="str">
        <f>'Rules-Platform'!P79</f>
        <v>1G SFP</v>
      </c>
      <c r="F78" t="str">
        <f>'Rules-Platform'!Q79</f>
        <v>n</v>
      </c>
      <c r="G78" t="str">
        <f>'Rules-Platform'!R79</f>
        <v>y</v>
      </c>
      <c r="H78" t="str">
        <f>'Rules-Platform'!S79</f>
        <v>y</v>
      </c>
      <c r="I78" t="str">
        <f>'Rules-Platform'!T79</f>
        <v>n</v>
      </c>
      <c r="J78" t="str">
        <f>'Rules-Platform'!U79</f>
        <v>n</v>
      </c>
      <c r="K78" t="str">
        <f>'Rules-Platform'!V79</f>
        <v>n</v>
      </c>
      <c r="L78" s="15" t="str">
        <f>'Rules-Platform'!W79</f>
        <v>n</v>
      </c>
      <c r="M78" t="str">
        <f>'Rules-Platform'!X79</f>
        <v>n</v>
      </c>
      <c r="N78" t="str">
        <f>'Rules-Platform'!Y79</f>
        <v>n</v>
      </c>
      <c r="O78" t="str">
        <f>'Rules-Platform'!Z79</f>
        <v>n</v>
      </c>
      <c r="P78" t="str">
        <f>'Rules-Platform'!AA79</f>
        <v>n</v>
      </c>
    </row>
    <row r="79" spans="1:16">
      <c r="A79">
        <f>'Rules-Platform'!C80</f>
        <v>536</v>
      </c>
      <c r="B79" t="str">
        <f>'Rules-Platform'!D80</f>
        <v>AT-GS970M/28</v>
      </c>
      <c r="D79" t="str">
        <f>'Rules-Platform'!O80</f>
        <v>port1.0.25-1.0.28</v>
      </c>
      <c r="E79" t="str">
        <f>'Rules-Platform'!P80</f>
        <v>1G SFP</v>
      </c>
      <c r="F79" t="str">
        <f>'Rules-Platform'!Q80</f>
        <v>n</v>
      </c>
      <c r="G79" t="str">
        <f>'Rules-Platform'!R80</f>
        <v>y</v>
      </c>
      <c r="H79" t="str">
        <f>'Rules-Platform'!S80</f>
        <v>y</v>
      </c>
      <c r="I79" t="str">
        <f>'Rules-Platform'!T80</f>
        <v>n</v>
      </c>
      <c r="J79" t="str">
        <f>'Rules-Platform'!U80</f>
        <v>n</v>
      </c>
      <c r="K79" t="str">
        <f>'Rules-Platform'!V80</f>
        <v>n</v>
      </c>
      <c r="L79" s="15" t="str">
        <f>'Rules-Platform'!W80</f>
        <v>n</v>
      </c>
      <c r="M79" t="str">
        <f>'Rules-Platform'!X80</f>
        <v>n</v>
      </c>
      <c r="N79" t="str">
        <f>'Rules-Platform'!Y80</f>
        <v>n</v>
      </c>
      <c r="O79" t="str">
        <f>'Rules-Platform'!Z80</f>
        <v>n</v>
      </c>
      <c r="P79" t="str">
        <f>'Rules-Platform'!AA80</f>
        <v>n</v>
      </c>
    </row>
    <row r="80" spans="1:16">
      <c r="A80">
        <f>'Rules-Platform'!C81</f>
        <v>537</v>
      </c>
      <c r="B80" t="str">
        <f>'Rules-Platform'!D81</f>
        <v>AT-GS970M/18</v>
      </c>
      <c r="D80" t="str">
        <f>'Rules-Platform'!O81</f>
        <v>port1.0.17-1.0.18</v>
      </c>
      <c r="E80" t="str">
        <f>'Rules-Platform'!P81</f>
        <v>1G SFP</v>
      </c>
      <c r="F80" t="str">
        <f>'Rules-Platform'!Q81</f>
        <v>n</v>
      </c>
      <c r="G80" t="str">
        <f>'Rules-Platform'!R81</f>
        <v>y</v>
      </c>
      <c r="H80" t="str">
        <f>'Rules-Platform'!S81</f>
        <v>y</v>
      </c>
      <c r="I80" t="str">
        <f>'Rules-Platform'!T81</f>
        <v>n</v>
      </c>
      <c r="J80" t="str">
        <f>'Rules-Platform'!U81</f>
        <v>n</v>
      </c>
      <c r="K80" t="str">
        <f>'Rules-Platform'!V81</f>
        <v>n</v>
      </c>
      <c r="L80" s="15" t="str">
        <f>'Rules-Platform'!W81</f>
        <v>n</v>
      </c>
      <c r="M80" t="str">
        <f>'Rules-Platform'!X81</f>
        <v>n</v>
      </c>
      <c r="N80" t="str">
        <f>'Rules-Platform'!Y81</f>
        <v>n</v>
      </c>
      <c r="O80" t="str">
        <f>'Rules-Platform'!Z81</f>
        <v>n</v>
      </c>
      <c r="P80" t="str">
        <f>'Rules-Platform'!AA81</f>
        <v>n</v>
      </c>
    </row>
    <row r="81" spans="1:16">
      <c r="A81">
        <f>'Rules-Platform'!C82</f>
        <v>538</v>
      </c>
      <c r="B81" t="str">
        <f>'Rules-Platform'!D82</f>
        <v>AT-GS970M/10</v>
      </c>
      <c r="D81" t="str">
        <f>'Rules-Platform'!O82</f>
        <v>port1.0.9-1.0.10</v>
      </c>
      <c r="E81" t="str">
        <f>'Rules-Platform'!P82</f>
        <v>1G SFP</v>
      </c>
      <c r="F81" t="str">
        <f>'Rules-Platform'!Q82</f>
        <v>n</v>
      </c>
      <c r="G81" t="str">
        <f>'Rules-Platform'!R82</f>
        <v>y</v>
      </c>
      <c r="H81" t="str">
        <f>'Rules-Platform'!S82</f>
        <v>y</v>
      </c>
      <c r="I81" t="str">
        <f>'Rules-Platform'!T82</f>
        <v>n</v>
      </c>
      <c r="J81" t="str">
        <f>'Rules-Platform'!U82</f>
        <v>n</v>
      </c>
      <c r="K81" t="str">
        <f>'Rules-Platform'!V82</f>
        <v>n</v>
      </c>
      <c r="L81" s="15" t="str">
        <f>'Rules-Platform'!W82</f>
        <v>n</v>
      </c>
      <c r="M81" t="str">
        <f>'Rules-Platform'!X82</f>
        <v>n</v>
      </c>
      <c r="N81" t="str">
        <f>'Rules-Platform'!Y82</f>
        <v>n</v>
      </c>
      <c r="O81" t="str">
        <f>'Rules-Platform'!Z82</f>
        <v>n</v>
      </c>
      <c r="P81" t="str">
        <f>'Rules-Platform'!AA82</f>
        <v>n</v>
      </c>
    </row>
    <row r="82" spans="1:16">
      <c r="A82">
        <f>'Rules-Platform'!C83</f>
        <v>543</v>
      </c>
      <c r="B82" t="str">
        <f>'Rules-Platform'!D83</f>
        <v>IE210L-10GP</v>
      </c>
      <c r="D82" t="str">
        <f>'Rules-Platform'!O83</f>
        <v>port1.0.9-1.0.10</v>
      </c>
      <c r="E82" t="str">
        <f>'Rules-Platform'!P83</f>
        <v>1G SFP</v>
      </c>
      <c r="F82" t="str">
        <f>'Rules-Platform'!Q83</f>
        <v>n</v>
      </c>
      <c r="G82" t="str">
        <f>'Rules-Platform'!R83</f>
        <v>y</v>
      </c>
      <c r="H82" t="str">
        <f>'Rules-Platform'!S83</f>
        <v>y</v>
      </c>
      <c r="I82" t="str">
        <f>'Rules-Platform'!T83</f>
        <v>n</v>
      </c>
      <c r="J82" t="str">
        <f>'Rules-Platform'!U83</f>
        <v>n</v>
      </c>
      <c r="K82" t="str">
        <f>'Rules-Platform'!V83</f>
        <v>n</v>
      </c>
      <c r="L82" s="15" t="str">
        <f>'Rules-Platform'!W83</f>
        <v>n</v>
      </c>
      <c r="M82" t="str">
        <f>'Rules-Platform'!X83</f>
        <v>n</v>
      </c>
      <c r="N82" t="str">
        <f>'Rules-Platform'!Y83</f>
        <v>n</v>
      </c>
      <c r="O82" t="str">
        <f>'Rules-Platform'!Z83</f>
        <v>n</v>
      </c>
      <c r="P82" t="str">
        <f>'Rules-Platform'!AA83</f>
        <v>n</v>
      </c>
    </row>
    <row r="83" spans="1:16">
      <c r="A83">
        <f>'Rules-Platform'!C84</f>
        <v>544</v>
      </c>
      <c r="B83" t="str">
        <f>'Rules-Platform'!D84</f>
        <v>IE210L-18GP</v>
      </c>
      <c r="D83" t="str">
        <f>'Rules-Platform'!O84</f>
        <v>port1.0.17-1.0.18</v>
      </c>
      <c r="E83" t="str">
        <f>'Rules-Platform'!P84</f>
        <v>1G SFP</v>
      </c>
      <c r="F83" t="str">
        <f>'Rules-Platform'!Q84</f>
        <v>n</v>
      </c>
      <c r="G83" t="str">
        <f>'Rules-Platform'!R84</f>
        <v>y</v>
      </c>
      <c r="H83" t="str">
        <f>'Rules-Platform'!S84</f>
        <v>y</v>
      </c>
      <c r="I83" t="str">
        <f>'Rules-Platform'!T84</f>
        <v>n</v>
      </c>
      <c r="J83" t="str">
        <f>'Rules-Platform'!U84</f>
        <v>n</v>
      </c>
      <c r="K83" t="str">
        <f>'Rules-Platform'!V84</f>
        <v>n</v>
      </c>
      <c r="L83" s="15" t="str">
        <f>'Rules-Platform'!W84</f>
        <v>n</v>
      </c>
      <c r="M83" t="str">
        <f>'Rules-Platform'!X84</f>
        <v>n</v>
      </c>
      <c r="N83" t="str">
        <f>'Rules-Platform'!Y84</f>
        <v>n</v>
      </c>
      <c r="O83" t="str">
        <f>'Rules-Platform'!Z84</f>
        <v>n</v>
      </c>
      <c r="P83" t="str">
        <f>'Rules-Platform'!AA84</f>
        <v>n</v>
      </c>
    </row>
    <row r="84" spans="1:16">
      <c r="A84">
        <f>'Rules-Platform'!C85</f>
        <v>539</v>
      </c>
      <c r="B84" t="str">
        <f>'Rules-Platform'!D85</f>
        <v>IE340-12GP</v>
      </c>
      <c r="D84" t="str">
        <f>'Rules-Platform'!O85</f>
        <v>port1.0.1-1.0.4</v>
      </c>
      <c r="E84" t="str">
        <f>'Rules-Platform'!P85</f>
        <v>1G SFP</v>
      </c>
      <c r="F84" t="str">
        <f>'Rules-Platform'!Q85</f>
        <v>n</v>
      </c>
      <c r="G84" t="str">
        <f>'Rules-Platform'!R85</f>
        <v>n</v>
      </c>
      <c r="H84" t="str">
        <f>'Rules-Platform'!S85</f>
        <v>y</v>
      </c>
      <c r="I84" t="str">
        <f>'Rules-Platform'!T85</f>
        <v>n</v>
      </c>
      <c r="J84" t="str">
        <f>'Rules-Platform'!U85</f>
        <v>n</v>
      </c>
      <c r="K84" t="str">
        <f>'Rules-Platform'!V85</f>
        <v>n</v>
      </c>
      <c r="L84" s="15" t="str">
        <f>'Rules-Platform'!W85</f>
        <v>n</v>
      </c>
      <c r="M84" t="str">
        <f>'Rules-Platform'!X85</f>
        <v>n</v>
      </c>
      <c r="N84" t="str">
        <f>'Rules-Platform'!Y85</f>
        <v>n</v>
      </c>
      <c r="O84" t="str">
        <f>'Rules-Platform'!Z85</f>
        <v>n</v>
      </c>
      <c r="P84" t="str">
        <f>'Rules-Platform'!AA85</f>
        <v>n</v>
      </c>
    </row>
    <row r="85" spans="1:16">
      <c r="A85">
        <f>'Rules-Platform'!C86</f>
        <v>540</v>
      </c>
      <c r="B85" t="str">
        <f>'Rules-Platform'!D86</f>
        <v>IE340L-18GP</v>
      </c>
      <c r="D85" t="str">
        <f>'Rules-Platform'!O86</f>
        <v>port1.0.1-1.0.2</v>
      </c>
      <c r="E85" t="str">
        <f>'Rules-Platform'!P86</f>
        <v>1G SFP</v>
      </c>
      <c r="F85" t="str">
        <f>'Rules-Platform'!Q86</f>
        <v>n</v>
      </c>
      <c r="G85" t="str">
        <f>'Rules-Platform'!R86</f>
        <v>n</v>
      </c>
      <c r="H85" t="str">
        <f>'Rules-Platform'!S86</f>
        <v>y</v>
      </c>
      <c r="I85" t="str">
        <f>'Rules-Platform'!T86</f>
        <v>n</v>
      </c>
      <c r="J85" t="str">
        <f>'Rules-Platform'!U86</f>
        <v>n</v>
      </c>
      <c r="K85" t="str">
        <f>'Rules-Platform'!V86</f>
        <v>n</v>
      </c>
      <c r="L85" s="15" t="str">
        <f>'Rules-Platform'!W86</f>
        <v>n</v>
      </c>
      <c r="M85" t="str">
        <f>'Rules-Platform'!X86</f>
        <v>n</v>
      </c>
      <c r="N85" t="str">
        <f>'Rules-Platform'!Y86</f>
        <v>n</v>
      </c>
      <c r="O85" t="str">
        <f>'Rules-Platform'!Z86</f>
        <v>n</v>
      </c>
      <c r="P85" t="str">
        <f>'Rules-Platform'!AA86</f>
        <v>n</v>
      </c>
    </row>
    <row r="86" spans="1:16">
      <c r="A86">
        <f>'Rules-Platform'!C87</f>
        <v>541</v>
      </c>
      <c r="B86" t="str">
        <f>'Rules-Platform'!D87</f>
        <v>IE340-12GT</v>
      </c>
      <c r="D86" t="str">
        <f>'Rules-Platform'!O87</f>
        <v>port1.0.1-1.0.4</v>
      </c>
      <c r="E86" t="str">
        <f>'Rules-Platform'!P87</f>
        <v>1G SFP</v>
      </c>
      <c r="F86" t="str">
        <f>'Rules-Platform'!Q87</f>
        <v>n</v>
      </c>
      <c r="G86" t="str">
        <f>'Rules-Platform'!R87</f>
        <v>n</v>
      </c>
      <c r="H86" t="str">
        <f>'Rules-Platform'!S87</f>
        <v>y</v>
      </c>
      <c r="I86" t="str">
        <f>'Rules-Platform'!T87</f>
        <v>n</v>
      </c>
      <c r="J86" t="str">
        <f>'Rules-Platform'!U87</f>
        <v>n</v>
      </c>
      <c r="K86" t="str">
        <f>'Rules-Platform'!V87</f>
        <v>n</v>
      </c>
      <c r="L86" s="15" t="str">
        <f>'Rules-Platform'!W87</f>
        <v>n</v>
      </c>
      <c r="M86" t="str">
        <f>'Rules-Platform'!X87</f>
        <v>n</v>
      </c>
      <c r="N86" t="str">
        <f>'Rules-Platform'!Y87</f>
        <v>n</v>
      </c>
      <c r="O86" t="str">
        <f>'Rules-Platform'!Z87</f>
        <v>n</v>
      </c>
      <c r="P86" t="str">
        <f>'Rules-Platform'!AA87</f>
        <v>n</v>
      </c>
    </row>
    <row r="87" spans="1:16">
      <c r="A87">
        <f>'Rules-Platform'!C88</f>
        <v>542</v>
      </c>
      <c r="B87" t="str">
        <f>'Rules-Platform'!D88</f>
        <v>IE340-20GP</v>
      </c>
      <c r="D87" t="str">
        <f>'Rules-Platform'!O88</f>
        <v>port1.0.1-1.0.4</v>
      </c>
      <c r="E87" t="str">
        <f>'Rules-Platform'!P88</f>
        <v>1G SFP</v>
      </c>
      <c r="F87" t="str">
        <f>'Rules-Platform'!Q88</f>
        <v>n</v>
      </c>
      <c r="G87" t="str">
        <f>'Rules-Platform'!R88</f>
        <v>y</v>
      </c>
      <c r="H87" t="str">
        <f>'Rules-Platform'!S88</f>
        <v>y</v>
      </c>
      <c r="I87" t="str">
        <f>'Rules-Platform'!T88</f>
        <v>n</v>
      </c>
      <c r="J87" t="str">
        <f>'Rules-Platform'!U88</f>
        <v>n</v>
      </c>
      <c r="K87" t="str">
        <f>'Rules-Platform'!V88</f>
        <v>n</v>
      </c>
      <c r="L87" s="15" t="str">
        <f>'Rules-Platform'!W88</f>
        <v>n</v>
      </c>
      <c r="M87" t="str">
        <f>'Rules-Platform'!X88</f>
        <v>n</v>
      </c>
      <c r="N87" t="str">
        <f>'Rules-Platform'!Y88</f>
        <v>n</v>
      </c>
      <c r="O87" t="str">
        <f>'Rules-Platform'!Z88</f>
        <v>n</v>
      </c>
      <c r="P87" t="str">
        <f>'Rules-Platform'!AA88</f>
        <v>n</v>
      </c>
    </row>
    <row r="88" spans="1:16">
      <c r="A88">
        <f>'Rules-Platform'!C89</f>
        <v>462</v>
      </c>
      <c r="B88" t="str">
        <f>'Rules-Platform'!D89</f>
        <v>AT-SH230-10GP</v>
      </c>
      <c r="D88" t="str">
        <f>'Rules-Platform'!O89</f>
        <v>port1.0.9-1.0.10</v>
      </c>
      <c r="E88" t="str">
        <f>'Rules-Platform'!P89</f>
        <v>1G SFP</v>
      </c>
      <c r="F88" t="str">
        <f>'Rules-Platform'!Q89</f>
        <v>n</v>
      </c>
      <c r="G88" t="str">
        <f>'Rules-Platform'!R89</f>
        <v>y</v>
      </c>
      <c r="H88" t="str">
        <f>'Rules-Platform'!S89</f>
        <v>y</v>
      </c>
      <c r="I88" t="str">
        <f>'Rules-Platform'!T89</f>
        <v>n</v>
      </c>
      <c r="J88" t="str">
        <f>'Rules-Platform'!U89</f>
        <v>n</v>
      </c>
      <c r="K88" t="str">
        <f>'Rules-Platform'!V89</f>
        <v>n</v>
      </c>
      <c r="L88" s="15" t="str">
        <f>'Rules-Platform'!W89</f>
        <v>n</v>
      </c>
      <c r="M88" t="str">
        <f>'Rules-Platform'!X89</f>
        <v>n</v>
      </c>
      <c r="N88" t="str">
        <f>'Rules-Platform'!Y89</f>
        <v>n</v>
      </c>
      <c r="O88" t="str">
        <f>'Rules-Platform'!Z89</f>
        <v>n</v>
      </c>
      <c r="P88" t="str">
        <f>'Rules-Platform'!AA89</f>
        <v>n</v>
      </c>
    </row>
    <row r="89" spans="1:16">
      <c r="A89">
        <f>'Rules-Platform'!C90</f>
        <v>463</v>
      </c>
      <c r="B89" t="str">
        <f>'Rules-Platform'!D90</f>
        <v>AT-SH230-18GP</v>
      </c>
      <c r="D89" t="str">
        <f>'Rules-Platform'!O90</f>
        <v>port1.0.17-1.0.18</v>
      </c>
      <c r="E89" t="str">
        <f>'Rules-Platform'!P90</f>
        <v>1G SFP</v>
      </c>
      <c r="F89" t="str">
        <f>'Rules-Platform'!Q90</f>
        <v>n</v>
      </c>
      <c r="G89" t="str">
        <f>'Rules-Platform'!R90</f>
        <v>y</v>
      </c>
      <c r="H89" t="str">
        <f>'Rules-Platform'!S90</f>
        <v>y</v>
      </c>
      <c r="I89" t="str">
        <f>'Rules-Platform'!T90</f>
        <v>n</v>
      </c>
      <c r="J89" t="str">
        <f>'Rules-Platform'!U90</f>
        <v>n</v>
      </c>
      <c r="K89" t="str">
        <f>'Rules-Platform'!V90</f>
        <v>n</v>
      </c>
      <c r="L89" s="15" t="str">
        <f>'Rules-Platform'!W90</f>
        <v>n</v>
      </c>
      <c r="M89" t="str">
        <f>'Rules-Platform'!X90</f>
        <v>n</v>
      </c>
      <c r="N89" t="str">
        <f>'Rules-Platform'!Y90</f>
        <v>n</v>
      </c>
      <c r="O89" t="str">
        <f>'Rules-Platform'!Z90</f>
        <v>n</v>
      </c>
      <c r="P89" t="str">
        <f>'Rules-Platform'!AA90</f>
        <v>n</v>
      </c>
    </row>
    <row r="90" spans="1:16">
      <c r="A90">
        <f>'Rules-Platform'!C91</f>
        <v>464</v>
      </c>
      <c r="B90" t="str">
        <f>'Rules-Platform'!D91</f>
        <v>AT-SH230-28GP</v>
      </c>
      <c r="D90" t="str">
        <f>'Rules-Platform'!O91</f>
        <v>port1.0.25-1.0.28</v>
      </c>
      <c r="E90" t="str">
        <f>'Rules-Platform'!P91</f>
        <v>1G SFP</v>
      </c>
      <c r="F90" t="str">
        <f>'Rules-Platform'!Q91</f>
        <v>n</v>
      </c>
      <c r="G90" t="str">
        <f>'Rules-Platform'!R91</f>
        <v>y</v>
      </c>
      <c r="H90" t="str">
        <f>'Rules-Platform'!S91</f>
        <v>y</v>
      </c>
      <c r="I90" t="str">
        <f>'Rules-Platform'!T91</f>
        <v>n</v>
      </c>
      <c r="J90" t="str">
        <f>'Rules-Platform'!U91</f>
        <v>n</v>
      </c>
      <c r="K90" t="str">
        <f>'Rules-Platform'!V91</f>
        <v>n</v>
      </c>
      <c r="L90" s="15" t="str">
        <f>'Rules-Platform'!W91</f>
        <v>n</v>
      </c>
      <c r="M90" t="str">
        <f>'Rules-Platform'!X91</f>
        <v>n</v>
      </c>
      <c r="N90" t="str">
        <f>'Rules-Platform'!Y91</f>
        <v>n</v>
      </c>
      <c r="O90" t="str">
        <f>'Rules-Platform'!Z91</f>
        <v>n</v>
      </c>
      <c r="P90" t="str">
        <f>'Rules-Platform'!AA91</f>
        <v>n</v>
      </c>
    </row>
    <row r="91" spans="1:16">
      <c r="A91">
        <f>'Rules-Platform'!C92</f>
        <v>472</v>
      </c>
      <c r="B91" t="str">
        <f>'Rules-Platform'!D92</f>
        <v>AT-SH230-10GT</v>
      </c>
      <c r="D91" t="str">
        <f>'Rules-Platform'!O92</f>
        <v>port1.0.9-1.0.10</v>
      </c>
      <c r="E91" t="str">
        <f>'Rules-Platform'!P92</f>
        <v>1G SFP</v>
      </c>
      <c r="F91" t="str">
        <f>'Rules-Platform'!Q92</f>
        <v>n</v>
      </c>
      <c r="G91" t="str">
        <f>'Rules-Platform'!R92</f>
        <v>y</v>
      </c>
      <c r="H91" t="str">
        <f>'Rules-Platform'!S92</f>
        <v>y</v>
      </c>
      <c r="I91" t="str">
        <f>'Rules-Platform'!T92</f>
        <v>n</v>
      </c>
      <c r="J91" t="str">
        <f>'Rules-Platform'!U92</f>
        <v>n</v>
      </c>
      <c r="K91" t="str">
        <f>'Rules-Platform'!V92</f>
        <v>n</v>
      </c>
      <c r="L91" s="15" t="str">
        <f>'Rules-Platform'!W92</f>
        <v>n</v>
      </c>
      <c r="M91" t="str">
        <f>'Rules-Platform'!X92</f>
        <v>n</v>
      </c>
      <c r="N91" t="str">
        <f>'Rules-Platform'!Y92</f>
        <v>n</v>
      </c>
      <c r="O91" t="str">
        <f>'Rules-Platform'!Z92</f>
        <v>n</v>
      </c>
      <c r="P91" t="str">
        <f>'Rules-Platform'!AA92</f>
        <v>n</v>
      </c>
    </row>
    <row r="92" spans="1:16">
      <c r="A92">
        <f>'Rules-Platform'!C93</f>
        <v>473</v>
      </c>
      <c r="B92" t="str">
        <f>'Rules-Platform'!D93</f>
        <v>AT-SH230-18GT</v>
      </c>
      <c r="D92" t="str">
        <f>'Rules-Platform'!O93</f>
        <v>port1.0.17-1.0.18</v>
      </c>
      <c r="E92" t="str">
        <f>'Rules-Platform'!P93</f>
        <v>1G SFP</v>
      </c>
      <c r="F92" t="str">
        <f>'Rules-Platform'!Q93</f>
        <v>n</v>
      </c>
      <c r="G92" t="str">
        <f>'Rules-Platform'!R93</f>
        <v>y</v>
      </c>
      <c r="H92" t="str">
        <f>'Rules-Platform'!S93</f>
        <v>y</v>
      </c>
      <c r="I92" t="str">
        <f>'Rules-Platform'!T93</f>
        <v>n</v>
      </c>
      <c r="J92" t="str">
        <f>'Rules-Platform'!U93</f>
        <v>n</v>
      </c>
      <c r="K92" t="str">
        <f>'Rules-Platform'!V93</f>
        <v>n</v>
      </c>
      <c r="L92" s="15" t="str">
        <f>'Rules-Platform'!W93</f>
        <v>n</v>
      </c>
      <c r="M92" t="str">
        <f>'Rules-Platform'!X93</f>
        <v>n</v>
      </c>
      <c r="N92" t="str">
        <f>'Rules-Platform'!Y93</f>
        <v>n</v>
      </c>
      <c r="O92" t="str">
        <f>'Rules-Platform'!Z93</f>
        <v>n</v>
      </c>
      <c r="P92" t="str">
        <f>'Rules-Platform'!AA93</f>
        <v>n</v>
      </c>
    </row>
    <row r="93" spans="1:16">
      <c r="A93">
        <f>'Rules-Platform'!C94</f>
        <v>474</v>
      </c>
      <c r="B93" t="str">
        <f>'Rules-Platform'!D94</f>
        <v>AT-SH230-28GT</v>
      </c>
      <c r="D93" t="str">
        <f>'Rules-Platform'!O94</f>
        <v>port1.0.25-1.0.28</v>
      </c>
      <c r="E93" t="str">
        <f>'Rules-Platform'!P94</f>
        <v>1G SFP</v>
      </c>
      <c r="F93" t="str">
        <f>'Rules-Platform'!Q94</f>
        <v>n</v>
      </c>
      <c r="G93" t="str">
        <f>'Rules-Platform'!R94</f>
        <v>y</v>
      </c>
      <c r="H93" t="str">
        <f>'Rules-Platform'!S94</f>
        <v>y</v>
      </c>
      <c r="I93" t="str">
        <f>'Rules-Platform'!T94</f>
        <v>n</v>
      </c>
      <c r="J93" t="str">
        <f>'Rules-Platform'!U94</f>
        <v>n</v>
      </c>
      <c r="K93" t="str">
        <f>'Rules-Platform'!V94</f>
        <v>n</v>
      </c>
      <c r="L93" s="15" t="str">
        <f>'Rules-Platform'!W94</f>
        <v>n</v>
      </c>
      <c r="M93" t="str">
        <f>'Rules-Platform'!X94</f>
        <v>n</v>
      </c>
      <c r="N93" t="str">
        <f>'Rules-Platform'!Y94</f>
        <v>n</v>
      </c>
      <c r="O93" t="str">
        <f>'Rules-Platform'!Z94</f>
        <v>n</v>
      </c>
      <c r="P93" t="str">
        <f>'Rules-Platform'!AA94</f>
        <v>n</v>
      </c>
    </row>
    <row r="94" spans="1:16">
      <c r="A94">
        <f>'Rules-Platform'!C95</f>
        <v>400</v>
      </c>
      <c r="B94" t="str">
        <f>'Rules-Platform'!D95</f>
        <v>x230-10GT</v>
      </c>
      <c r="D94" t="str">
        <f>'Rules-Platform'!O95</f>
        <v>port1.0.9-1.0.10</v>
      </c>
      <c r="E94" t="str">
        <f>'Rules-Platform'!P95</f>
        <v>1G SFP</v>
      </c>
      <c r="F94" t="str">
        <f>'Rules-Platform'!Q95</f>
        <v>n</v>
      </c>
      <c r="G94" t="str">
        <f>'Rules-Platform'!R95</f>
        <v>y</v>
      </c>
      <c r="H94" t="str">
        <f>'Rules-Platform'!S95</f>
        <v>y</v>
      </c>
      <c r="I94" t="str">
        <f>'Rules-Platform'!T95</f>
        <v>n</v>
      </c>
      <c r="J94" t="str">
        <f>'Rules-Platform'!U95</f>
        <v>n</v>
      </c>
      <c r="K94" t="str">
        <f>'Rules-Platform'!V95</f>
        <v>n</v>
      </c>
      <c r="L94" s="15" t="str">
        <f>'Rules-Platform'!W95</f>
        <v>n</v>
      </c>
      <c r="M94" t="str">
        <f>'Rules-Platform'!X95</f>
        <v>n</v>
      </c>
      <c r="N94" t="str">
        <f>'Rules-Platform'!Y95</f>
        <v>n</v>
      </c>
      <c r="O94" t="str">
        <f>'Rules-Platform'!Z95</f>
        <v>n</v>
      </c>
      <c r="P94" t="str">
        <f>'Rules-Platform'!AA95</f>
        <v>n</v>
      </c>
    </row>
    <row r="95" spans="1:16">
      <c r="A95">
        <f>'Rules-Platform'!C96</f>
        <v>401</v>
      </c>
      <c r="B95" t="str">
        <f>'Rules-Platform'!D96</f>
        <v>x230-18GT</v>
      </c>
      <c r="D95" t="str">
        <f>'Rules-Platform'!O96</f>
        <v>port1.0.17-1.0.18</v>
      </c>
      <c r="E95" t="str">
        <f>'Rules-Platform'!P96</f>
        <v>1G SFP</v>
      </c>
      <c r="F95" t="str">
        <f>'Rules-Platform'!Q96</f>
        <v>n</v>
      </c>
      <c r="G95" t="str">
        <f>'Rules-Platform'!R96</f>
        <v>y</v>
      </c>
      <c r="H95" t="str">
        <f>'Rules-Platform'!S96</f>
        <v>y</v>
      </c>
      <c r="I95" t="str">
        <f>'Rules-Platform'!T96</f>
        <v>n</v>
      </c>
      <c r="J95" t="str">
        <f>'Rules-Platform'!U96</f>
        <v>n</v>
      </c>
      <c r="K95" t="str">
        <f>'Rules-Platform'!V96</f>
        <v>n</v>
      </c>
      <c r="L95" s="15" t="str">
        <f>'Rules-Platform'!W96</f>
        <v>n</v>
      </c>
      <c r="M95" t="str">
        <f>'Rules-Platform'!X96</f>
        <v>n</v>
      </c>
      <c r="N95" t="str">
        <f>'Rules-Platform'!Y96</f>
        <v>n</v>
      </c>
      <c r="O95" t="str">
        <f>'Rules-Platform'!Z96</f>
        <v>n</v>
      </c>
      <c r="P95" t="str">
        <f>'Rules-Platform'!AA96</f>
        <v>n</v>
      </c>
    </row>
    <row r="96" spans="1:16">
      <c r="A96">
        <f>'Rules-Platform'!C97</f>
        <v>402</v>
      </c>
      <c r="B96" t="str">
        <f>'Rules-Platform'!D97</f>
        <v>x230-28GT</v>
      </c>
      <c r="D96" t="str">
        <f>'Rules-Platform'!O97</f>
        <v>port1.0.25-1.0.28</v>
      </c>
      <c r="E96" t="str">
        <f>'Rules-Platform'!P97</f>
        <v>1G SFP</v>
      </c>
      <c r="F96" t="str">
        <f>'Rules-Platform'!Q97</f>
        <v>n</v>
      </c>
      <c r="G96" t="str">
        <f>'Rules-Platform'!R97</f>
        <v>y</v>
      </c>
      <c r="H96" t="str">
        <f>'Rules-Platform'!S97</f>
        <v>y</v>
      </c>
      <c r="I96" t="str">
        <f>'Rules-Platform'!T97</f>
        <v>n</v>
      </c>
      <c r="J96" t="str">
        <f>'Rules-Platform'!U97</f>
        <v>n</v>
      </c>
      <c r="K96" t="str">
        <f>'Rules-Platform'!V97</f>
        <v>n</v>
      </c>
      <c r="L96" s="15" t="str">
        <f>'Rules-Platform'!W97</f>
        <v>n</v>
      </c>
      <c r="M96" t="str">
        <f>'Rules-Platform'!X97</f>
        <v>n</v>
      </c>
      <c r="N96" t="str">
        <f>'Rules-Platform'!Y97</f>
        <v>n</v>
      </c>
      <c r="O96" t="str">
        <f>'Rules-Platform'!Z97</f>
        <v>n</v>
      </c>
      <c r="P96" t="str">
        <f>'Rules-Platform'!AA97</f>
        <v>n</v>
      </c>
    </row>
    <row r="97" spans="1:16">
      <c r="A97">
        <f>'Rules-Platform'!C98</f>
        <v>403</v>
      </c>
      <c r="B97" t="str">
        <f>'Rules-Platform'!D98</f>
        <v>x230-52GT</v>
      </c>
      <c r="D97" t="str">
        <f>'Rules-Platform'!O98</f>
        <v>port1.0.48-1.0.52</v>
      </c>
      <c r="E97" t="str">
        <f>'Rules-Platform'!P98</f>
        <v>1G SFP</v>
      </c>
      <c r="F97" t="str">
        <f>'Rules-Platform'!Q98</f>
        <v>n</v>
      </c>
      <c r="G97" t="str">
        <f>'Rules-Platform'!R98</f>
        <v>y</v>
      </c>
      <c r="H97" t="str">
        <f>'Rules-Platform'!S98</f>
        <v>y</v>
      </c>
      <c r="I97" t="str">
        <f>'Rules-Platform'!T98</f>
        <v>n</v>
      </c>
      <c r="J97" t="str">
        <f>'Rules-Platform'!U98</f>
        <v>n</v>
      </c>
      <c r="K97" t="str">
        <f>'Rules-Platform'!V98</f>
        <v>n</v>
      </c>
      <c r="L97" s="15" t="str">
        <f>'Rules-Platform'!W98</f>
        <v>n</v>
      </c>
      <c r="M97" t="str">
        <f>'Rules-Platform'!X98</f>
        <v>n</v>
      </c>
      <c r="N97" t="str">
        <f>'Rules-Platform'!Y98</f>
        <v>n</v>
      </c>
      <c r="O97" t="str">
        <f>'Rules-Platform'!Z98</f>
        <v>n</v>
      </c>
      <c r="P97" t="str">
        <f>'Rules-Platform'!AA98</f>
        <v>n</v>
      </c>
    </row>
    <row r="98" spans="1:16">
      <c r="A98">
        <f>'Rules-Platform'!C99</f>
        <v>404</v>
      </c>
      <c r="B98" t="str">
        <f>'Rules-Platform'!D99</f>
        <v>x230-10GP</v>
      </c>
      <c r="D98" t="str">
        <f>'Rules-Platform'!O99</f>
        <v>port1.0.9-1.0.10</v>
      </c>
      <c r="E98" t="str">
        <f>'Rules-Platform'!P99</f>
        <v>1G SFP</v>
      </c>
      <c r="F98" t="str">
        <f>'Rules-Platform'!Q99</f>
        <v>n</v>
      </c>
      <c r="G98" t="str">
        <f>'Rules-Platform'!R99</f>
        <v>y</v>
      </c>
      <c r="H98" t="str">
        <f>'Rules-Platform'!S99</f>
        <v>y</v>
      </c>
      <c r="I98" t="str">
        <f>'Rules-Platform'!T99</f>
        <v>n</v>
      </c>
      <c r="J98" t="str">
        <f>'Rules-Platform'!U99</f>
        <v>n</v>
      </c>
      <c r="K98" t="str">
        <f>'Rules-Platform'!V99</f>
        <v>n</v>
      </c>
      <c r="L98" s="15" t="str">
        <f>'Rules-Platform'!W99</f>
        <v>n</v>
      </c>
      <c r="M98" t="str">
        <f>'Rules-Platform'!X99</f>
        <v>n</v>
      </c>
      <c r="N98" t="str">
        <f>'Rules-Platform'!Y99</f>
        <v>n</v>
      </c>
      <c r="O98" t="str">
        <f>'Rules-Platform'!Z99</f>
        <v>n</v>
      </c>
      <c r="P98" t="str">
        <f>'Rules-Platform'!AA99</f>
        <v>n</v>
      </c>
    </row>
    <row r="99" spans="1:16">
      <c r="A99">
        <f>'Rules-Platform'!C100</f>
        <v>405</v>
      </c>
      <c r="B99" t="str">
        <f>'Rules-Platform'!D100</f>
        <v>x230-18GP</v>
      </c>
      <c r="D99" t="str">
        <f>'Rules-Platform'!O100</f>
        <v>port1.0.17-1.0.18</v>
      </c>
      <c r="E99" t="str">
        <f>'Rules-Platform'!P100</f>
        <v>1G SFP</v>
      </c>
      <c r="F99" t="str">
        <f>'Rules-Platform'!Q100</f>
        <v>n</v>
      </c>
      <c r="G99" t="str">
        <f>'Rules-Platform'!R100</f>
        <v>y</v>
      </c>
      <c r="H99" t="str">
        <f>'Rules-Platform'!S100</f>
        <v>y</v>
      </c>
      <c r="I99" t="str">
        <f>'Rules-Platform'!T100</f>
        <v>n</v>
      </c>
      <c r="J99" t="str">
        <f>'Rules-Platform'!U100</f>
        <v>n</v>
      </c>
      <c r="K99" t="str">
        <f>'Rules-Platform'!V100</f>
        <v>n</v>
      </c>
      <c r="L99" s="15" t="str">
        <f>'Rules-Platform'!W100</f>
        <v>n</v>
      </c>
      <c r="M99" t="str">
        <f>'Rules-Platform'!X100</f>
        <v>n</v>
      </c>
      <c r="N99" t="str">
        <f>'Rules-Platform'!Y100</f>
        <v>n</v>
      </c>
      <c r="O99" t="str">
        <f>'Rules-Platform'!Z100</f>
        <v>n</v>
      </c>
      <c r="P99" t="str">
        <f>'Rules-Platform'!AA100</f>
        <v>n</v>
      </c>
    </row>
    <row r="100" spans="1:16">
      <c r="A100">
        <f>'Rules-Platform'!C101</f>
        <v>406</v>
      </c>
      <c r="B100" t="str">
        <f>'Rules-Platform'!D101</f>
        <v>x230-28GP</v>
      </c>
      <c r="D100" t="str">
        <f>'Rules-Platform'!O101</f>
        <v>port1.0.25-1.0.28</v>
      </c>
      <c r="E100" t="str">
        <f>'Rules-Platform'!P101</f>
        <v>1G SFP</v>
      </c>
      <c r="F100" t="str">
        <f>'Rules-Platform'!Q101</f>
        <v>n</v>
      </c>
      <c r="G100" t="str">
        <f>'Rules-Platform'!R101</f>
        <v>y</v>
      </c>
      <c r="H100" t="str">
        <f>'Rules-Platform'!S101</f>
        <v>y</v>
      </c>
      <c r="I100" t="str">
        <f>'Rules-Platform'!T101</f>
        <v>n</v>
      </c>
      <c r="J100" t="str">
        <f>'Rules-Platform'!U101</f>
        <v>n</v>
      </c>
      <c r="K100" t="str">
        <f>'Rules-Platform'!V101</f>
        <v>n</v>
      </c>
      <c r="L100" s="15" t="str">
        <f>'Rules-Platform'!W101</f>
        <v>n</v>
      </c>
      <c r="M100" t="str">
        <f>'Rules-Platform'!X101</f>
        <v>n</v>
      </c>
      <c r="N100" t="str">
        <f>'Rules-Platform'!Y101</f>
        <v>n</v>
      </c>
      <c r="O100" t="str">
        <f>'Rules-Platform'!Z101</f>
        <v>n</v>
      </c>
      <c r="P100" t="str">
        <f>'Rules-Platform'!AA101</f>
        <v>n</v>
      </c>
    </row>
    <row r="101" spans="1:16">
      <c r="A101">
        <f>'Rules-Platform'!C102</f>
        <v>407</v>
      </c>
      <c r="B101" t="str">
        <f>'Rules-Platform'!D102</f>
        <v>x230-52GP</v>
      </c>
      <c r="D101" t="str">
        <f>'Rules-Platform'!O102</f>
        <v>port1.0.48-1.0.52</v>
      </c>
      <c r="E101" t="str">
        <f>'Rules-Platform'!P102</f>
        <v>1G SFP</v>
      </c>
      <c r="F101" t="str">
        <f>'Rules-Platform'!Q102</f>
        <v>n</v>
      </c>
      <c r="G101" t="str">
        <f>'Rules-Platform'!R102</f>
        <v>y</v>
      </c>
      <c r="H101" t="str">
        <f>'Rules-Platform'!S102</f>
        <v>y</v>
      </c>
      <c r="I101" t="str">
        <f>'Rules-Platform'!T102</f>
        <v>n</v>
      </c>
      <c r="J101" t="str">
        <f>'Rules-Platform'!U102</f>
        <v>n</v>
      </c>
      <c r="K101" t="str">
        <f>'Rules-Platform'!V102</f>
        <v>n</v>
      </c>
      <c r="L101" s="15" t="str">
        <f>'Rules-Platform'!W102</f>
        <v>n</v>
      </c>
      <c r="M101" t="str">
        <f>'Rules-Platform'!X102</f>
        <v>n</v>
      </c>
      <c r="N101" t="str">
        <f>'Rules-Platform'!Y102</f>
        <v>n</v>
      </c>
      <c r="O101" t="str">
        <f>'Rules-Platform'!Z102</f>
        <v>n</v>
      </c>
      <c r="P101" t="str">
        <f>'Rules-Platform'!AA102</f>
        <v>n</v>
      </c>
    </row>
    <row r="102" spans="1:16">
      <c r="A102">
        <f>'Rules-Platform'!C103</f>
        <v>555</v>
      </c>
      <c r="B102" t="str">
        <f>'Rules-Platform'!D103</f>
        <v>x230L-17GT</v>
      </c>
      <c r="D102" t="str">
        <f>'Rules-Platform'!O103</f>
        <v>port1.0.17</v>
      </c>
      <c r="E102" t="str">
        <f>'Rules-Platform'!P103</f>
        <v>1G SFP</v>
      </c>
      <c r="F102" t="str">
        <f>'Rules-Platform'!Q103</f>
        <v>n</v>
      </c>
      <c r="G102" t="str">
        <f>'Rules-Platform'!R103</f>
        <v>y</v>
      </c>
      <c r="H102" t="str">
        <f>'Rules-Platform'!S103</f>
        <v>y</v>
      </c>
      <c r="I102" t="str">
        <f>'Rules-Platform'!T103</f>
        <v>n</v>
      </c>
      <c r="J102" t="str">
        <f>'Rules-Platform'!U103</f>
        <v>n</v>
      </c>
      <c r="K102" t="str">
        <f>'Rules-Platform'!V103</f>
        <v>n</v>
      </c>
      <c r="L102" s="15" t="str">
        <f>'Rules-Platform'!W103</f>
        <v>n</v>
      </c>
      <c r="M102" t="str">
        <f>'Rules-Platform'!X103</f>
        <v>n</v>
      </c>
      <c r="N102" t="str">
        <f>'Rules-Platform'!Y103</f>
        <v>n</v>
      </c>
      <c r="O102" t="str">
        <f>'Rules-Platform'!Z103</f>
        <v>n</v>
      </c>
      <c r="P102" t="str">
        <f>'Rules-Platform'!AA103</f>
        <v>n</v>
      </c>
    </row>
    <row r="103" spans="1:16">
      <c r="A103">
        <f>'Rules-Platform'!C104</f>
        <v>556</v>
      </c>
      <c r="B103" t="str">
        <f>'Rules-Platform'!D104</f>
        <v>x230L-26GT</v>
      </c>
      <c r="D103" t="str">
        <f>'Rules-Platform'!O104</f>
        <v>port1.0.25-1.0.26</v>
      </c>
      <c r="E103" t="str">
        <f>'Rules-Platform'!P104</f>
        <v>1G SFP</v>
      </c>
      <c r="F103" t="str">
        <f>'Rules-Platform'!Q104</f>
        <v>n</v>
      </c>
      <c r="G103" t="str">
        <f>'Rules-Platform'!R104</f>
        <v>y</v>
      </c>
      <c r="H103" t="str">
        <f>'Rules-Platform'!S104</f>
        <v>y</v>
      </c>
      <c r="I103" t="str">
        <f>'Rules-Platform'!T104</f>
        <v>n</v>
      </c>
      <c r="J103" t="str">
        <f>'Rules-Platform'!U104</f>
        <v>n</v>
      </c>
      <c r="K103" t="str">
        <f>'Rules-Platform'!V104</f>
        <v>n</v>
      </c>
      <c r="L103" s="15" t="str">
        <f>'Rules-Platform'!W104</f>
        <v>n</v>
      </c>
      <c r="M103" t="str">
        <f>'Rules-Platform'!X104</f>
        <v>n</v>
      </c>
      <c r="N103" t="str">
        <f>'Rules-Platform'!Y104</f>
        <v>n</v>
      </c>
      <c r="O103" t="str">
        <f>'Rules-Platform'!Z104</f>
        <v>n</v>
      </c>
      <c r="P103" t="str">
        <f>'Rules-Platform'!AA104</f>
        <v>n</v>
      </c>
    </row>
    <row r="104" spans="1:16">
      <c r="A104">
        <f>'Rules-Platform'!C105</f>
        <v>442</v>
      </c>
      <c r="B104" t="str">
        <f>'Rules-Platform'!D105</f>
        <v>AT-GS924MX</v>
      </c>
      <c r="D104" t="str">
        <f>'Rules-Platform'!O105</f>
        <v>port1.0.25-1.0.26</v>
      </c>
      <c r="E104" t="str">
        <f>'Rules-Platform'!P105</f>
        <v>1G Combo</v>
      </c>
      <c r="F104" t="str">
        <f>'Rules-Platform'!Q105</f>
        <v>n</v>
      </c>
      <c r="G104" t="str">
        <f>'Rules-Platform'!R105</f>
        <v>y</v>
      </c>
      <c r="H104" t="str">
        <f>'Rules-Platform'!S105</f>
        <v>y</v>
      </c>
      <c r="I104" t="str">
        <f>'Rules-Platform'!T105</f>
        <v>n</v>
      </c>
      <c r="J104" t="str">
        <f>'Rules-Platform'!U105</f>
        <v>n</v>
      </c>
      <c r="K104" t="str">
        <f>'Rules-Platform'!V105</f>
        <v>n</v>
      </c>
      <c r="L104" s="15" t="str">
        <f>'Rules-Platform'!W105</f>
        <v>n</v>
      </c>
      <c r="M104" t="str">
        <f>'Rules-Platform'!X105</f>
        <v>n</v>
      </c>
      <c r="N104" t="str">
        <f>'Rules-Platform'!Y105</f>
        <v>n</v>
      </c>
      <c r="O104" t="str">
        <f>'Rules-Platform'!Z105</f>
        <v>n</v>
      </c>
      <c r="P104" t="str">
        <f>'Rules-Platform'!AA105</f>
        <v>n</v>
      </c>
    </row>
    <row r="105" spans="1:16">
      <c r="A105">
        <f>'Rules-Platform'!C106</f>
        <v>442</v>
      </c>
      <c r="B105" t="str">
        <f>'Rules-Platform'!D106</f>
        <v>AT-GS924MX</v>
      </c>
      <c r="D105" t="str">
        <f>'Rules-Platform'!O106</f>
        <v>port1.0.27-1.0.28</v>
      </c>
      <c r="E105" t="str">
        <f>'Rules-Platform'!P106</f>
        <v>10G SFP+</v>
      </c>
      <c r="F105" t="str">
        <f>'Rules-Platform'!Q106</f>
        <v>n</v>
      </c>
      <c r="G105" t="str">
        <f>'Rules-Platform'!R106</f>
        <v>n</v>
      </c>
      <c r="H105" t="str">
        <f>'Rules-Platform'!S106</f>
        <v>n</v>
      </c>
      <c r="I105" t="str">
        <f>'Rules-Platform'!T106</f>
        <v>n</v>
      </c>
      <c r="J105" t="str">
        <f>'Rules-Platform'!U106</f>
        <v>n</v>
      </c>
      <c r="K105" t="str">
        <f>'Rules-Platform'!V106</f>
        <v>y</v>
      </c>
      <c r="L105" s="15" t="str">
        <f>'Rules-Platform'!W106</f>
        <v>n</v>
      </c>
      <c r="M105" t="str">
        <f>'Rules-Platform'!X106</f>
        <v>n</v>
      </c>
      <c r="N105" t="str">
        <f>'Rules-Platform'!Y106</f>
        <v>n</v>
      </c>
      <c r="O105" t="str">
        <f>'Rules-Platform'!Z106</f>
        <v>n</v>
      </c>
      <c r="P105" t="str">
        <f>'Rules-Platform'!AA106</f>
        <v>n</v>
      </c>
    </row>
    <row r="106" spans="1:16">
      <c r="A106">
        <f>'Rules-Platform'!C107</f>
        <v>443</v>
      </c>
      <c r="B106" t="str">
        <f>'Rules-Platform'!D107</f>
        <v>AT-GS924MPX</v>
      </c>
      <c r="D106" t="str">
        <f>'Rules-Platform'!O107</f>
        <v>port1.0.25-1.0.26</v>
      </c>
      <c r="E106" t="str">
        <f>'Rules-Platform'!P107</f>
        <v>1G Combo</v>
      </c>
      <c r="F106" t="str">
        <f>'Rules-Platform'!Q107</f>
        <v>n</v>
      </c>
      <c r="G106" t="str">
        <f>'Rules-Platform'!R107</f>
        <v>y</v>
      </c>
      <c r="H106" t="str">
        <f>'Rules-Platform'!S107</f>
        <v>y</v>
      </c>
      <c r="I106" t="str">
        <f>'Rules-Platform'!T107</f>
        <v>n</v>
      </c>
      <c r="J106" t="str">
        <f>'Rules-Platform'!U107</f>
        <v>n</v>
      </c>
      <c r="K106" t="str">
        <f>'Rules-Platform'!V107</f>
        <v>n</v>
      </c>
      <c r="L106" s="15" t="str">
        <f>'Rules-Platform'!W107</f>
        <v>n</v>
      </c>
      <c r="M106" t="str">
        <f>'Rules-Platform'!X107</f>
        <v>n</v>
      </c>
      <c r="N106" t="str">
        <f>'Rules-Platform'!Y107</f>
        <v>n</v>
      </c>
      <c r="O106" t="str">
        <f>'Rules-Platform'!Z107</f>
        <v>n</v>
      </c>
      <c r="P106" t="str">
        <f>'Rules-Platform'!AA107</f>
        <v>n</v>
      </c>
    </row>
    <row r="107" spans="1:16">
      <c r="A107">
        <f>'Rules-Platform'!C108</f>
        <v>443</v>
      </c>
      <c r="B107" t="str">
        <f>'Rules-Platform'!D108</f>
        <v>AT-GS924MPX</v>
      </c>
      <c r="D107" t="str">
        <f>'Rules-Platform'!O108</f>
        <v>port1.0.27-1.0.28</v>
      </c>
      <c r="E107" t="str">
        <f>'Rules-Platform'!P108</f>
        <v>10G SFP+</v>
      </c>
      <c r="F107" t="str">
        <f>'Rules-Platform'!Q108</f>
        <v>n</v>
      </c>
      <c r="G107" t="str">
        <f>'Rules-Platform'!R108</f>
        <v>n</v>
      </c>
      <c r="H107" t="str">
        <f>'Rules-Platform'!S108</f>
        <v>n</v>
      </c>
      <c r="I107" t="str">
        <f>'Rules-Platform'!T108</f>
        <v>n</v>
      </c>
      <c r="J107" t="str">
        <f>'Rules-Platform'!U108</f>
        <v>n</v>
      </c>
      <c r="K107" t="str">
        <f>'Rules-Platform'!V108</f>
        <v>y</v>
      </c>
      <c r="L107" s="15" t="str">
        <f>'Rules-Platform'!W108</f>
        <v>n</v>
      </c>
      <c r="M107" t="str">
        <f>'Rules-Platform'!X108</f>
        <v>n</v>
      </c>
      <c r="N107" t="str">
        <f>'Rules-Platform'!Y108</f>
        <v>n</v>
      </c>
      <c r="O107" t="str">
        <f>'Rules-Platform'!Z108</f>
        <v>n</v>
      </c>
      <c r="P107" t="str">
        <f>'Rules-Platform'!AA108</f>
        <v>n</v>
      </c>
    </row>
    <row r="108" spans="1:16">
      <c r="A108">
        <f>'Rules-Platform'!C109</f>
        <v>444</v>
      </c>
      <c r="B108" t="str">
        <f>'Rules-Platform'!D109</f>
        <v>AT-GS948MX</v>
      </c>
      <c r="D108" t="str">
        <f>'Rules-Platform'!O109</f>
        <v>port1.0.49-1.0.50</v>
      </c>
      <c r="E108" t="str">
        <f>'Rules-Platform'!P109</f>
        <v>1G Combo</v>
      </c>
      <c r="F108" t="str">
        <f>'Rules-Platform'!Q109</f>
        <v>n</v>
      </c>
      <c r="G108" t="str">
        <f>'Rules-Platform'!R109</f>
        <v>y</v>
      </c>
      <c r="H108" t="str">
        <f>'Rules-Platform'!S109</f>
        <v>y</v>
      </c>
      <c r="I108" t="str">
        <f>'Rules-Platform'!T109</f>
        <v>n</v>
      </c>
      <c r="J108" t="str">
        <f>'Rules-Platform'!U109</f>
        <v>n</v>
      </c>
      <c r="K108" t="str">
        <f>'Rules-Platform'!V109</f>
        <v>n</v>
      </c>
      <c r="L108" s="15" t="str">
        <f>'Rules-Platform'!W109</f>
        <v>n</v>
      </c>
      <c r="M108" t="str">
        <f>'Rules-Platform'!X109</f>
        <v>n</v>
      </c>
      <c r="N108" t="str">
        <f>'Rules-Platform'!Y109</f>
        <v>n</v>
      </c>
      <c r="O108" t="str">
        <f>'Rules-Platform'!Z109</f>
        <v>n</v>
      </c>
      <c r="P108" t="str">
        <f>'Rules-Platform'!AA109</f>
        <v>n</v>
      </c>
    </row>
    <row r="109" spans="1:16">
      <c r="A109">
        <f>'Rules-Platform'!C110</f>
        <v>444</v>
      </c>
      <c r="B109" t="str">
        <f>'Rules-Platform'!D110</f>
        <v>AT-GS948MX</v>
      </c>
      <c r="D109" t="str">
        <f>'Rules-Platform'!O110</f>
        <v>port1.0.51-1.0.52</v>
      </c>
      <c r="E109" t="str">
        <f>'Rules-Platform'!P110</f>
        <v>10G SFP+</v>
      </c>
      <c r="F109" t="str">
        <f>'Rules-Platform'!Q110</f>
        <v>n</v>
      </c>
      <c r="G109" t="str">
        <f>'Rules-Platform'!R110</f>
        <v>n</v>
      </c>
      <c r="H109" t="str">
        <f>'Rules-Platform'!S110</f>
        <v>n</v>
      </c>
      <c r="I109" t="str">
        <f>'Rules-Platform'!T110</f>
        <v>n</v>
      </c>
      <c r="J109" t="str">
        <f>'Rules-Platform'!U110</f>
        <v>n</v>
      </c>
      <c r="K109" t="str">
        <f>'Rules-Platform'!V110</f>
        <v>y</v>
      </c>
      <c r="L109" s="15" t="str">
        <f>'Rules-Platform'!W110</f>
        <v>n</v>
      </c>
      <c r="M109" t="str">
        <f>'Rules-Platform'!X110</f>
        <v>n</v>
      </c>
      <c r="N109" t="str">
        <f>'Rules-Platform'!Y110</f>
        <v>n</v>
      </c>
      <c r="O109" t="str">
        <f>'Rules-Platform'!Z110</f>
        <v>n</v>
      </c>
      <c r="P109" t="str">
        <f>'Rules-Platform'!AA110</f>
        <v>n</v>
      </c>
    </row>
    <row r="110" spans="1:16">
      <c r="A110">
        <f>'Rules-Platform'!C111</f>
        <v>445</v>
      </c>
      <c r="B110" t="str">
        <f>'Rules-Platform'!D111</f>
        <v>AT-GS948MPX</v>
      </c>
      <c r="D110" t="str">
        <f>'Rules-Platform'!O111</f>
        <v>port1.0.49-1.0.50</v>
      </c>
      <c r="E110" t="str">
        <f>'Rules-Platform'!P111</f>
        <v>1G Combo</v>
      </c>
      <c r="F110" t="str">
        <f>'Rules-Platform'!Q111</f>
        <v>n</v>
      </c>
      <c r="G110" t="str">
        <f>'Rules-Platform'!R111</f>
        <v>y</v>
      </c>
      <c r="H110" t="str">
        <f>'Rules-Platform'!S111</f>
        <v>y</v>
      </c>
      <c r="I110" t="str">
        <f>'Rules-Platform'!T111</f>
        <v>n</v>
      </c>
      <c r="J110" t="str">
        <f>'Rules-Platform'!U111</f>
        <v>n</v>
      </c>
      <c r="K110" t="str">
        <f>'Rules-Platform'!V111</f>
        <v>n</v>
      </c>
      <c r="L110" s="15" t="str">
        <f>'Rules-Platform'!W111</f>
        <v>n</v>
      </c>
      <c r="M110" t="str">
        <f>'Rules-Platform'!X111</f>
        <v>n</v>
      </c>
      <c r="N110" t="str">
        <f>'Rules-Platform'!Y111</f>
        <v>n</v>
      </c>
      <c r="O110" t="str">
        <f>'Rules-Platform'!Z111</f>
        <v>n</v>
      </c>
      <c r="P110" t="str">
        <f>'Rules-Platform'!AA111</f>
        <v>n</v>
      </c>
    </row>
    <row r="111" spans="1:16">
      <c r="A111">
        <f>'Rules-Platform'!C112</f>
        <v>445</v>
      </c>
      <c r="B111" t="str">
        <f>'Rules-Platform'!D112</f>
        <v>AT-GS948MPX</v>
      </c>
      <c r="D111" t="str">
        <f>'Rules-Platform'!O112</f>
        <v>port1.0.51-1.0.52</v>
      </c>
      <c r="E111" t="str">
        <f>'Rules-Platform'!P112</f>
        <v>10G SFP+</v>
      </c>
      <c r="F111" t="str">
        <f>'Rules-Platform'!Q112</f>
        <v>n</v>
      </c>
      <c r="G111" t="str">
        <f>'Rules-Platform'!R112</f>
        <v>n</v>
      </c>
      <c r="H111" t="str">
        <f>'Rules-Platform'!S112</f>
        <v>n</v>
      </c>
      <c r="I111" t="str">
        <f>'Rules-Platform'!T112</f>
        <v>n</v>
      </c>
      <c r="J111" t="str">
        <f>'Rules-Platform'!U112</f>
        <v>n</v>
      </c>
      <c r="K111" t="str">
        <f>'Rules-Platform'!V112</f>
        <v>y</v>
      </c>
      <c r="L111" s="15" t="str">
        <f>'Rules-Platform'!W112</f>
        <v>n</v>
      </c>
      <c r="M111" t="str">
        <f>'Rules-Platform'!X112</f>
        <v>n</v>
      </c>
      <c r="N111" t="str">
        <f>'Rules-Platform'!Y112</f>
        <v>n</v>
      </c>
      <c r="O111" t="str">
        <f>'Rules-Platform'!Z112</f>
        <v>n</v>
      </c>
      <c r="P111" t="str">
        <f>'Rules-Platform'!AA112</f>
        <v>n</v>
      </c>
    </row>
    <row r="112" spans="1:16">
      <c r="A112">
        <f>'Rules-Platform'!C113</f>
        <v>437</v>
      </c>
      <c r="B112" t="str">
        <f>'Rules-Platform'!D113</f>
        <v>AT-IE300-12GT</v>
      </c>
      <c r="D112" t="str">
        <f>'Rules-Platform'!O113</f>
        <v>port1.0.1-1.0.4</v>
      </c>
      <c r="E112" t="str">
        <f>'Rules-Platform'!P113</f>
        <v>1G SFP</v>
      </c>
      <c r="F112" t="str">
        <f>'Rules-Platform'!Q113</f>
        <v>y</v>
      </c>
      <c r="G112" t="str">
        <f>'Rules-Platform'!R113</f>
        <v>y</v>
      </c>
      <c r="H112" t="str">
        <f>'Rules-Platform'!S113</f>
        <v>y</v>
      </c>
      <c r="I112" t="str">
        <f>'Rules-Platform'!T113</f>
        <v>n</v>
      </c>
      <c r="J112" t="str">
        <f>'Rules-Platform'!U113</f>
        <v>n</v>
      </c>
      <c r="K112" t="str">
        <f>'Rules-Platform'!V113</f>
        <v>n</v>
      </c>
      <c r="L112" s="15" t="str">
        <f>'Rules-Platform'!W113</f>
        <v>n</v>
      </c>
      <c r="M112" t="str">
        <f>'Rules-Platform'!X113</f>
        <v>n</v>
      </c>
      <c r="N112" t="str">
        <f>'Rules-Platform'!Y113</f>
        <v>n</v>
      </c>
      <c r="O112" t="str">
        <f>'Rules-Platform'!Z113</f>
        <v>n</v>
      </c>
      <c r="P112" t="str">
        <f>'Rules-Platform'!AA113</f>
        <v>n</v>
      </c>
    </row>
    <row r="113" spans="1:16">
      <c r="A113">
        <f>'Rules-Platform'!C114</f>
        <v>438</v>
      </c>
      <c r="B113" t="str">
        <f>'Rules-Platform'!D114</f>
        <v>AT-IE300-12GP</v>
      </c>
      <c r="D113" t="str">
        <f>'Rules-Platform'!O114</f>
        <v>port1.0.1-1.0.4</v>
      </c>
      <c r="E113" t="str">
        <f>'Rules-Platform'!P114</f>
        <v>1G SFP</v>
      </c>
      <c r="F113" t="str">
        <f>'Rules-Platform'!Q114</f>
        <v>y</v>
      </c>
      <c r="G113" t="str">
        <f>'Rules-Platform'!R114</f>
        <v>y</v>
      </c>
      <c r="H113" t="str">
        <f>'Rules-Platform'!S114</f>
        <v>y</v>
      </c>
      <c r="I113" t="str">
        <f>'Rules-Platform'!T114</f>
        <v>n</v>
      </c>
      <c r="J113" t="str">
        <f>'Rules-Platform'!U114</f>
        <v>n</v>
      </c>
      <c r="K113" t="str">
        <f>'Rules-Platform'!V114</f>
        <v>n</v>
      </c>
      <c r="L113" s="15" t="str">
        <f>'Rules-Platform'!W114</f>
        <v>n</v>
      </c>
      <c r="M113" t="str">
        <f>'Rules-Platform'!X114</f>
        <v>n</v>
      </c>
      <c r="N113" t="str">
        <f>'Rules-Platform'!Y114</f>
        <v>n</v>
      </c>
      <c r="O113" t="str">
        <f>'Rules-Platform'!Z114</f>
        <v>n</v>
      </c>
      <c r="P113" t="str">
        <f>'Rules-Platform'!AA114</f>
        <v>n</v>
      </c>
    </row>
    <row r="114" spans="1:16">
      <c r="A114">
        <f>'Rules-Platform'!C115</f>
        <v>439</v>
      </c>
      <c r="B114" t="str">
        <f>'Rules-Platform'!D115</f>
        <v>AT-IE300-12GS</v>
      </c>
      <c r="D114" t="str">
        <f>'Rules-Platform'!O115</f>
        <v>N/A</v>
      </c>
      <c r="E114" t="str">
        <f>'Rules-Platform'!P115</f>
        <v>-</v>
      </c>
      <c r="F114" t="str">
        <f>'Rules-Platform'!Q115</f>
        <v>n</v>
      </c>
      <c r="G114" t="str">
        <f>'Rules-Platform'!R115</f>
        <v>n</v>
      </c>
      <c r="H114" t="str">
        <f>'Rules-Platform'!S115</f>
        <v>n</v>
      </c>
      <c r="I114" t="str">
        <f>'Rules-Platform'!T115</f>
        <v>n</v>
      </c>
      <c r="J114" t="str">
        <f>'Rules-Platform'!U115</f>
        <v>n</v>
      </c>
      <c r="K114" t="str">
        <f>'Rules-Platform'!V115</f>
        <v>n</v>
      </c>
      <c r="L114" s="15" t="str">
        <f>'Rules-Platform'!W115</f>
        <v>n</v>
      </c>
      <c r="M114" t="str">
        <f>'Rules-Platform'!X115</f>
        <v>n</v>
      </c>
      <c r="N114" t="str">
        <f>'Rules-Platform'!Y115</f>
        <v>n</v>
      </c>
      <c r="O114" t="str">
        <f>'Rules-Platform'!Z115</f>
        <v>n</v>
      </c>
      <c r="P114" t="str">
        <f>'Rules-Platform'!AA115</f>
        <v>n</v>
      </c>
    </row>
    <row r="115" spans="1:16">
      <c r="A115">
        <f>'Rules-Platform'!C116</f>
        <v>439</v>
      </c>
      <c r="B115" t="str">
        <f>'Rules-Platform'!D116</f>
        <v>AT-IE300-12GS</v>
      </c>
      <c r="D115" t="str">
        <f>'Rules-Platform'!O116</f>
        <v>N/A</v>
      </c>
      <c r="E115" t="str">
        <f>'Rules-Platform'!P116</f>
        <v>-</v>
      </c>
      <c r="F115" t="str">
        <f>'Rules-Platform'!Q116</f>
        <v>n</v>
      </c>
      <c r="G115" t="str">
        <f>'Rules-Platform'!R116</f>
        <v>n</v>
      </c>
      <c r="H115" t="str">
        <f>'Rules-Platform'!S116</f>
        <v>n</v>
      </c>
      <c r="I115" t="str">
        <f>'Rules-Platform'!T116</f>
        <v>n</v>
      </c>
      <c r="J115" t="str">
        <f>'Rules-Platform'!U116</f>
        <v>n</v>
      </c>
      <c r="K115" t="str">
        <f>'Rules-Platform'!V116</f>
        <v>n</v>
      </c>
      <c r="L115" s="15" t="str">
        <f>'Rules-Platform'!W116</f>
        <v>n</v>
      </c>
      <c r="M115" t="str">
        <f>'Rules-Platform'!X116</f>
        <v>n</v>
      </c>
      <c r="N115" t="str">
        <f>'Rules-Platform'!Y116</f>
        <v>n</v>
      </c>
      <c r="O115" t="str">
        <f>'Rules-Platform'!Z116</f>
        <v>n</v>
      </c>
      <c r="P115" t="str">
        <f>'Rules-Platform'!AA116</f>
        <v>n</v>
      </c>
    </row>
    <row r="116" spans="1:16">
      <c r="A116">
        <f>'Rules-Platform'!C117</f>
        <v>440</v>
      </c>
      <c r="B116" t="str">
        <f>'Rules-Platform'!D117</f>
        <v>AT-IE300-20GST</v>
      </c>
      <c r="D116" t="str">
        <f>'Rules-Platform'!O117</f>
        <v>N/A</v>
      </c>
      <c r="E116" t="str">
        <f>'Rules-Platform'!P117</f>
        <v>-</v>
      </c>
      <c r="F116" t="str">
        <f>'Rules-Platform'!Q117</f>
        <v>n</v>
      </c>
      <c r="G116" t="str">
        <f>'Rules-Platform'!R117</f>
        <v>n</v>
      </c>
      <c r="H116" t="str">
        <f>'Rules-Platform'!S117</f>
        <v>n</v>
      </c>
      <c r="I116" t="str">
        <f>'Rules-Platform'!T117</f>
        <v>n</v>
      </c>
      <c r="J116" t="str">
        <f>'Rules-Platform'!U117</f>
        <v>n</v>
      </c>
      <c r="K116" t="str">
        <f>'Rules-Platform'!V117</f>
        <v>n</v>
      </c>
      <c r="L116" s="15" t="str">
        <f>'Rules-Platform'!W117</f>
        <v>n</v>
      </c>
      <c r="M116" t="str">
        <f>'Rules-Platform'!X117</f>
        <v>n</v>
      </c>
      <c r="N116" t="str">
        <f>'Rules-Platform'!Y117</f>
        <v>n</v>
      </c>
      <c r="O116" t="str">
        <f>'Rules-Platform'!Z117</f>
        <v>n</v>
      </c>
      <c r="P116" t="str">
        <f>'Rules-Platform'!AA117</f>
        <v>n</v>
      </c>
    </row>
    <row r="117" spans="1:16">
      <c r="A117">
        <f>'Rules-Platform'!C118</f>
        <v>440</v>
      </c>
      <c r="B117" t="str">
        <f>'Rules-Platform'!D118</f>
        <v>AT-IE300-20GST</v>
      </c>
      <c r="D117" t="str">
        <f>'Rules-Platform'!O118</f>
        <v>N/A</v>
      </c>
      <c r="E117" t="str">
        <f>'Rules-Platform'!P118</f>
        <v>-</v>
      </c>
      <c r="F117" t="str">
        <f>'Rules-Platform'!Q118</f>
        <v>n</v>
      </c>
      <c r="G117" t="str">
        <f>'Rules-Platform'!R118</f>
        <v>n</v>
      </c>
      <c r="H117" t="str">
        <f>'Rules-Platform'!S118</f>
        <v>n</v>
      </c>
      <c r="I117" t="str">
        <f>'Rules-Platform'!T118</f>
        <v>n</v>
      </c>
      <c r="J117" t="str">
        <f>'Rules-Platform'!U118</f>
        <v>n</v>
      </c>
      <c r="K117" t="str">
        <f>'Rules-Platform'!V118</f>
        <v>n</v>
      </c>
      <c r="L117" s="15" t="str">
        <f>'Rules-Platform'!W118</f>
        <v>n</v>
      </c>
      <c r="M117" t="str">
        <f>'Rules-Platform'!X118</f>
        <v>n</v>
      </c>
      <c r="N117" t="str">
        <f>'Rules-Platform'!Y118</f>
        <v>n</v>
      </c>
      <c r="O117" t="str">
        <f>'Rules-Platform'!Z118</f>
        <v>n</v>
      </c>
      <c r="P117" t="str">
        <f>'Rules-Platform'!AA118</f>
        <v>n</v>
      </c>
    </row>
    <row r="118" spans="1:16">
      <c r="A118">
        <f>'Rules-Platform'!C119</f>
        <v>468</v>
      </c>
      <c r="B118" t="str">
        <f>'Rules-Platform'!D119</f>
        <v>AT-SH310-26FT</v>
      </c>
      <c r="D118" t="str">
        <f>'Rules-Platform'!O119</f>
        <v>port1.0.25-1.0.26</v>
      </c>
      <c r="E118" t="str">
        <f>'Rules-Platform'!P119</f>
        <v>1G SFP</v>
      </c>
      <c r="F118" t="str">
        <f>'Rules-Platform'!Q119</f>
        <v>n</v>
      </c>
      <c r="G118" t="str">
        <f>'Rules-Platform'!R119</f>
        <v>y</v>
      </c>
      <c r="H118" t="str">
        <f>'Rules-Platform'!S119</f>
        <v>y</v>
      </c>
      <c r="I118" t="str">
        <f>'Rules-Platform'!T119</f>
        <v>n</v>
      </c>
      <c r="J118" t="str">
        <f>'Rules-Platform'!U119</f>
        <v>n</v>
      </c>
      <c r="K118" t="str">
        <f>'Rules-Platform'!V119</f>
        <v>n</v>
      </c>
      <c r="L118" s="15" t="str">
        <f>'Rules-Platform'!W119</f>
        <v>n</v>
      </c>
      <c r="M118" t="str">
        <f>'Rules-Platform'!X119</f>
        <v>n</v>
      </c>
      <c r="N118" t="str">
        <f>'Rules-Platform'!Y119</f>
        <v>n</v>
      </c>
      <c r="O118" t="str">
        <f>'Rules-Platform'!Z119</f>
        <v>n</v>
      </c>
      <c r="P118" t="str">
        <f>'Rules-Platform'!AA119</f>
        <v>n</v>
      </c>
    </row>
    <row r="119" spans="1:16">
      <c r="A119">
        <f>'Rules-Platform'!C120</f>
        <v>469</v>
      </c>
      <c r="B119" t="str">
        <f>'Rules-Platform'!D120</f>
        <v>AT-SH310-50FT</v>
      </c>
      <c r="D119" t="str">
        <f>'Rules-Platform'!O120</f>
        <v>port1.0.49-1.0.50</v>
      </c>
      <c r="E119" t="str">
        <f>'Rules-Platform'!P120</f>
        <v>1G SFP</v>
      </c>
      <c r="F119" t="str">
        <f>'Rules-Platform'!Q120</f>
        <v>n</v>
      </c>
      <c r="G119" t="str">
        <f>'Rules-Platform'!R120</f>
        <v>y</v>
      </c>
      <c r="H119" t="str">
        <f>'Rules-Platform'!S120</f>
        <v>y</v>
      </c>
      <c r="I119" t="str">
        <f>'Rules-Platform'!T120</f>
        <v>n</v>
      </c>
      <c r="J119" t="str">
        <f>'Rules-Platform'!U120</f>
        <v>n</v>
      </c>
      <c r="K119" t="str">
        <f>'Rules-Platform'!V120</f>
        <v>n</v>
      </c>
      <c r="L119" s="15" t="str">
        <f>'Rules-Platform'!W120</f>
        <v>n</v>
      </c>
      <c r="M119" t="str">
        <f>'Rules-Platform'!X120</f>
        <v>n</v>
      </c>
      <c r="N119" t="str">
        <f>'Rules-Platform'!Y120</f>
        <v>n</v>
      </c>
      <c r="O119" t="str">
        <f>'Rules-Platform'!Z120</f>
        <v>n</v>
      </c>
      <c r="P119" t="str">
        <f>'Rules-Platform'!AA120</f>
        <v>n</v>
      </c>
    </row>
    <row r="120" spans="1:16">
      <c r="A120">
        <f>'Rules-Platform'!C121</f>
        <v>470</v>
      </c>
      <c r="B120" t="str">
        <f>'Rules-Platform'!D121</f>
        <v>AT-SH310-26FP</v>
      </c>
      <c r="D120" t="str">
        <f>'Rules-Platform'!O121</f>
        <v>port1.0.25-1.0.26</v>
      </c>
      <c r="E120" t="str">
        <f>'Rules-Platform'!P121</f>
        <v>1G SFP</v>
      </c>
      <c r="F120" t="str">
        <f>'Rules-Platform'!Q121</f>
        <v>n</v>
      </c>
      <c r="G120" t="str">
        <f>'Rules-Platform'!R121</f>
        <v>y</v>
      </c>
      <c r="H120" t="str">
        <f>'Rules-Platform'!S121</f>
        <v>y</v>
      </c>
      <c r="I120" t="str">
        <f>'Rules-Platform'!T121</f>
        <v>n</v>
      </c>
      <c r="J120" t="str">
        <f>'Rules-Platform'!U121</f>
        <v>n</v>
      </c>
      <c r="K120" t="str">
        <f>'Rules-Platform'!V121</f>
        <v>n</v>
      </c>
      <c r="L120" s="15" t="str">
        <f>'Rules-Platform'!W121</f>
        <v>n</v>
      </c>
      <c r="M120" t="str">
        <f>'Rules-Platform'!X121</f>
        <v>n</v>
      </c>
      <c r="N120" t="str">
        <f>'Rules-Platform'!Y121</f>
        <v>n</v>
      </c>
      <c r="O120" t="str">
        <f>'Rules-Platform'!Z121</f>
        <v>n</v>
      </c>
      <c r="P120" t="str">
        <f>'Rules-Platform'!AA121</f>
        <v>n</v>
      </c>
    </row>
    <row r="121" spans="1:16">
      <c r="A121">
        <f>'Rules-Platform'!C122</f>
        <v>471</v>
      </c>
      <c r="B121" t="str">
        <f>'Rules-Platform'!D122</f>
        <v>AT-SH310-50FP</v>
      </c>
      <c r="D121" t="str">
        <f>'Rules-Platform'!O122</f>
        <v>port1.0.49-1.0.50</v>
      </c>
      <c r="E121" t="str">
        <f>'Rules-Platform'!P122</f>
        <v>1G SFP</v>
      </c>
      <c r="F121" t="str">
        <f>'Rules-Platform'!Q122</f>
        <v>n</v>
      </c>
      <c r="G121" t="str">
        <f>'Rules-Platform'!R122</f>
        <v>y</v>
      </c>
      <c r="H121" t="str">
        <f>'Rules-Platform'!S122</f>
        <v>y</v>
      </c>
      <c r="I121" t="str">
        <f>'Rules-Platform'!T122</f>
        <v>n</v>
      </c>
      <c r="J121" t="str">
        <f>'Rules-Platform'!U122</f>
        <v>n</v>
      </c>
      <c r="K121" t="str">
        <f>'Rules-Platform'!V122</f>
        <v>n</v>
      </c>
      <c r="L121" s="15" t="str">
        <f>'Rules-Platform'!W122</f>
        <v>n</v>
      </c>
      <c r="M121" t="str">
        <f>'Rules-Platform'!X122</f>
        <v>n</v>
      </c>
      <c r="N121" t="str">
        <f>'Rules-Platform'!Y122</f>
        <v>n</v>
      </c>
      <c r="O121" t="str">
        <f>'Rules-Platform'!Z122</f>
        <v>n</v>
      </c>
      <c r="P121" t="str">
        <f>'Rules-Platform'!AA122</f>
        <v>n</v>
      </c>
    </row>
    <row r="122" spans="1:16">
      <c r="A122">
        <f>'Rules-Platform'!C123</f>
        <v>392</v>
      </c>
      <c r="B122" t="str">
        <f>'Rules-Platform'!D123</f>
        <v>AT-x310-26FT</v>
      </c>
      <c r="D122" t="str">
        <f>'Rules-Platform'!O123</f>
        <v>port1.0.25-1.0.26</v>
      </c>
      <c r="E122" t="str">
        <f>'Rules-Platform'!P123</f>
        <v>1G SFP</v>
      </c>
      <c r="F122" t="str">
        <f>'Rules-Platform'!Q123</f>
        <v>n</v>
      </c>
      <c r="G122" t="str">
        <f>'Rules-Platform'!R123</f>
        <v>y</v>
      </c>
      <c r="H122" t="str">
        <f>'Rules-Platform'!S123</f>
        <v>y</v>
      </c>
      <c r="I122" t="str">
        <f>'Rules-Platform'!T123</f>
        <v>n</v>
      </c>
      <c r="J122" t="str">
        <f>'Rules-Platform'!U123</f>
        <v>n</v>
      </c>
      <c r="K122" t="str">
        <f>'Rules-Platform'!V123</f>
        <v>n</v>
      </c>
      <c r="L122" s="15" t="str">
        <f>'Rules-Platform'!W123</f>
        <v>n</v>
      </c>
      <c r="M122" t="str">
        <f>'Rules-Platform'!X123</f>
        <v>n</v>
      </c>
      <c r="N122" t="str">
        <f>'Rules-Platform'!Y123</f>
        <v>n</v>
      </c>
      <c r="O122" t="str">
        <f>'Rules-Platform'!Z123</f>
        <v>n</v>
      </c>
      <c r="P122" t="str">
        <f>'Rules-Platform'!AA123</f>
        <v>n</v>
      </c>
    </row>
    <row r="123" spans="1:16">
      <c r="A123">
        <f>'Rules-Platform'!C124</f>
        <v>393</v>
      </c>
      <c r="B123" t="str">
        <f>'Rules-Platform'!D124</f>
        <v>AT-x310-50FT</v>
      </c>
      <c r="D123" t="str">
        <f>'Rules-Platform'!O124</f>
        <v>port1.0.49-1.0.50</v>
      </c>
      <c r="E123" t="str">
        <f>'Rules-Platform'!P124</f>
        <v>1G SFP</v>
      </c>
      <c r="F123" t="str">
        <f>'Rules-Platform'!Q124</f>
        <v>n</v>
      </c>
      <c r="G123" t="str">
        <f>'Rules-Platform'!R124</f>
        <v>y</v>
      </c>
      <c r="H123" t="str">
        <f>'Rules-Platform'!S124</f>
        <v>y</v>
      </c>
      <c r="I123" t="str">
        <f>'Rules-Platform'!T124</f>
        <v>n</v>
      </c>
      <c r="J123" t="str">
        <f>'Rules-Platform'!U124</f>
        <v>n</v>
      </c>
      <c r="K123" t="str">
        <f>'Rules-Platform'!V124</f>
        <v>n</v>
      </c>
      <c r="L123" s="15" t="str">
        <f>'Rules-Platform'!W124</f>
        <v>n</v>
      </c>
      <c r="M123" t="str">
        <f>'Rules-Platform'!X124</f>
        <v>n</v>
      </c>
      <c r="N123" t="str">
        <f>'Rules-Platform'!Y124</f>
        <v>n</v>
      </c>
      <c r="O123" t="str">
        <f>'Rules-Platform'!Z124</f>
        <v>n</v>
      </c>
      <c r="P123" t="str">
        <f>'Rules-Platform'!AA124</f>
        <v>n</v>
      </c>
    </row>
    <row r="124" spans="1:16">
      <c r="A124">
        <f>'Rules-Platform'!C125</f>
        <v>394</v>
      </c>
      <c r="B124" t="str">
        <f>'Rules-Platform'!D125</f>
        <v>AT-x310-26FP</v>
      </c>
      <c r="D124" t="str">
        <f>'Rules-Platform'!O125</f>
        <v>port1.0.25-1.0.26</v>
      </c>
      <c r="E124" t="str">
        <f>'Rules-Platform'!P125</f>
        <v>1G SFP</v>
      </c>
      <c r="F124" t="str">
        <f>'Rules-Platform'!Q125</f>
        <v>n</v>
      </c>
      <c r="G124" t="str">
        <f>'Rules-Platform'!R125</f>
        <v>y</v>
      </c>
      <c r="H124" t="str">
        <f>'Rules-Platform'!S125</f>
        <v>y</v>
      </c>
      <c r="I124" t="str">
        <f>'Rules-Platform'!T125</f>
        <v>n</v>
      </c>
      <c r="J124" t="str">
        <f>'Rules-Platform'!U125</f>
        <v>n</v>
      </c>
      <c r="K124" t="str">
        <f>'Rules-Platform'!V125</f>
        <v>n</v>
      </c>
      <c r="L124" s="15" t="str">
        <f>'Rules-Platform'!W125</f>
        <v>n</v>
      </c>
      <c r="M124" t="str">
        <f>'Rules-Platform'!X125</f>
        <v>n</v>
      </c>
      <c r="N124" t="str">
        <f>'Rules-Platform'!Y125</f>
        <v>n</v>
      </c>
      <c r="O124" t="str">
        <f>'Rules-Platform'!Z125</f>
        <v>n</v>
      </c>
      <c r="P124" t="str">
        <f>'Rules-Platform'!AA125</f>
        <v>n</v>
      </c>
    </row>
    <row r="125" spans="1:16">
      <c r="A125">
        <f>'Rules-Platform'!C126</f>
        <v>395</v>
      </c>
      <c r="B125" t="str">
        <f>'Rules-Platform'!D126</f>
        <v>AT-x310-50FP</v>
      </c>
      <c r="D125" t="str">
        <f>'Rules-Platform'!O126</f>
        <v>port1.0.49-1.0.50</v>
      </c>
      <c r="E125" t="str">
        <f>'Rules-Platform'!P126</f>
        <v>1G SFP</v>
      </c>
      <c r="F125" t="str">
        <f>'Rules-Platform'!Q126</f>
        <v>n</v>
      </c>
      <c r="G125" t="str">
        <f>'Rules-Platform'!R126</f>
        <v>y</v>
      </c>
      <c r="H125" t="str">
        <f>'Rules-Platform'!S126</f>
        <v>y</v>
      </c>
      <c r="I125" t="str">
        <f>'Rules-Platform'!T126</f>
        <v>n</v>
      </c>
      <c r="J125" t="str">
        <f>'Rules-Platform'!U126</f>
        <v>n</v>
      </c>
      <c r="K125" t="str">
        <f>'Rules-Platform'!V126</f>
        <v>n</v>
      </c>
      <c r="L125" s="15" t="str">
        <f>'Rules-Platform'!W126</f>
        <v>n</v>
      </c>
      <c r="M125" t="str">
        <f>'Rules-Platform'!X126</f>
        <v>n</v>
      </c>
      <c r="N125" t="str">
        <f>'Rules-Platform'!Y126</f>
        <v>n</v>
      </c>
      <c r="O125" t="str">
        <f>'Rules-Platform'!Z126</f>
        <v>n</v>
      </c>
      <c r="P125" t="str">
        <f>'Rules-Platform'!AA126</f>
        <v>n</v>
      </c>
    </row>
    <row r="126" spans="1:16">
      <c r="A126">
        <f>'Rules-Platform'!C127</f>
        <v>396</v>
      </c>
      <c r="B126" t="str">
        <f>'Rules-Platform'!D127</f>
        <v>AT-x310-26GT</v>
      </c>
      <c r="D126" t="str">
        <f>'Rules-Platform'!O127</f>
        <v>N/A</v>
      </c>
      <c r="E126" t="str">
        <f>'Rules-Platform'!P127</f>
        <v>-</v>
      </c>
      <c r="F126" t="str">
        <f>'Rules-Platform'!Q127</f>
        <v>n</v>
      </c>
      <c r="G126" t="str">
        <f>'Rules-Platform'!R127</f>
        <v>n</v>
      </c>
      <c r="H126" t="str">
        <f>'Rules-Platform'!S127</f>
        <v>n</v>
      </c>
      <c r="I126" t="str">
        <f>'Rules-Platform'!T127</f>
        <v>n</v>
      </c>
      <c r="J126" t="str">
        <f>'Rules-Platform'!U127</f>
        <v>n</v>
      </c>
      <c r="K126" t="str">
        <f>'Rules-Platform'!V127</f>
        <v>n</v>
      </c>
      <c r="L126" s="15" t="str">
        <f>'Rules-Platform'!W127</f>
        <v>n</v>
      </c>
      <c r="M126" t="str">
        <f>'Rules-Platform'!X127</f>
        <v>n</v>
      </c>
      <c r="N126" t="str">
        <f>'Rules-Platform'!Y127</f>
        <v>n</v>
      </c>
      <c r="O126" t="str">
        <f>'Rules-Platform'!Z127</f>
        <v>n</v>
      </c>
      <c r="P126" t="str">
        <f>'Rules-Platform'!AA127</f>
        <v>n</v>
      </c>
    </row>
    <row r="127" spans="1:16">
      <c r="A127">
        <f>'Rules-Platform'!C128</f>
        <v>397</v>
      </c>
      <c r="B127" t="str">
        <f>'Rules-Platform'!D128</f>
        <v>AT-x310-50GT</v>
      </c>
      <c r="D127" t="str">
        <f>'Rules-Platform'!O128</f>
        <v>N/A</v>
      </c>
      <c r="E127" t="str">
        <f>'Rules-Platform'!P128</f>
        <v>-</v>
      </c>
      <c r="F127" t="str">
        <f>'Rules-Platform'!Q128</f>
        <v>n</v>
      </c>
      <c r="G127" t="str">
        <f>'Rules-Platform'!R128</f>
        <v>n</v>
      </c>
      <c r="H127" t="str">
        <f>'Rules-Platform'!S128</f>
        <v>n</v>
      </c>
      <c r="I127" t="str">
        <f>'Rules-Platform'!T128</f>
        <v>n</v>
      </c>
      <c r="J127" t="str">
        <f>'Rules-Platform'!U128</f>
        <v>n</v>
      </c>
      <c r="K127" t="str">
        <f>'Rules-Platform'!V128</f>
        <v>n</v>
      </c>
      <c r="L127" s="15" t="str">
        <f>'Rules-Platform'!W128</f>
        <v>n</v>
      </c>
      <c r="M127" t="str">
        <f>'Rules-Platform'!X128</f>
        <v>n</v>
      </c>
      <c r="N127" t="str">
        <f>'Rules-Platform'!Y128</f>
        <v>n</v>
      </c>
      <c r="O127" t="str">
        <f>'Rules-Platform'!Z128</f>
        <v>n</v>
      </c>
      <c r="P127" t="str">
        <f>'Rules-Platform'!AA128</f>
        <v>n</v>
      </c>
    </row>
    <row r="128" spans="1:16">
      <c r="A128">
        <f>'Rules-Platform'!C129</f>
        <v>398</v>
      </c>
      <c r="B128" t="str">
        <f>'Rules-Platform'!D129</f>
        <v>AT-x310-26GP</v>
      </c>
      <c r="D128" t="str">
        <f>'Rules-Platform'!O129</f>
        <v>N/A</v>
      </c>
      <c r="E128" t="str">
        <f>'Rules-Platform'!P129</f>
        <v>-</v>
      </c>
      <c r="F128" t="str">
        <f>'Rules-Platform'!Q129</f>
        <v>n</v>
      </c>
      <c r="G128" t="str">
        <f>'Rules-Platform'!R129</f>
        <v>n</v>
      </c>
      <c r="H128" t="str">
        <f>'Rules-Platform'!S129</f>
        <v>n</v>
      </c>
      <c r="I128" t="str">
        <f>'Rules-Platform'!T129</f>
        <v>n</v>
      </c>
      <c r="J128" t="str">
        <f>'Rules-Platform'!U129</f>
        <v>n</v>
      </c>
      <c r="K128" t="str">
        <f>'Rules-Platform'!V129</f>
        <v>n</v>
      </c>
      <c r="L128" s="15" t="str">
        <f>'Rules-Platform'!W129</f>
        <v>n</v>
      </c>
      <c r="M128" t="str">
        <f>'Rules-Platform'!X129</f>
        <v>n</v>
      </c>
      <c r="N128" t="str">
        <f>'Rules-Platform'!Y129</f>
        <v>n</v>
      </c>
      <c r="O128" t="str">
        <f>'Rules-Platform'!Z129</f>
        <v>n</v>
      </c>
      <c r="P128" t="str">
        <f>'Rules-Platform'!AA129</f>
        <v>n</v>
      </c>
    </row>
    <row r="129" spans="1:16">
      <c r="A129">
        <f>'Rules-Platform'!C130</f>
        <v>399</v>
      </c>
      <c r="B129" t="str">
        <f>'Rules-Platform'!D130</f>
        <v>AT-x310-50GP</v>
      </c>
      <c r="D129" t="str">
        <f>'Rules-Platform'!O130</f>
        <v>N/A</v>
      </c>
      <c r="E129" t="str">
        <f>'Rules-Platform'!P130</f>
        <v>-</v>
      </c>
      <c r="F129" t="str">
        <f>'Rules-Platform'!Q130</f>
        <v>n</v>
      </c>
      <c r="G129" t="str">
        <f>'Rules-Platform'!R130</f>
        <v>n</v>
      </c>
      <c r="H129" t="str">
        <f>'Rules-Platform'!S130</f>
        <v>n</v>
      </c>
      <c r="I129" t="str">
        <f>'Rules-Platform'!T130</f>
        <v>n</v>
      </c>
      <c r="J129" t="str">
        <f>'Rules-Platform'!U130</f>
        <v>n</v>
      </c>
      <c r="K129" t="str">
        <f>'Rules-Platform'!V130</f>
        <v>n</v>
      </c>
      <c r="L129" s="15" t="str">
        <f>'Rules-Platform'!W130</f>
        <v>n</v>
      </c>
      <c r="M129" t="str">
        <f>'Rules-Platform'!X130</f>
        <v>n</v>
      </c>
      <c r="N129" t="str">
        <f>'Rules-Platform'!Y130</f>
        <v>n</v>
      </c>
      <c r="O129" t="str">
        <f>'Rules-Platform'!Z130</f>
        <v>n</v>
      </c>
      <c r="P129" t="str">
        <f>'Rules-Platform'!AA130</f>
        <v>n</v>
      </c>
    </row>
    <row r="130" spans="1:16">
      <c r="A130">
        <f>'Rules-Platform'!C131</f>
        <v>421</v>
      </c>
      <c r="B130" t="str">
        <f>'Rules-Platform'!D131</f>
        <v>IE510-28GSX</v>
      </c>
      <c r="D130" t="str">
        <f>'Rules-Platform'!O131</f>
        <v>port1.0.1-1.0.24</v>
      </c>
      <c r="E130" t="str">
        <f>'Rules-Platform'!P131</f>
        <v>1G Base</v>
      </c>
      <c r="F130" t="str">
        <f>'Rules-Platform'!Q131</f>
        <v>n</v>
      </c>
      <c r="G130" t="str">
        <f>'Rules-Platform'!R131</f>
        <v>y</v>
      </c>
      <c r="H130" t="str">
        <f>'Rules-Platform'!S131</f>
        <v>y</v>
      </c>
      <c r="I130" t="str">
        <f>'Rules-Platform'!T131</f>
        <v>n</v>
      </c>
      <c r="J130" t="str">
        <f>'Rules-Platform'!U131</f>
        <v>n</v>
      </c>
      <c r="K130" t="str">
        <f>'Rules-Platform'!V131</f>
        <v>n</v>
      </c>
      <c r="L130" s="15" t="str">
        <f>'Rules-Platform'!W131</f>
        <v>n</v>
      </c>
      <c r="M130" t="str">
        <f>'Rules-Platform'!X131</f>
        <v>n</v>
      </c>
      <c r="N130" t="str">
        <f>'Rules-Platform'!Y131</f>
        <v>n</v>
      </c>
      <c r="O130" t="str">
        <f>'Rules-Platform'!Z131</f>
        <v>n</v>
      </c>
      <c r="P130" t="str">
        <f>'Rules-Platform'!AA131</f>
        <v>n</v>
      </c>
    </row>
    <row r="131" spans="1:16">
      <c r="A131">
        <f>'Rules-Platform'!C132</f>
        <v>421</v>
      </c>
      <c r="B131" t="str">
        <f>'Rules-Platform'!D132</f>
        <v>IE510-28GSX</v>
      </c>
      <c r="D131" t="str">
        <f>'Rules-Platform'!O132</f>
        <v>port1.0.25-1.0.28</v>
      </c>
      <c r="E131" t="str">
        <f>'Rules-Platform'!P132</f>
        <v>10G Uplink</v>
      </c>
      <c r="F131" t="str">
        <f>'Rules-Platform'!Q132</f>
        <v>n</v>
      </c>
      <c r="G131" t="str">
        <f>'Rules-Platform'!R132</f>
        <v>n</v>
      </c>
      <c r="H131" t="str">
        <f>'Rules-Platform'!S132</f>
        <v>y</v>
      </c>
      <c r="I131" t="str">
        <f>'Rules-Platform'!T132</f>
        <v>n</v>
      </c>
      <c r="J131" t="str">
        <f>'Rules-Platform'!U132</f>
        <v>n</v>
      </c>
      <c r="K131" t="str">
        <f>'Rules-Platform'!V132</f>
        <v>y</v>
      </c>
      <c r="L131" s="15" t="str">
        <f>'Rules-Platform'!W132</f>
        <v>n</v>
      </c>
      <c r="M131" t="str">
        <f>'Rules-Platform'!X132</f>
        <v>n</v>
      </c>
      <c r="N131" t="str">
        <f>'Rules-Platform'!Y132</f>
        <v>n</v>
      </c>
      <c r="O131" t="str">
        <f>'Rules-Platform'!Z132</f>
        <v>n</v>
      </c>
      <c r="P131" t="str">
        <f>'Rules-Platform'!AA132</f>
        <v>n</v>
      </c>
    </row>
    <row r="132" spans="1:16">
      <c r="A132">
        <f>'Rules-Platform'!C133</f>
        <v>458</v>
      </c>
      <c r="B132" t="str">
        <f>'Rules-Platform'!D133</f>
        <v>AT-SH510-28GTX</v>
      </c>
      <c r="D132" t="str">
        <f>'Rules-Platform'!O133</f>
        <v>port1.0.25-1.0.28</v>
      </c>
      <c r="E132" t="str">
        <f>'Rules-Platform'!P133</f>
        <v>10G Uplink</v>
      </c>
      <c r="F132" t="str">
        <f>'Rules-Platform'!Q133</f>
        <v>n</v>
      </c>
      <c r="G132" t="str">
        <f>'Rules-Platform'!R133</f>
        <v>n</v>
      </c>
      <c r="H132" t="str">
        <f>'Rules-Platform'!S133</f>
        <v>y</v>
      </c>
      <c r="I132" t="str">
        <f>'Rules-Platform'!T133</f>
        <v>n</v>
      </c>
      <c r="J132" t="str">
        <f>'Rules-Platform'!U133</f>
        <v>n</v>
      </c>
      <c r="K132" t="str">
        <f>'Rules-Platform'!V133</f>
        <v>y</v>
      </c>
      <c r="L132" s="15" t="str">
        <f>'Rules-Platform'!W133</f>
        <v>n</v>
      </c>
      <c r="M132" t="str">
        <f>'Rules-Platform'!X133</f>
        <v>n</v>
      </c>
      <c r="N132" t="str">
        <f>'Rules-Platform'!Y133</f>
        <v>n</v>
      </c>
      <c r="O132" t="str">
        <f>'Rules-Platform'!Z133</f>
        <v>n</v>
      </c>
      <c r="P132" t="str">
        <f>'Rules-Platform'!AA133</f>
        <v>n</v>
      </c>
    </row>
    <row r="133" spans="1:16">
      <c r="A133">
        <f>'Rules-Platform'!C134</f>
        <v>459</v>
      </c>
      <c r="B133" t="str">
        <f>'Rules-Platform'!D134</f>
        <v>AT-SH510-52GTX</v>
      </c>
      <c r="D133" t="str">
        <f>'Rules-Platform'!O134</f>
        <v>port1.0.49-1.0.52</v>
      </c>
      <c r="E133" t="str">
        <f>'Rules-Platform'!P134</f>
        <v>10G Uplink</v>
      </c>
      <c r="F133" t="str">
        <f>'Rules-Platform'!Q134</f>
        <v>n</v>
      </c>
      <c r="G133" t="str">
        <f>'Rules-Platform'!R134</f>
        <v>n</v>
      </c>
      <c r="H133" t="str">
        <f>'Rules-Platform'!S134</f>
        <v>y</v>
      </c>
      <c r="I133" t="str">
        <f>'Rules-Platform'!T134</f>
        <v>n</v>
      </c>
      <c r="J133" t="str">
        <f>'Rules-Platform'!U134</f>
        <v>n</v>
      </c>
      <c r="K133" t="str">
        <f>'Rules-Platform'!V134</f>
        <v>y</v>
      </c>
      <c r="L133" s="15" t="str">
        <f>'Rules-Platform'!W134</f>
        <v>n</v>
      </c>
      <c r="M133" t="str">
        <f>'Rules-Platform'!X134</f>
        <v>n</v>
      </c>
      <c r="N133" t="str">
        <f>'Rules-Platform'!Y134</f>
        <v>n</v>
      </c>
      <c r="O133" t="str">
        <f>'Rules-Platform'!Z134</f>
        <v>n</v>
      </c>
      <c r="P133" t="str">
        <f>'Rules-Platform'!AA134</f>
        <v>n</v>
      </c>
    </row>
    <row r="134" spans="1:16">
      <c r="A134">
        <f>'Rules-Platform'!C135</f>
        <v>460</v>
      </c>
      <c r="B134" t="str">
        <f>'Rules-Platform'!D135</f>
        <v>AT-SH510-28GPX</v>
      </c>
      <c r="D134" t="str">
        <f>'Rules-Platform'!O135</f>
        <v>port1.0.25-1.0.28</v>
      </c>
      <c r="E134" t="str">
        <f>'Rules-Platform'!P135</f>
        <v>10G Uplink</v>
      </c>
      <c r="F134" t="str">
        <f>'Rules-Platform'!Q135</f>
        <v>n</v>
      </c>
      <c r="G134" t="str">
        <f>'Rules-Platform'!R135</f>
        <v>n</v>
      </c>
      <c r="H134" t="str">
        <f>'Rules-Platform'!S135</f>
        <v>y</v>
      </c>
      <c r="I134" t="str">
        <f>'Rules-Platform'!T135</f>
        <v>n</v>
      </c>
      <c r="J134" t="str">
        <f>'Rules-Platform'!U135</f>
        <v>n</v>
      </c>
      <c r="K134" t="str">
        <f>'Rules-Platform'!V135</f>
        <v>y</v>
      </c>
      <c r="L134" s="15" t="str">
        <f>'Rules-Platform'!W135</f>
        <v>n</v>
      </c>
      <c r="M134" t="str">
        <f>'Rules-Platform'!X135</f>
        <v>n</v>
      </c>
      <c r="N134" t="str">
        <f>'Rules-Platform'!Y135</f>
        <v>n</v>
      </c>
      <c r="O134" t="str">
        <f>'Rules-Platform'!Z135</f>
        <v>n</v>
      </c>
      <c r="P134" t="str">
        <f>'Rules-Platform'!AA135</f>
        <v>n</v>
      </c>
    </row>
    <row r="135" spans="1:16">
      <c r="A135">
        <f>'Rules-Platform'!C136</f>
        <v>461</v>
      </c>
      <c r="B135" t="str">
        <f>'Rules-Platform'!D136</f>
        <v>AT-SH510-52GPX</v>
      </c>
      <c r="D135" t="str">
        <f>'Rules-Platform'!O136</f>
        <v>port1.0.49-1.0.52</v>
      </c>
      <c r="E135" t="str">
        <f>'Rules-Platform'!P136</f>
        <v>10G Uplink</v>
      </c>
      <c r="F135" t="str">
        <f>'Rules-Platform'!Q136</f>
        <v>n</v>
      </c>
      <c r="G135" t="str">
        <f>'Rules-Platform'!R136</f>
        <v>n</v>
      </c>
      <c r="H135" t="str">
        <f>'Rules-Platform'!S136</f>
        <v>y</v>
      </c>
      <c r="I135" t="str">
        <f>'Rules-Platform'!T136</f>
        <v>n</v>
      </c>
      <c r="J135" t="str">
        <f>'Rules-Platform'!U136</f>
        <v>n</v>
      </c>
      <c r="K135" t="str">
        <f>'Rules-Platform'!V136</f>
        <v>y</v>
      </c>
      <c r="L135" s="15" t="str">
        <f>'Rules-Platform'!W136</f>
        <v>n</v>
      </c>
      <c r="M135" t="str">
        <f>'Rules-Platform'!X136</f>
        <v>n</v>
      </c>
      <c r="N135" t="str">
        <f>'Rules-Platform'!Y136</f>
        <v>n</v>
      </c>
      <c r="O135" t="str">
        <f>'Rules-Platform'!Z136</f>
        <v>n</v>
      </c>
      <c r="P135" t="str">
        <f>'Rules-Platform'!AA136</f>
        <v>n</v>
      </c>
    </row>
    <row r="136" spans="1:16">
      <c r="A136">
        <f>'Rules-Platform'!C137</f>
        <v>369</v>
      </c>
      <c r="B136" t="str">
        <f>'Rules-Platform'!D137</f>
        <v>AT-x510-28GTX </v>
      </c>
      <c r="D136" t="str">
        <f>'Rules-Platform'!O137</f>
        <v>port1.0.25-1.0.28</v>
      </c>
      <c r="E136" t="str">
        <f>'Rules-Platform'!P137</f>
        <v>10G Uplink</v>
      </c>
      <c r="F136" t="str">
        <f>'Rules-Platform'!Q137</f>
        <v>n</v>
      </c>
      <c r="G136" t="str">
        <f>'Rules-Platform'!R137</f>
        <v>n</v>
      </c>
      <c r="H136" t="str">
        <f>'Rules-Platform'!S137</f>
        <v>y</v>
      </c>
      <c r="I136" t="str">
        <f>'Rules-Platform'!T137</f>
        <v>n</v>
      </c>
      <c r="J136" t="str">
        <f>'Rules-Platform'!U137</f>
        <v>n</v>
      </c>
      <c r="K136" t="str">
        <f>'Rules-Platform'!V137</f>
        <v>y</v>
      </c>
      <c r="L136" s="15" t="str">
        <f>'Rules-Platform'!W137</f>
        <v>n</v>
      </c>
      <c r="M136" t="str">
        <f>'Rules-Platform'!X137</f>
        <v>n</v>
      </c>
      <c r="N136" t="str">
        <f>'Rules-Platform'!Y137</f>
        <v>n</v>
      </c>
      <c r="O136" t="str">
        <f>'Rules-Platform'!Z137</f>
        <v>n</v>
      </c>
      <c r="P136" t="str">
        <f>'Rules-Platform'!AA137</f>
        <v>n</v>
      </c>
    </row>
    <row r="137" spans="1:16">
      <c r="A137">
        <f>'Rules-Platform'!C138</f>
        <v>370</v>
      </c>
      <c r="B137" t="str">
        <f>'Rules-Platform'!D138</f>
        <v>AT-x510-28GPX </v>
      </c>
      <c r="D137" t="str">
        <f>'Rules-Platform'!O138</f>
        <v>port1.0.25-1.0.28</v>
      </c>
      <c r="E137" t="str">
        <f>'Rules-Platform'!P138</f>
        <v>10G Uplink</v>
      </c>
      <c r="F137" t="str">
        <f>'Rules-Platform'!Q138</f>
        <v>n</v>
      </c>
      <c r="G137" t="str">
        <f>'Rules-Platform'!R138</f>
        <v>n</v>
      </c>
      <c r="H137" t="str">
        <f>'Rules-Platform'!S138</f>
        <v>y</v>
      </c>
      <c r="I137" t="str">
        <f>'Rules-Platform'!T138</f>
        <v>n</v>
      </c>
      <c r="J137" t="str">
        <f>'Rules-Platform'!U138</f>
        <v>n</v>
      </c>
      <c r="K137" t="str">
        <f>'Rules-Platform'!V138</f>
        <v>y</v>
      </c>
      <c r="L137" s="15" t="str">
        <f>'Rules-Platform'!W138</f>
        <v>n</v>
      </c>
      <c r="M137" t="str">
        <f>'Rules-Platform'!X138</f>
        <v>n</v>
      </c>
      <c r="N137" t="str">
        <f>'Rules-Platform'!Y138</f>
        <v>n</v>
      </c>
      <c r="O137" t="str">
        <f>'Rules-Platform'!Z138</f>
        <v>n</v>
      </c>
      <c r="P137" t="str">
        <f>'Rules-Platform'!AA138</f>
        <v>n</v>
      </c>
    </row>
    <row r="138" spans="1:16">
      <c r="A138">
        <f>'Rules-Platform'!C139</f>
        <v>371</v>
      </c>
      <c r="B138" t="str">
        <f>'Rules-Platform'!D139</f>
        <v>AT-x510-28GSX</v>
      </c>
      <c r="D138" t="str">
        <f>'Rules-Platform'!O139</f>
        <v>port1.0.25-1.0.28</v>
      </c>
      <c r="E138" t="str">
        <f>'Rules-Platform'!P139</f>
        <v>10G Uplink</v>
      </c>
      <c r="F138" t="str">
        <f>'Rules-Platform'!Q139</f>
        <v>n</v>
      </c>
      <c r="G138" t="str">
        <f>'Rules-Platform'!R139</f>
        <v>n</v>
      </c>
      <c r="H138" t="str">
        <f>'Rules-Platform'!S139</f>
        <v>y</v>
      </c>
      <c r="I138" t="str">
        <f>'Rules-Platform'!T139</f>
        <v>n</v>
      </c>
      <c r="J138" t="str">
        <f>'Rules-Platform'!U139</f>
        <v>n</v>
      </c>
      <c r="K138" t="str">
        <f>'Rules-Platform'!V139</f>
        <v>y</v>
      </c>
      <c r="L138" s="15" t="str">
        <f>'Rules-Platform'!W139</f>
        <v>n</v>
      </c>
      <c r="M138" t="str">
        <f>'Rules-Platform'!X139</f>
        <v>n</v>
      </c>
      <c r="N138" t="str">
        <f>'Rules-Platform'!Y139</f>
        <v>n</v>
      </c>
      <c r="O138" t="str">
        <f>'Rules-Platform'!Z139</f>
        <v>n</v>
      </c>
      <c r="P138" t="str">
        <f>'Rules-Platform'!AA139</f>
        <v>n</v>
      </c>
    </row>
    <row r="139" spans="1:16">
      <c r="A139">
        <f>'Rules-Platform'!C140</f>
        <v>371</v>
      </c>
      <c r="B139" t="str">
        <f>'Rules-Platform'!D140</f>
        <v>AT-x510-28GSX</v>
      </c>
      <c r="D139" t="str">
        <f>'Rules-Platform'!O140</f>
        <v>port1.0.1-1.0.24</v>
      </c>
      <c r="E139" t="str">
        <f>'Rules-Platform'!P140</f>
        <v>1G Base</v>
      </c>
      <c r="F139" t="str">
        <f>'Rules-Platform'!Q140</f>
        <v>y</v>
      </c>
      <c r="G139" t="str">
        <f>'Rules-Platform'!R140</f>
        <v>y</v>
      </c>
      <c r="H139" t="str">
        <f>'Rules-Platform'!S140</f>
        <v>y</v>
      </c>
      <c r="I139" t="str">
        <f>'Rules-Platform'!T140</f>
        <v>n</v>
      </c>
      <c r="J139" t="str">
        <f>'Rules-Platform'!U140</f>
        <v>n</v>
      </c>
      <c r="K139" t="str">
        <f>'Rules-Platform'!V140</f>
        <v>n</v>
      </c>
      <c r="L139" s="15" t="str">
        <f>'Rules-Platform'!W140</f>
        <v>n</v>
      </c>
      <c r="M139" t="str">
        <f>'Rules-Platform'!X140</f>
        <v>n</v>
      </c>
      <c r="N139" t="str">
        <f>'Rules-Platform'!Y140</f>
        <v>n</v>
      </c>
      <c r="O139" t="str">
        <f>'Rules-Platform'!Z140</f>
        <v>n</v>
      </c>
      <c r="P139" t="str">
        <f>'Rules-Platform'!AA140</f>
        <v>n</v>
      </c>
    </row>
    <row r="140" spans="1:16">
      <c r="A140">
        <f>'Rules-Platform'!C141</f>
        <v>372</v>
      </c>
      <c r="B140" t="str">
        <f>'Rules-Platform'!D141</f>
        <v>AT-x510-52GTX </v>
      </c>
      <c r="D140" t="str">
        <f>'Rules-Platform'!O141</f>
        <v>port1.0.49-1.0.52</v>
      </c>
      <c r="E140" t="str">
        <f>'Rules-Platform'!P141</f>
        <v>10G Uplink</v>
      </c>
      <c r="F140" t="str">
        <f>'Rules-Platform'!Q141</f>
        <v>n</v>
      </c>
      <c r="G140" t="str">
        <f>'Rules-Platform'!R141</f>
        <v>n</v>
      </c>
      <c r="H140" t="str">
        <f>'Rules-Platform'!S141</f>
        <v>y</v>
      </c>
      <c r="I140" t="str">
        <f>'Rules-Platform'!T141</f>
        <v>n</v>
      </c>
      <c r="J140" t="str">
        <f>'Rules-Platform'!U141</f>
        <v>n</v>
      </c>
      <c r="K140" t="str">
        <f>'Rules-Platform'!V141</f>
        <v>y</v>
      </c>
      <c r="L140" s="15" t="str">
        <f>'Rules-Platform'!W141</f>
        <v>n</v>
      </c>
      <c r="M140" t="str">
        <f>'Rules-Platform'!X141</f>
        <v>n</v>
      </c>
      <c r="N140" t="str">
        <f>'Rules-Platform'!Y141</f>
        <v>n</v>
      </c>
      <c r="O140" t="str">
        <f>'Rules-Platform'!Z141</f>
        <v>n</v>
      </c>
      <c r="P140" t="str">
        <f>'Rules-Platform'!AA141</f>
        <v>n</v>
      </c>
    </row>
    <row r="141" spans="1:16">
      <c r="A141">
        <f>'Rules-Platform'!C142</f>
        <v>373</v>
      </c>
      <c r="B141" t="str">
        <f>'Rules-Platform'!D142</f>
        <v>AT-x510-52GPX </v>
      </c>
      <c r="D141" t="str">
        <f>'Rules-Platform'!O142</f>
        <v>port1.0.49-1.0.52</v>
      </c>
      <c r="E141" t="str">
        <f>'Rules-Platform'!P142</f>
        <v>10G Uplink</v>
      </c>
      <c r="F141" t="str">
        <f>'Rules-Platform'!Q142</f>
        <v>n</v>
      </c>
      <c r="G141" t="str">
        <f>'Rules-Platform'!R142</f>
        <v>n</v>
      </c>
      <c r="H141" t="str">
        <f>'Rules-Platform'!S142</f>
        <v>y</v>
      </c>
      <c r="I141" t="str">
        <f>'Rules-Platform'!T142</f>
        <v>n</v>
      </c>
      <c r="J141" t="str">
        <f>'Rules-Platform'!U142</f>
        <v>n</v>
      </c>
      <c r="K141" t="str">
        <f>'Rules-Platform'!V142</f>
        <v>y</v>
      </c>
      <c r="L141" s="15" t="str">
        <f>'Rules-Platform'!W142</f>
        <v>n</v>
      </c>
      <c r="M141" t="str">
        <f>'Rules-Platform'!X142</f>
        <v>n</v>
      </c>
      <c r="N141" t="str">
        <f>'Rules-Platform'!Y142</f>
        <v>n</v>
      </c>
      <c r="O141" t="str">
        <f>'Rules-Platform'!Z142</f>
        <v>n</v>
      </c>
      <c r="P141" t="str">
        <f>'Rules-Platform'!AA142</f>
        <v>n</v>
      </c>
    </row>
    <row r="142" spans="1:16">
      <c r="A142">
        <f>'Rules-Platform'!C143</f>
        <v>385</v>
      </c>
      <c r="B142" t="str">
        <f>'Rules-Platform'!D143</f>
        <v>AT-x510DP-52GTX</v>
      </c>
      <c r="D142" t="str">
        <f>'Rules-Platform'!O143</f>
        <v>port1.0.49-1.0.52</v>
      </c>
      <c r="E142" t="str">
        <f>'Rules-Platform'!P143</f>
        <v>10G Uplink</v>
      </c>
      <c r="F142" t="str">
        <f>'Rules-Platform'!Q143</f>
        <v>n</v>
      </c>
      <c r="G142" t="str">
        <f>'Rules-Platform'!R143</f>
        <v>n</v>
      </c>
      <c r="H142" t="str">
        <f>'Rules-Platform'!S143</f>
        <v>y</v>
      </c>
      <c r="I142" t="str">
        <f>'Rules-Platform'!T143</f>
        <v>n</v>
      </c>
      <c r="J142" t="str">
        <f>'Rules-Platform'!U143</f>
        <v>n</v>
      </c>
      <c r="K142" t="str">
        <f>'Rules-Platform'!V143</f>
        <v>y</v>
      </c>
      <c r="L142" s="15" t="str">
        <f>'Rules-Platform'!W143</f>
        <v>n</v>
      </c>
      <c r="M142" t="str">
        <f>'Rules-Platform'!X143</f>
        <v>n</v>
      </c>
      <c r="N142" t="str">
        <f>'Rules-Platform'!Y143</f>
        <v>n</v>
      </c>
      <c r="O142" t="str">
        <f>'Rules-Platform'!Z143</f>
        <v>n</v>
      </c>
      <c r="P142" t="str">
        <f>'Rules-Platform'!AA143</f>
        <v>n</v>
      </c>
    </row>
    <row r="143" spans="1:16">
      <c r="A143">
        <f>'Rules-Platform'!C144</f>
        <v>386</v>
      </c>
      <c r="B143" t="str">
        <f>'Rules-Platform'!D144</f>
        <v>AT-IX5-28GPX</v>
      </c>
      <c r="D143" t="str">
        <f>'Rules-Platform'!O144</f>
        <v>port1.0.25-1.0.28</v>
      </c>
      <c r="E143" t="str">
        <f>'Rules-Platform'!P144</f>
        <v>10G Uplink</v>
      </c>
      <c r="F143" t="str">
        <f>'Rules-Platform'!Q144</f>
        <v>n</v>
      </c>
      <c r="G143" t="str">
        <f>'Rules-Platform'!R144</f>
        <v>n</v>
      </c>
      <c r="H143" t="str">
        <f>'Rules-Platform'!S144</f>
        <v>y</v>
      </c>
      <c r="I143" t="str">
        <f>'Rules-Platform'!T144</f>
        <v>n</v>
      </c>
      <c r="J143" t="str">
        <f>'Rules-Platform'!U144</f>
        <v>n</v>
      </c>
      <c r="K143" t="str">
        <f>'Rules-Platform'!V144</f>
        <v>y</v>
      </c>
      <c r="L143" s="15" t="str">
        <f>'Rules-Platform'!W144</f>
        <v>n</v>
      </c>
      <c r="M143" t="str">
        <f>'Rules-Platform'!X144</f>
        <v>n</v>
      </c>
      <c r="N143" t="str">
        <f>'Rules-Platform'!Y144</f>
        <v>n</v>
      </c>
      <c r="O143" t="str">
        <f>'Rules-Platform'!Z144</f>
        <v>n</v>
      </c>
      <c r="P143" t="str">
        <f>'Rules-Platform'!AA144</f>
        <v>n</v>
      </c>
    </row>
    <row r="144" spans="1:16">
      <c r="A144">
        <f>'Rules-Platform'!C145</f>
        <v>430</v>
      </c>
      <c r="B144" t="str">
        <f>'Rules-Platform'!D145</f>
        <v>AT-x510DP-28GTX</v>
      </c>
      <c r="D144" t="str">
        <f>'Rules-Platform'!O145</f>
        <v>port1.0.49-1.0.52</v>
      </c>
      <c r="E144" t="str">
        <f>'Rules-Platform'!P145</f>
        <v>10G Uplink</v>
      </c>
      <c r="F144" t="str">
        <f>'Rules-Platform'!Q145</f>
        <v>n</v>
      </c>
      <c r="G144" t="str">
        <f>'Rules-Platform'!R145</f>
        <v>n</v>
      </c>
      <c r="H144" t="str">
        <f>'Rules-Platform'!S145</f>
        <v>y</v>
      </c>
      <c r="I144" t="str">
        <f>'Rules-Platform'!T145</f>
        <v>n</v>
      </c>
      <c r="J144" t="str">
        <f>'Rules-Platform'!U145</f>
        <v>n</v>
      </c>
      <c r="K144" t="str">
        <f>'Rules-Platform'!V145</f>
        <v>y</v>
      </c>
      <c r="L144" s="15" t="str">
        <f>'Rules-Platform'!W145</f>
        <v>n</v>
      </c>
      <c r="M144" t="str">
        <f>'Rules-Platform'!X145</f>
        <v>n</v>
      </c>
      <c r="N144" t="str">
        <f>'Rules-Platform'!Y145</f>
        <v>n</v>
      </c>
      <c r="O144" t="str">
        <f>'Rules-Platform'!Z145</f>
        <v>n</v>
      </c>
      <c r="P144" t="str">
        <f>'Rules-Platform'!AA145</f>
        <v>n</v>
      </c>
    </row>
    <row r="145" spans="1:16">
      <c r="A145">
        <f>'Rules-Platform'!C146</f>
        <v>431</v>
      </c>
      <c r="B145" t="str">
        <f>'Rules-Platform'!D146</f>
        <v>AT-x510L-28GT</v>
      </c>
      <c r="D145" t="str">
        <f>'Rules-Platform'!O146</f>
        <v>port1.0.25-1.0.28</v>
      </c>
      <c r="E145" t="str">
        <f>'Rules-Platform'!P146</f>
        <v>10G Uplink</v>
      </c>
      <c r="F145" t="str">
        <f>'Rules-Platform'!Q146</f>
        <v>n</v>
      </c>
      <c r="G145" t="str">
        <f>'Rules-Platform'!R146</f>
        <v>n</v>
      </c>
      <c r="H145" t="str">
        <f>'Rules-Platform'!S146</f>
        <v>y</v>
      </c>
      <c r="I145" t="str">
        <f>'Rules-Platform'!T146</f>
        <v>n</v>
      </c>
      <c r="J145" t="str">
        <f>'Rules-Platform'!U146</f>
        <v>n</v>
      </c>
      <c r="K145" t="str">
        <f>'Rules-Platform'!V146</f>
        <v>y</v>
      </c>
      <c r="L145" s="15" t="str">
        <f>'Rules-Platform'!W146</f>
        <v>n</v>
      </c>
      <c r="M145" t="str">
        <f>'Rules-Platform'!X146</f>
        <v>n</v>
      </c>
      <c r="N145" t="str">
        <f>'Rules-Platform'!Y146</f>
        <v>n</v>
      </c>
      <c r="O145" t="str">
        <f>'Rules-Platform'!Z146</f>
        <v>n</v>
      </c>
      <c r="P145" t="str">
        <f>'Rules-Platform'!AA146</f>
        <v>n</v>
      </c>
    </row>
    <row r="146" spans="1:16">
      <c r="A146">
        <f>'Rules-Platform'!C147</f>
        <v>432</v>
      </c>
      <c r="B146" t="str">
        <f>'Rules-Platform'!D147</f>
        <v>AT-x510L-52GT</v>
      </c>
      <c r="D146" t="str">
        <f>'Rules-Platform'!O147</f>
        <v>port1.0.49-1.0.52</v>
      </c>
      <c r="E146" t="str">
        <f>'Rules-Platform'!P147</f>
        <v>10G Uplink</v>
      </c>
      <c r="F146" t="str">
        <f>'Rules-Platform'!Q147</f>
        <v>n</v>
      </c>
      <c r="G146" t="str">
        <f>'Rules-Platform'!R147</f>
        <v>n</v>
      </c>
      <c r="H146" t="str">
        <f>'Rules-Platform'!S147</f>
        <v>y</v>
      </c>
      <c r="I146" t="str">
        <f>'Rules-Platform'!T147</f>
        <v>n</v>
      </c>
      <c r="J146" t="str">
        <f>'Rules-Platform'!U147</f>
        <v>n</v>
      </c>
      <c r="K146" t="str">
        <f>'Rules-Platform'!V147</f>
        <v>y</v>
      </c>
      <c r="L146" s="15" t="str">
        <f>'Rules-Platform'!W147</f>
        <v>n</v>
      </c>
      <c r="M146" t="str">
        <f>'Rules-Platform'!X147</f>
        <v>n</v>
      </c>
      <c r="N146" t="str">
        <f>'Rules-Platform'!Y147</f>
        <v>n</v>
      </c>
      <c r="O146" t="str">
        <f>'Rules-Platform'!Z147</f>
        <v>n</v>
      </c>
      <c r="P146" t="str">
        <f>'Rules-Platform'!AA147</f>
        <v>n</v>
      </c>
    </row>
    <row r="147" spans="1:16">
      <c r="A147">
        <f>'Rules-Platform'!C148</f>
        <v>433</v>
      </c>
      <c r="B147" t="str">
        <f>'Rules-Platform'!D148</f>
        <v>AT-x510L-28GP</v>
      </c>
      <c r="D147" t="str">
        <f>'Rules-Platform'!O148</f>
        <v>port1.0.25-1.0.28</v>
      </c>
      <c r="E147" t="str">
        <f>'Rules-Platform'!P148</f>
        <v>10G Uplink</v>
      </c>
      <c r="F147" t="str">
        <f>'Rules-Platform'!Q148</f>
        <v>n</v>
      </c>
      <c r="G147" t="str">
        <f>'Rules-Platform'!R148</f>
        <v>n</v>
      </c>
      <c r="H147" t="str">
        <f>'Rules-Platform'!S148</f>
        <v>y</v>
      </c>
      <c r="I147" t="str">
        <f>'Rules-Platform'!T148</f>
        <v>n</v>
      </c>
      <c r="J147" t="str">
        <f>'Rules-Platform'!U148</f>
        <v>n</v>
      </c>
      <c r="K147" t="str">
        <f>'Rules-Platform'!V148</f>
        <v>y</v>
      </c>
      <c r="L147" s="15" t="str">
        <f>'Rules-Platform'!W148</f>
        <v>n</v>
      </c>
      <c r="M147" t="str">
        <f>'Rules-Platform'!X148</f>
        <v>n</v>
      </c>
      <c r="N147" t="str">
        <f>'Rules-Platform'!Y148</f>
        <v>n</v>
      </c>
      <c r="O147" t="str">
        <f>'Rules-Platform'!Z148</f>
        <v>n</v>
      </c>
      <c r="P147" t="str">
        <f>'Rules-Platform'!AA148</f>
        <v>n</v>
      </c>
    </row>
    <row r="148" spans="1:16">
      <c r="A148">
        <f>'Rules-Platform'!C149</f>
        <v>434</v>
      </c>
      <c r="B148" t="str">
        <f>'Rules-Platform'!D149</f>
        <v>AT-x510L-52GP</v>
      </c>
      <c r="D148" t="str">
        <f>'Rules-Platform'!O149</f>
        <v>port1.0.49-1.0.52</v>
      </c>
      <c r="E148" t="str">
        <f>'Rules-Platform'!P149</f>
        <v>10G Uplink</v>
      </c>
      <c r="F148" t="str">
        <f>'Rules-Platform'!Q149</f>
        <v>n</v>
      </c>
      <c r="G148" t="str">
        <f>'Rules-Platform'!R149</f>
        <v>n</v>
      </c>
      <c r="H148" t="str">
        <f>'Rules-Platform'!S149</f>
        <v>y</v>
      </c>
      <c r="I148" t="str">
        <f>'Rules-Platform'!T149</f>
        <v>n</v>
      </c>
      <c r="J148" t="str">
        <f>'Rules-Platform'!U149</f>
        <v>n</v>
      </c>
      <c r="K148" t="str">
        <f>'Rules-Platform'!V149</f>
        <v>y</v>
      </c>
      <c r="L148" s="15" t="str">
        <f>'Rules-Platform'!W149</f>
        <v>n</v>
      </c>
      <c r="M148" t="str">
        <f>'Rules-Platform'!X149</f>
        <v>n</v>
      </c>
      <c r="N148" t="str">
        <f>'Rules-Platform'!Y149</f>
        <v>n</v>
      </c>
      <c r="O148" t="str">
        <f>'Rules-Platform'!Z149</f>
        <v>n</v>
      </c>
      <c r="P148" t="str">
        <f>'Rules-Platform'!AA149</f>
        <v>n</v>
      </c>
    </row>
    <row r="149" spans="1:16">
      <c r="A149">
        <f>'Rules-Platform'!C150</f>
        <v>529</v>
      </c>
      <c r="B149" t="str">
        <f>'Rules-Platform'!D150</f>
        <v>AT-GS980MX/28</v>
      </c>
      <c r="D149" t="str">
        <f>'Rules-Platform'!O150</f>
        <v>port1.0.25-1.0.28</v>
      </c>
      <c r="E149" t="str">
        <f>'Rules-Platform'!P150</f>
        <v>10G Uplink</v>
      </c>
      <c r="F149" t="str">
        <f>'Rules-Platform'!Q150</f>
        <v>n</v>
      </c>
      <c r="G149" t="str">
        <f>'Rules-Platform'!R150</f>
        <v>n</v>
      </c>
      <c r="H149" t="str">
        <f>'Rules-Platform'!S150</f>
        <v>y</v>
      </c>
      <c r="I149" t="str">
        <f>'Rules-Platform'!T150</f>
        <v>n</v>
      </c>
      <c r="J149" t="str">
        <f>'Rules-Platform'!U150</f>
        <v>n</v>
      </c>
      <c r="K149" t="str">
        <f>'Rules-Platform'!V150</f>
        <v>y</v>
      </c>
      <c r="L149" s="15" t="str">
        <f>'Rules-Platform'!W150</f>
        <v>n</v>
      </c>
      <c r="M149" t="str">
        <f>'Rules-Platform'!X150</f>
        <v>n</v>
      </c>
      <c r="N149" t="str">
        <f>'Rules-Platform'!Y150</f>
        <v>n</v>
      </c>
      <c r="O149" t="str">
        <f>'Rules-Platform'!Z150</f>
        <v>n</v>
      </c>
      <c r="P149" t="str">
        <f>'Rules-Platform'!AA150</f>
        <v>n</v>
      </c>
    </row>
    <row r="150" spans="1:16">
      <c r="A150">
        <f>'Rules-Platform'!C151</f>
        <v>530</v>
      </c>
      <c r="B150" t="str">
        <f>'Rules-Platform'!D151</f>
        <v>AT-GS980MX/28PSm</v>
      </c>
      <c r="D150" t="str">
        <f>'Rules-Platform'!O151</f>
        <v>port1.0.25-1.0.28</v>
      </c>
      <c r="E150" t="str">
        <f>'Rules-Platform'!P151</f>
        <v>10G Uplink</v>
      </c>
      <c r="F150" t="str">
        <f>'Rules-Platform'!Q151</f>
        <v>n</v>
      </c>
      <c r="G150" t="str">
        <f>'Rules-Platform'!R151</f>
        <v>n</v>
      </c>
      <c r="H150" t="str">
        <f>'Rules-Platform'!S151</f>
        <v>y</v>
      </c>
      <c r="I150" t="str">
        <f>'Rules-Platform'!T151</f>
        <v>n</v>
      </c>
      <c r="J150" t="str">
        <f>'Rules-Platform'!U151</f>
        <v>n</v>
      </c>
      <c r="K150" t="str">
        <f>'Rules-Platform'!V151</f>
        <v>y</v>
      </c>
      <c r="L150" s="15" t="str">
        <f>'Rules-Platform'!W151</f>
        <v>n</v>
      </c>
      <c r="M150" t="str">
        <f>'Rules-Platform'!X151</f>
        <v>n</v>
      </c>
      <c r="N150" t="str">
        <f>'Rules-Platform'!Y151</f>
        <v>n</v>
      </c>
      <c r="O150" t="str">
        <f>'Rules-Platform'!Z151</f>
        <v>n</v>
      </c>
      <c r="P150" t="str">
        <f>'Rules-Platform'!AA151</f>
        <v>n</v>
      </c>
    </row>
    <row r="151" spans="1:16">
      <c r="A151">
        <f>'Rules-Platform'!C152</f>
        <v>531</v>
      </c>
      <c r="B151" t="str">
        <f>'Rules-Platform'!D152</f>
        <v>AT-GS980MX/52</v>
      </c>
      <c r="D151" t="str">
        <f>'Rules-Platform'!O152</f>
        <v>port1.0.49-1.0.52</v>
      </c>
      <c r="E151" t="str">
        <f>'Rules-Platform'!P152</f>
        <v>10G Uplink</v>
      </c>
      <c r="F151" t="str">
        <f>'Rules-Platform'!Q152</f>
        <v>n</v>
      </c>
      <c r="G151" t="str">
        <f>'Rules-Platform'!R152</f>
        <v>n</v>
      </c>
      <c r="H151" t="str">
        <f>'Rules-Platform'!S152</f>
        <v>y</v>
      </c>
      <c r="I151" t="str">
        <f>'Rules-Platform'!T152</f>
        <v>n</v>
      </c>
      <c r="J151" t="str">
        <f>'Rules-Platform'!U152</f>
        <v>n</v>
      </c>
      <c r="K151" t="str">
        <f>'Rules-Platform'!V152</f>
        <v>y</v>
      </c>
      <c r="L151" s="15" t="str">
        <f>'Rules-Platform'!W152</f>
        <v>n</v>
      </c>
      <c r="M151" t="str">
        <f>'Rules-Platform'!X152</f>
        <v>n</v>
      </c>
      <c r="N151" t="str">
        <f>'Rules-Platform'!Y152</f>
        <v>n</v>
      </c>
      <c r="O151" t="str">
        <f>'Rules-Platform'!Z152</f>
        <v>n</v>
      </c>
      <c r="P151" t="str">
        <f>'Rules-Platform'!AA152</f>
        <v>n</v>
      </c>
    </row>
    <row r="152" spans="1:16">
      <c r="A152">
        <f>'Rules-Platform'!C153</f>
        <v>532</v>
      </c>
      <c r="B152" t="str">
        <f>'Rules-Platform'!D153</f>
        <v>AT-GS980MX/52PSm</v>
      </c>
      <c r="D152" t="str">
        <f>'Rules-Platform'!O153</f>
        <v>port1.0.49-1.0.52</v>
      </c>
      <c r="E152" t="str">
        <f>'Rules-Platform'!P153</f>
        <v>10G Uplink</v>
      </c>
      <c r="F152" t="str">
        <f>'Rules-Platform'!Q153</f>
        <v>n</v>
      </c>
      <c r="G152" t="str">
        <f>'Rules-Platform'!R153</f>
        <v>n</v>
      </c>
      <c r="H152" t="str">
        <f>'Rules-Platform'!S153</f>
        <v>y</v>
      </c>
      <c r="I152" t="str">
        <f>'Rules-Platform'!T153</f>
        <v>n</v>
      </c>
      <c r="J152" t="str">
        <f>'Rules-Platform'!U153</f>
        <v>n</v>
      </c>
      <c r="K152" t="str">
        <f>'Rules-Platform'!V153</f>
        <v>y</v>
      </c>
      <c r="L152" s="15" t="str">
        <f>'Rules-Platform'!W153</f>
        <v>n</v>
      </c>
      <c r="M152" t="str">
        <f>'Rules-Platform'!X153</f>
        <v>n</v>
      </c>
      <c r="N152" t="str">
        <f>'Rules-Platform'!Y153</f>
        <v>n</v>
      </c>
      <c r="O152" t="str">
        <f>'Rules-Platform'!Z153</f>
        <v>n</v>
      </c>
      <c r="P152" t="str">
        <f>'Rules-Platform'!AA153</f>
        <v>n</v>
      </c>
    </row>
    <row r="153" spans="1:16">
      <c r="A153">
        <f>'Rules-Platform'!C154</f>
        <v>585</v>
      </c>
      <c r="B153" t="str">
        <f>'Rules-Platform'!D154</f>
        <v>AT-GS980MX/10HSM</v>
      </c>
      <c r="D153" t="str">
        <f>'Rules-Platform'!O154</f>
        <v>port1.0.9-1.0.10</v>
      </c>
      <c r="E153" t="str">
        <f>'Rules-Platform'!P154</f>
        <v>10G Uplink</v>
      </c>
      <c r="F153" t="str">
        <f>'Rules-Platform'!Q154</f>
        <v>n</v>
      </c>
      <c r="G153" t="str">
        <f>'Rules-Platform'!R154</f>
        <v>n</v>
      </c>
      <c r="H153" t="str">
        <f>'Rules-Platform'!S154</f>
        <v>y</v>
      </c>
      <c r="I153" t="str">
        <f>'Rules-Platform'!T154</f>
        <v>n</v>
      </c>
      <c r="J153" t="str">
        <f>'Rules-Platform'!U154</f>
        <v>n</v>
      </c>
      <c r="K153" t="str">
        <f>'Rules-Platform'!V154</f>
        <v>y</v>
      </c>
      <c r="L153" s="15" t="str">
        <f>'Rules-Platform'!W154</f>
        <v>n</v>
      </c>
      <c r="M153" t="str">
        <f>'Rules-Platform'!X154</f>
        <v>n</v>
      </c>
      <c r="N153" t="str">
        <f>'Rules-Platform'!Y154</f>
        <v>n</v>
      </c>
      <c r="O153" t="str">
        <f>'Rules-Platform'!Z154</f>
        <v>n</v>
      </c>
      <c r="P153" t="str">
        <f>'Rules-Platform'!AA154</f>
        <v>n</v>
      </c>
    </row>
    <row r="154" spans="1:16">
      <c r="A154">
        <f>'Rules-Platform'!C155</f>
        <v>586</v>
      </c>
      <c r="B154" t="str">
        <f>'Rules-Platform'!D155</f>
        <v>AT-GS980MX/18HSM</v>
      </c>
      <c r="D154" t="str">
        <f>'Rules-Platform'!O155</f>
        <v>port1.0.17-1.0.18</v>
      </c>
      <c r="E154" t="str">
        <f>'Rules-Platform'!P155</f>
        <v>10G Uplink</v>
      </c>
      <c r="F154" t="str">
        <f>'Rules-Platform'!Q155</f>
        <v>n</v>
      </c>
      <c r="G154" t="str">
        <f>'Rules-Platform'!R155</f>
        <v>n</v>
      </c>
      <c r="H154" t="str">
        <f>'Rules-Platform'!S155</f>
        <v>y</v>
      </c>
      <c r="I154" t="str">
        <f>'Rules-Platform'!T155</f>
        <v>n</v>
      </c>
      <c r="J154" t="str">
        <f>'Rules-Platform'!U155</f>
        <v>n</v>
      </c>
      <c r="K154" t="str">
        <f>'Rules-Platform'!V155</f>
        <v>y</v>
      </c>
      <c r="L154" s="15" t="str">
        <f>'Rules-Platform'!W155</f>
        <v>n</v>
      </c>
      <c r="M154" t="str">
        <f>'Rules-Platform'!X155</f>
        <v>n</v>
      </c>
      <c r="N154" t="str">
        <f>'Rules-Platform'!Y155</f>
        <v>n</v>
      </c>
      <c r="O154" t="str">
        <f>'Rules-Platform'!Z155</f>
        <v>n</v>
      </c>
      <c r="P154" t="str">
        <f>'Rules-Platform'!AA155</f>
        <v>n</v>
      </c>
    </row>
    <row r="155" spans="1:16">
      <c r="A155">
        <f>'Rules-Platform'!C156</f>
        <v>557</v>
      </c>
      <c r="B155" t="str">
        <f>'Rules-Platform'!D156</f>
        <v>AT-x320-10GH</v>
      </c>
      <c r="D155" t="str">
        <f>'Rules-Platform'!O156</f>
        <v>port1.0.9-1.0.10</v>
      </c>
      <c r="E155" t="str">
        <f>'Rules-Platform'!P156</f>
        <v>1G SFP</v>
      </c>
      <c r="F155" t="str">
        <f>'Rules-Platform'!Q156</f>
        <v>n</v>
      </c>
      <c r="G155" t="str">
        <f>'Rules-Platform'!R156</f>
        <v>n</v>
      </c>
      <c r="H155" t="str">
        <f>'Rules-Platform'!S156</f>
        <v>y</v>
      </c>
      <c r="I155" t="str">
        <f>'Rules-Platform'!T156</f>
        <v>n</v>
      </c>
      <c r="J155" t="str">
        <f>'Rules-Platform'!U156</f>
        <v>n</v>
      </c>
      <c r="K155" t="str">
        <f>'Rules-Platform'!V156</f>
        <v>n</v>
      </c>
      <c r="L155" s="15" t="str">
        <f>'Rules-Platform'!W156</f>
        <v>n</v>
      </c>
      <c r="M155" t="str">
        <f>'Rules-Platform'!X156</f>
        <v>n</v>
      </c>
      <c r="N155" t="str">
        <f>'Rules-Platform'!Y156</f>
        <v>n</v>
      </c>
      <c r="O155" t="str">
        <f>'Rules-Platform'!Z156</f>
        <v>n</v>
      </c>
      <c r="P155" t="str">
        <f>'Rules-Platform'!AA156</f>
        <v>n</v>
      </c>
    </row>
    <row r="156" spans="1:16">
      <c r="A156">
        <f>'Rules-Platform'!C157</f>
        <v>558</v>
      </c>
      <c r="B156" t="str">
        <f>'Rules-Platform'!D157</f>
        <v>AT-x320-11GPT</v>
      </c>
      <c r="D156" t="str">
        <f>'Rules-Platform'!O157</f>
        <v>port1.0.9-1.0.10</v>
      </c>
      <c r="E156" t="str">
        <f>'Rules-Platform'!P157</f>
        <v>1G SFP</v>
      </c>
      <c r="F156" t="str">
        <f>'Rules-Platform'!Q157</f>
        <v>n</v>
      </c>
      <c r="G156" t="str">
        <f>'Rules-Platform'!R157</f>
        <v>n</v>
      </c>
      <c r="H156" t="str">
        <f>'Rules-Platform'!S157</f>
        <v>y</v>
      </c>
      <c r="I156" t="str">
        <f>'Rules-Platform'!T157</f>
        <v>n</v>
      </c>
      <c r="J156" t="str">
        <f>'Rules-Platform'!U157</f>
        <v>n</v>
      </c>
      <c r="K156" t="str">
        <f>'Rules-Platform'!V157</f>
        <v>n</v>
      </c>
      <c r="L156" s="15" t="str">
        <f>'Rules-Platform'!W157</f>
        <v>n</v>
      </c>
      <c r="M156" t="str">
        <f>'Rules-Platform'!X157</f>
        <v>n</v>
      </c>
      <c r="N156" t="str">
        <f>'Rules-Platform'!Y157</f>
        <v>n</v>
      </c>
      <c r="O156" t="str">
        <f>'Rules-Platform'!Z157</f>
        <v>n</v>
      </c>
      <c r="P156" t="str">
        <f>'Rules-Platform'!AA157</f>
        <v>n</v>
      </c>
    </row>
    <row r="157" spans="1:16">
      <c r="A157">
        <f>'Rules-Platform'!C158</f>
        <v>577</v>
      </c>
      <c r="B157" t="str">
        <f>'Rules-Platform'!D158</f>
        <v>AT-GS980EM/10H</v>
      </c>
      <c r="D157" t="str">
        <f>'Rules-Platform'!O158</f>
        <v>port1.0.9-1.0.10</v>
      </c>
      <c r="E157" t="str">
        <f>'Rules-Platform'!P158</f>
        <v>1G SFP</v>
      </c>
      <c r="F157" t="str">
        <f>'Rules-Platform'!Q158</f>
        <v>y</v>
      </c>
      <c r="G157" t="str">
        <f>'Rules-Platform'!R158</f>
        <v>y</v>
      </c>
      <c r="H157" t="str">
        <f>'Rules-Platform'!S158</f>
        <v>y</v>
      </c>
      <c r="I157" t="str">
        <f>'Rules-Platform'!T158</f>
        <v>n</v>
      </c>
      <c r="J157" t="str">
        <f>'Rules-Platform'!U158</f>
        <v>n</v>
      </c>
      <c r="K157" t="str">
        <f>'Rules-Platform'!V158</f>
        <v>n</v>
      </c>
      <c r="L157" s="15" t="str">
        <f>'Rules-Platform'!W158</f>
        <v>n</v>
      </c>
      <c r="M157" t="str">
        <f>'Rules-Platform'!X158</f>
        <v>n</v>
      </c>
      <c r="N157" t="str">
        <f>'Rules-Platform'!Y158</f>
        <v>n</v>
      </c>
      <c r="O157" t="str">
        <f>'Rules-Platform'!Z158</f>
        <v>n</v>
      </c>
      <c r="P157" t="str">
        <f>'Rules-Platform'!AA158</f>
        <v>n</v>
      </c>
    </row>
    <row r="158" spans="1:16">
      <c r="A158">
        <f>'Rules-Platform'!C159</f>
        <v>578</v>
      </c>
      <c r="B158" t="str">
        <f>'Rules-Platform'!D159</f>
        <v>AT-GS980EM/11PT</v>
      </c>
      <c r="D158" t="str">
        <f>'Rules-Platform'!O159</f>
        <v>port1.0.9-1.0.10</v>
      </c>
      <c r="E158" t="str">
        <f>'Rules-Platform'!P159</f>
        <v>1G SFP</v>
      </c>
      <c r="F158" t="str">
        <f>'Rules-Platform'!Q159</f>
        <v>n</v>
      </c>
      <c r="G158" t="str">
        <f>'Rules-Platform'!R159</f>
        <v>n</v>
      </c>
      <c r="H158" t="str">
        <f>'Rules-Platform'!S159</f>
        <v>y</v>
      </c>
      <c r="I158" t="str">
        <f>'Rules-Platform'!T159</f>
        <v>n</v>
      </c>
      <c r="J158" t="str">
        <f>'Rules-Platform'!U159</f>
        <v>n</v>
      </c>
      <c r="K158" t="str">
        <f>'Rules-Platform'!V159</f>
        <v>n</v>
      </c>
      <c r="L158" s="15" t="str">
        <f>'Rules-Platform'!W159</f>
        <v>n</v>
      </c>
      <c r="M158" t="str">
        <f>'Rules-Platform'!X159</f>
        <v>n</v>
      </c>
      <c r="N158" t="str">
        <f>'Rules-Platform'!Y159</f>
        <v>n</v>
      </c>
      <c r="O158" t="str">
        <f>'Rules-Platform'!Z159</f>
        <v>n</v>
      </c>
      <c r="P158" t="str">
        <f>'Rules-Platform'!AA159</f>
        <v>n</v>
      </c>
    </row>
    <row r="159" spans="1:16">
      <c r="A159">
        <f>'Rules-Platform'!C160</f>
        <v>522</v>
      </c>
      <c r="B159" t="str">
        <f>'Rules-Platform'!D160</f>
        <v>AT-x530-28GTXm</v>
      </c>
      <c r="D159" t="str">
        <f>'Rules-Platform'!O160</f>
        <v>port1.0.25-1.0.28</v>
      </c>
      <c r="E159" t="str">
        <f>'Rules-Platform'!P160</f>
        <v>10G Uplink</v>
      </c>
      <c r="F159" t="str">
        <f>'Rules-Platform'!Q160</f>
        <v>n</v>
      </c>
      <c r="G159" t="str">
        <f>'Rules-Platform'!R160</f>
        <v>n</v>
      </c>
      <c r="H159" t="str">
        <f>'Rules-Platform'!S160</f>
        <v>y</v>
      </c>
      <c r="I159" t="str">
        <f>'Rules-Platform'!T160</f>
        <v>y</v>
      </c>
      <c r="J159" t="str">
        <f>'Rules-Platform'!U160</f>
        <v>y</v>
      </c>
      <c r="K159" t="str">
        <f>'Rules-Platform'!V160</f>
        <v>y</v>
      </c>
      <c r="L159" s="15" t="str">
        <f>'Rules-Platform'!W160</f>
        <v>n</v>
      </c>
      <c r="M159" t="str">
        <f>'Rules-Platform'!X160</f>
        <v>n</v>
      </c>
      <c r="N159" t="str">
        <f>'Rules-Platform'!Y160</f>
        <v>n</v>
      </c>
      <c r="O159" t="str">
        <f>'Rules-Platform'!Z160</f>
        <v>n</v>
      </c>
      <c r="P159" t="str">
        <f>'Rules-Platform'!AA160</f>
        <v>n</v>
      </c>
    </row>
    <row r="160" spans="1:16">
      <c r="A160">
        <f>'Rules-Platform'!C161</f>
        <v>523</v>
      </c>
      <c r="B160" t="str">
        <f>'Rules-Platform'!D161</f>
        <v>AT-x530-28GPXm</v>
      </c>
      <c r="D160" t="str">
        <f>'Rules-Platform'!O161</f>
        <v>port1.0.25-1.0.28</v>
      </c>
      <c r="E160" t="str">
        <f>'Rules-Platform'!P161</f>
        <v>10G Uplink</v>
      </c>
      <c r="F160" t="str">
        <f>'Rules-Platform'!Q161</f>
        <v>n</v>
      </c>
      <c r="G160" t="str">
        <f>'Rules-Platform'!R161</f>
        <v>n</v>
      </c>
      <c r="H160" t="str">
        <f>'Rules-Platform'!S161</f>
        <v>y</v>
      </c>
      <c r="I160" t="str">
        <f>'Rules-Platform'!T161</f>
        <v>y</v>
      </c>
      <c r="J160" t="str">
        <f>'Rules-Platform'!U161</f>
        <v>y</v>
      </c>
      <c r="K160" t="str">
        <f>'Rules-Platform'!V161</f>
        <v>y</v>
      </c>
      <c r="L160" s="15" t="str">
        <f>'Rules-Platform'!W161</f>
        <v>n</v>
      </c>
      <c r="M160" t="str">
        <f>'Rules-Platform'!X161</f>
        <v>n</v>
      </c>
      <c r="N160" t="str">
        <f>'Rules-Platform'!Y161</f>
        <v>n</v>
      </c>
      <c r="O160" t="str">
        <f>'Rules-Platform'!Z161</f>
        <v>n</v>
      </c>
      <c r="P160" t="str">
        <f>'Rules-Platform'!AA161</f>
        <v>n</v>
      </c>
    </row>
    <row r="161" spans="1:16">
      <c r="A161">
        <f>'Rules-Platform'!C162</f>
        <v>524</v>
      </c>
      <c r="B161" t="str">
        <f>'Rules-Platform'!D162</f>
        <v>AT-x530-28GSX</v>
      </c>
      <c r="D161" t="str">
        <f>'Rules-Platform'!O162</f>
        <v>port1.0.1-1.0.24</v>
      </c>
      <c r="E161" t="str">
        <f>'Rules-Platform'!P162</f>
        <v>1G Base</v>
      </c>
      <c r="F161" t="str">
        <f>'Rules-Platform'!Q162</f>
        <v>n</v>
      </c>
      <c r="G161" t="str">
        <f>'Rules-Platform'!R162</f>
        <v>y</v>
      </c>
      <c r="H161" t="str">
        <f>'Rules-Platform'!S162</f>
        <v>y</v>
      </c>
      <c r="I161" t="str">
        <f>'Rules-Platform'!T162</f>
        <v>n</v>
      </c>
      <c r="J161" t="str">
        <f>'Rules-Platform'!U162</f>
        <v>n</v>
      </c>
      <c r="K161" t="str">
        <f>'Rules-Platform'!V162</f>
        <v>n</v>
      </c>
      <c r="L161" s="15" t="str">
        <f>'Rules-Platform'!W162</f>
        <v>n</v>
      </c>
      <c r="M161" t="str">
        <f>'Rules-Platform'!X162</f>
        <v>n</v>
      </c>
      <c r="N161" t="str">
        <f>'Rules-Platform'!Y162</f>
        <v>n</v>
      </c>
      <c r="O161" t="str">
        <f>'Rules-Platform'!Z162</f>
        <v>n</v>
      </c>
      <c r="P161" t="str">
        <f>'Rules-Platform'!AA162</f>
        <v>n</v>
      </c>
    </row>
    <row r="162" spans="1:16">
      <c r="A162">
        <f>'Rules-Platform'!C163</f>
        <v>524</v>
      </c>
      <c r="B162" t="str">
        <f>'Rules-Platform'!D163</f>
        <v>AT-x530-28GSX</v>
      </c>
      <c r="D162" t="str">
        <f>'Rules-Platform'!O163</f>
        <v>port1.0.25-1.0.28</v>
      </c>
      <c r="E162" t="str">
        <f>'Rules-Platform'!P163</f>
        <v>10G Uplink</v>
      </c>
      <c r="F162" t="str">
        <f>'Rules-Platform'!Q163</f>
        <v>n</v>
      </c>
      <c r="G162" t="str">
        <f>'Rules-Platform'!R163</f>
        <v>n</v>
      </c>
      <c r="H162" t="str">
        <f>'Rules-Platform'!S163</f>
        <v>y</v>
      </c>
      <c r="I162" t="str">
        <f>'Rules-Platform'!T163</f>
        <v>y</v>
      </c>
      <c r="J162" t="str">
        <f>'Rules-Platform'!U163</f>
        <v>y</v>
      </c>
      <c r="K162" t="str">
        <f>'Rules-Platform'!V163</f>
        <v>y</v>
      </c>
      <c r="L162" s="15" t="str">
        <f>'Rules-Platform'!W163</f>
        <v>n</v>
      </c>
      <c r="M162" t="str">
        <f>'Rules-Platform'!X163</f>
        <v>n</v>
      </c>
      <c r="N162" t="str">
        <f>'Rules-Platform'!Y163</f>
        <v>n</v>
      </c>
      <c r="O162" t="str">
        <f>'Rules-Platform'!Z163</f>
        <v>n</v>
      </c>
      <c r="P162" t="str">
        <f>'Rules-Platform'!AA163</f>
        <v>n</v>
      </c>
    </row>
    <row r="163" spans="1:16">
      <c r="A163">
        <f>'Rules-Platform'!C164</f>
        <v>525</v>
      </c>
      <c r="B163" t="str">
        <f>'Rules-Platform'!D164</f>
        <v>AT-x530DP-28GHXm</v>
      </c>
      <c r="D163" t="str">
        <f>'Rules-Platform'!O164</f>
        <v>port1.0.25-1.0.28</v>
      </c>
      <c r="E163" t="str">
        <f>'Rules-Platform'!P164</f>
        <v>10G Uplink</v>
      </c>
      <c r="F163" t="str">
        <f>'Rules-Platform'!Q164</f>
        <v>n</v>
      </c>
      <c r="G163" t="str">
        <f>'Rules-Platform'!R164</f>
        <v>n</v>
      </c>
      <c r="H163" t="str">
        <f>'Rules-Platform'!S164</f>
        <v>y</v>
      </c>
      <c r="I163" t="str">
        <f>'Rules-Platform'!T164</f>
        <v>y</v>
      </c>
      <c r="J163" t="str">
        <f>'Rules-Platform'!U164</f>
        <v>y</v>
      </c>
      <c r="K163" t="str">
        <f>'Rules-Platform'!V164</f>
        <v>y</v>
      </c>
      <c r="L163" s="15" t="str">
        <f>'Rules-Platform'!W164</f>
        <v>n</v>
      </c>
      <c r="M163" t="str">
        <f>'Rules-Platform'!X164</f>
        <v>n</v>
      </c>
      <c r="N163" t="str">
        <f>'Rules-Platform'!Y164</f>
        <v>n</v>
      </c>
      <c r="O163" t="str">
        <f>'Rules-Platform'!Z164</f>
        <v>n</v>
      </c>
      <c r="P163" t="str">
        <f>'Rules-Platform'!AA164</f>
        <v>n</v>
      </c>
    </row>
    <row r="164" spans="1:16">
      <c r="A164">
        <f>'Rules-Platform'!C165</f>
        <v>526</v>
      </c>
      <c r="B164" t="str">
        <f>'Rules-Platform'!D165</f>
        <v>AT-x530-52GTXm</v>
      </c>
      <c r="D164" t="str">
        <f>'Rules-Platform'!O165</f>
        <v>port1.0.49-1.0.52</v>
      </c>
      <c r="E164" t="str">
        <f>'Rules-Platform'!P165</f>
        <v>10G Uplink</v>
      </c>
      <c r="F164" t="str">
        <f>'Rules-Platform'!Q165</f>
        <v>n</v>
      </c>
      <c r="G164" t="str">
        <f>'Rules-Platform'!R165</f>
        <v>n</v>
      </c>
      <c r="H164" t="str">
        <f>'Rules-Platform'!S165</f>
        <v>y</v>
      </c>
      <c r="I164" t="str">
        <f>'Rules-Platform'!T165</f>
        <v>y</v>
      </c>
      <c r="J164" t="str">
        <f>'Rules-Platform'!U165</f>
        <v>y</v>
      </c>
      <c r="K164" t="str">
        <f>'Rules-Platform'!V165</f>
        <v>y</v>
      </c>
      <c r="L164" s="15" t="str">
        <f>'Rules-Platform'!W165</f>
        <v>n</v>
      </c>
      <c r="M164" t="str">
        <f>'Rules-Platform'!X165</f>
        <v>n</v>
      </c>
      <c r="N164" t="str">
        <f>'Rules-Platform'!Y165</f>
        <v>n</v>
      </c>
      <c r="O164" t="str">
        <f>'Rules-Platform'!Z165</f>
        <v>n</v>
      </c>
      <c r="P164" t="str">
        <f>'Rules-Platform'!AA165</f>
        <v>n</v>
      </c>
    </row>
    <row r="165" spans="1:16">
      <c r="A165">
        <f>'Rules-Platform'!C166</f>
        <v>527</v>
      </c>
      <c r="B165" t="str">
        <f>'Rules-Platform'!D166</f>
        <v>AT-x530-52GPXm</v>
      </c>
      <c r="D165" t="str">
        <f>'Rules-Platform'!O166</f>
        <v>port1.0.49-1.0.52</v>
      </c>
      <c r="E165" t="str">
        <f>'Rules-Platform'!P166</f>
        <v>10G Uplink</v>
      </c>
      <c r="F165" t="str">
        <f>'Rules-Platform'!Q166</f>
        <v>n</v>
      </c>
      <c r="G165" t="str">
        <f>'Rules-Platform'!R166</f>
        <v>n</v>
      </c>
      <c r="H165" t="str">
        <f>'Rules-Platform'!S166</f>
        <v>y</v>
      </c>
      <c r="I165" t="str">
        <f>'Rules-Platform'!T166</f>
        <v>y</v>
      </c>
      <c r="J165" t="str">
        <f>'Rules-Platform'!U166</f>
        <v>y</v>
      </c>
      <c r="K165" t="str">
        <f>'Rules-Platform'!V166</f>
        <v>y</v>
      </c>
      <c r="L165" s="15" t="str">
        <f>'Rules-Platform'!W166</f>
        <v>n</v>
      </c>
      <c r="M165" t="str">
        <f>'Rules-Platform'!X166</f>
        <v>n</v>
      </c>
      <c r="N165" t="str">
        <f>'Rules-Platform'!Y166</f>
        <v>n</v>
      </c>
      <c r="O165" t="str">
        <f>'Rules-Platform'!Z166</f>
        <v>n</v>
      </c>
      <c r="P165" t="str">
        <f>'Rules-Platform'!AA166</f>
        <v>n</v>
      </c>
    </row>
    <row r="166" spans="1:16">
      <c r="A166">
        <f>'Rules-Platform'!C167</f>
        <v>528</v>
      </c>
      <c r="B166" t="str">
        <f>'Rules-Platform'!D167</f>
        <v>AT-x530DP-52GHXm</v>
      </c>
      <c r="D166" t="str">
        <f>'Rules-Platform'!O167</f>
        <v>port1.0.49-1.0.52</v>
      </c>
      <c r="E166" t="str">
        <f>'Rules-Platform'!P167</f>
        <v>10G Uplink</v>
      </c>
      <c r="F166" t="str">
        <f>'Rules-Platform'!Q167</f>
        <v>n</v>
      </c>
      <c r="G166" t="str">
        <f>'Rules-Platform'!R167</f>
        <v>n</v>
      </c>
      <c r="H166" t="str">
        <f>'Rules-Platform'!S167</f>
        <v>y</v>
      </c>
      <c r="I166" t="str">
        <f>'Rules-Platform'!T167</f>
        <v>y</v>
      </c>
      <c r="J166" t="str">
        <f>'Rules-Platform'!U167</f>
        <v>y</v>
      </c>
      <c r="K166" t="str">
        <f>'Rules-Platform'!V167</f>
        <v>y</v>
      </c>
      <c r="L166" s="15" t="str">
        <f>'Rules-Platform'!W167</f>
        <v>n</v>
      </c>
      <c r="M166" t="str">
        <f>'Rules-Platform'!X167</f>
        <v>n</v>
      </c>
      <c r="N166" t="str">
        <f>'Rules-Platform'!Y167</f>
        <v>n</v>
      </c>
      <c r="O166" t="str">
        <f>'Rules-Platform'!Z167</f>
        <v>n</v>
      </c>
      <c r="P166" t="str">
        <f>'Rules-Platform'!AA167</f>
        <v>n</v>
      </c>
    </row>
    <row r="167" spans="1:16">
      <c r="A167">
        <f>'Rules-Platform'!C168</f>
        <v>567</v>
      </c>
      <c r="B167" t="str">
        <f>'Rules-Platform'!D168</f>
        <v>AT-x530L-28GTX</v>
      </c>
      <c r="D167" t="str">
        <f>'Rules-Platform'!O168</f>
        <v>port1.0.25-1.0.28</v>
      </c>
      <c r="E167" t="str">
        <f>'Rules-Platform'!P168</f>
        <v>10G Uplink</v>
      </c>
      <c r="F167" t="str">
        <f>'Rules-Platform'!Q168</f>
        <v>n</v>
      </c>
      <c r="G167" t="str">
        <f>'Rules-Platform'!R168</f>
        <v>n</v>
      </c>
      <c r="H167" t="str">
        <f>'Rules-Platform'!S168</f>
        <v>y</v>
      </c>
      <c r="I167" t="str">
        <f>'Rules-Platform'!T168</f>
        <v>y</v>
      </c>
      <c r="J167" t="str">
        <f>'Rules-Platform'!U168</f>
        <v>y</v>
      </c>
      <c r="K167" t="str">
        <f>'Rules-Platform'!V168</f>
        <v>y</v>
      </c>
      <c r="L167" s="15" t="str">
        <f>'Rules-Platform'!W168</f>
        <v>n</v>
      </c>
      <c r="M167" t="str">
        <f>'Rules-Platform'!X168</f>
        <v>n</v>
      </c>
      <c r="N167" t="str">
        <f>'Rules-Platform'!Y168</f>
        <v>n</v>
      </c>
      <c r="O167" t="str">
        <f>'Rules-Platform'!Z168</f>
        <v>n</v>
      </c>
      <c r="P167" t="str">
        <f>'Rules-Platform'!AA168</f>
        <v>n</v>
      </c>
    </row>
    <row r="168" spans="1:16">
      <c r="A168">
        <f>'Rules-Platform'!C169</f>
        <v>568</v>
      </c>
      <c r="B168" t="str">
        <f>'Rules-Platform'!D169</f>
        <v>AT-x530L-28GPX</v>
      </c>
      <c r="D168" t="str">
        <f>'Rules-Platform'!O169</f>
        <v>port1.0.25-1.0.28</v>
      </c>
      <c r="E168" t="str">
        <f>'Rules-Platform'!P169</f>
        <v>10G Uplink</v>
      </c>
      <c r="F168" t="str">
        <f>'Rules-Platform'!Q169</f>
        <v>n</v>
      </c>
      <c r="G168" t="str">
        <f>'Rules-Platform'!R169</f>
        <v>n</v>
      </c>
      <c r="H168" t="str">
        <f>'Rules-Platform'!S169</f>
        <v>y</v>
      </c>
      <c r="I168" t="str">
        <f>'Rules-Platform'!T169</f>
        <v>y</v>
      </c>
      <c r="J168" t="str">
        <f>'Rules-Platform'!U169</f>
        <v>y</v>
      </c>
      <c r="K168" t="str">
        <f>'Rules-Platform'!V169</f>
        <v>y</v>
      </c>
      <c r="L168" s="15" t="str">
        <f>'Rules-Platform'!W169</f>
        <v>n</v>
      </c>
      <c r="M168" t="str">
        <f>'Rules-Platform'!X169</f>
        <v>n</v>
      </c>
      <c r="N168" t="str">
        <f>'Rules-Platform'!Y169</f>
        <v>n</v>
      </c>
      <c r="O168" t="str">
        <f>'Rules-Platform'!Z169</f>
        <v>n</v>
      </c>
      <c r="P168" t="str">
        <f>'Rules-Platform'!AA169</f>
        <v>n</v>
      </c>
    </row>
    <row r="169" spans="1:16">
      <c r="A169">
        <f>'Rules-Platform'!C170</f>
        <v>569</v>
      </c>
      <c r="B169" t="str">
        <f>'Rules-Platform'!D170</f>
        <v>AT-x530L-52GTX</v>
      </c>
      <c r="D169" t="str">
        <f>'Rules-Platform'!O170</f>
        <v>port1.0.49-1.0.52</v>
      </c>
      <c r="E169" t="str">
        <f>'Rules-Platform'!P170</f>
        <v>10G Uplink</v>
      </c>
      <c r="F169" t="str">
        <f>'Rules-Platform'!Q170</f>
        <v>n</v>
      </c>
      <c r="G169" t="str">
        <f>'Rules-Platform'!R170</f>
        <v>n</v>
      </c>
      <c r="H169" t="str">
        <f>'Rules-Platform'!S170</f>
        <v>y</v>
      </c>
      <c r="I169" t="str">
        <f>'Rules-Platform'!T170</f>
        <v>y</v>
      </c>
      <c r="J169" t="str">
        <f>'Rules-Platform'!U170</f>
        <v>y</v>
      </c>
      <c r="K169" t="str">
        <f>'Rules-Platform'!V170</f>
        <v>y</v>
      </c>
      <c r="L169" s="15" t="str">
        <f>'Rules-Platform'!W170</f>
        <v>n</v>
      </c>
      <c r="M169" t="str">
        <f>'Rules-Platform'!X170</f>
        <v>n</v>
      </c>
      <c r="N169" t="str">
        <f>'Rules-Platform'!Y170</f>
        <v>n</v>
      </c>
      <c r="O169" t="str">
        <f>'Rules-Platform'!Z170</f>
        <v>n</v>
      </c>
      <c r="P169" t="str">
        <f>'Rules-Platform'!AA170</f>
        <v>n</v>
      </c>
    </row>
    <row r="170" spans="1:16">
      <c r="A170">
        <f>'Rules-Platform'!C171</f>
        <v>570</v>
      </c>
      <c r="B170" t="str">
        <f>'Rules-Platform'!D171</f>
        <v>AT-x530L-52GPX</v>
      </c>
      <c r="D170" t="str">
        <f>'Rules-Platform'!O171</f>
        <v>port1.0.49-1.0.52</v>
      </c>
      <c r="E170" t="str">
        <f>'Rules-Platform'!P171</f>
        <v>10G Uplink</v>
      </c>
      <c r="F170" t="str">
        <f>'Rules-Platform'!Q171</f>
        <v>n</v>
      </c>
      <c r="G170" t="str">
        <f>'Rules-Platform'!R171</f>
        <v>n</v>
      </c>
      <c r="H170" t="str">
        <f>'Rules-Platform'!S171</f>
        <v>y</v>
      </c>
      <c r="I170" t="str">
        <f>'Rules-Platform'!T171</f>
        <v>y</v>
      </c>
      <c r="J170" t="str">
        <f>'Rules-Platform'!U171</f>
        <v>y</v>
      </c>
      <c r="K170" t="str">
        <f>'Rules-Platform'!V171</f>
        <v>y</v>
      </c>
      <c r="L170" s="15" t="str">
        <f>'Rules-Platform'!W171</f>
        <v>n</v>
      </c>
      <c r="M170" t="str">
        <f>'Rules-Platform'!X171</f>
        <v>n</v>
      </c>
      <c r="N170" t="str">
        <f>'Rules-Platform'!Y171</f>
        <v>n</v>
      </c>
      <c r="O170" t="str">
        <f>'Rules-Platform'!Z171</f>
        <v>n</v>
      </c>
      <c r="P170" t="str">
        <f>'Rules-Platform'!AA171</f>
        <v>n</v>
      </c>
    </row>
    <row r="171" spans="1:16">
      <c r="A171">
        <f>'Rules-Platform'!C172</f>
        <v>581</v>
      </c>
      <c r="B171" t="str">
        <f>'Rules-Platform'!D172</f>
        <v>AT-x530L-10GHXm</v>
      </c>
      <c r="D171" t="str">
        <f>'Rules-Platform'!O172</f>
        <v>port1.0.9-1.0.10</v>
      </c>
      <c r="E171" t="str">
        <f>'Rules-Platform'!P172</f>
        <v>10G Uplink</v>
      </c>
      <c r="F171" t="str">
        <f>'Rules-Platform'!Q172</f>
        <v>n</v>
      </c>
      <c r="G171" t="str">
        <f>'Rules-Platform'!R172</f>
        <v>n</v>
      </c>
      <c r="H171" t="str">
        <f>'Rules-Platform'!S172</f>
        <v>y</v>
      </c>
      <c r="I171" t="str">
        <f>'Rules-Platform'!T172</f>
        <v>y</v>
      </c>
      <c r="J171" t="str">
        <f>'Rules-Platform'!U172</f>
        <v>y</v>
      </c>
      <c r="K171" t="str">
        <f>'Rules-Platform'!V172</f>
        <v>y</v>
      </c>
      <c r="L171" s="15" t="str">
        <f>'Rules-Platform'!W172</f>
        <v>n</v>
      </c>
      <c r="M171" t="str">
        <f>'Rules-Platform'!X172</f>
        <v>n</v>
      </c>
      <c r="N171" t="str">
        <f>'Rules-Platform'!Y172</f>
        <v>n</v>
      </c>
      <c r="O171" t="str">
        <f>'Rules-Platform'!Z172</f>
        <v>n</v>
      </c>
      <c r="P171" t="str">
        <f>'Rules-Platform'!AA172</f>
        <v>n</v>
      </c>
    </row>
    <row r="172" spans="1:16">
      <c r="A172">
        <f>'Rules-Platform'!C173</f>
        <v>582</v>
      </c>
      <c r="B172" t="str">
        <f>'Rules-Platform'!D173</f>
        <v>AT-x530L-18GHXm</v>
      </c>
      <c r="D172" t="str">
        <f>'Rules-Platform'!O173</f>
        <v>port1.0.17-1.0.18</v>
      </c>
      <c r="E172" t="str">
        <f>'Rules-Platform'!P173</f>
        <v>10G Uplink</v>
      </c>
      <c r="F172" t="str">
        <f>'Rules-Platform'!Q173</f>
        <v>n</v>
      </c>
      <c r="G172" t="str">
        <f>'Rules-Platform'!R173</f>
        <v>n</v>
      </c>
      <c r="H172" t="str">
        <f>'Rules-Platform'!S173</f>
        <v>y</v>
      </c>
      <c r="I172" t="str">
        <f>'Rules-Platform'!T173</f>
        <v>y</v>
      </c>
      <c r="J172" t="str">
        <f>'Rules-Platform'!U173</f>
        <v>y</v>
      </c>
      <c r="K172" t="str">
        <f>'Rules-Platform'!V173</f>
        <v>y</v>
      </c>
      <c r="L172" s="15" t="str">
        <f>'Rules-Platform'!W173</f>
        <v>n</v>
      </c>
      <c r="M172" t="str">
        <f>'Rules-Platform'!X173</f>
        <v>n</v>
      </c>
      <c r="N172" t="str">
        <f>'Rules-Platform'!Y173</f>
        <v>n</v>
      </c>
      <c r="O172" t="str">
        <f>'Rules-Platform'!Z173</f>
        <v>n</v>
      </c>
      <c r="P172" t="str">
        <f>'Rules-Platform'!AA173</f>
        <v>n</v>
      </c>
    </row>
    <row r="173" spans="1:16">
      <c r="A173">
        <f>'Rules-Platform'!C174</f>
        <v>583</v>
      </c>
      <c r="B173" t="str">
        <f>'Rules-Platform'!D174</f>
        <v>AT-x530-10GHXm</v>
      </c>
      <c r="D173" t="str">
        <f>'Rules-Platform'!O174</f>
        <v>port1.0.9-1.0.10</v>
      </c>
      <c r="E173" t="str">
        <f>'Rules-Platform'!P174</f>
        <v>10G Uplink</v>
      </c>
      <c r="F173" t="str">
        <f>'Rules-Platform'!Q174</f>
        <v>n</v>
      </c>
      <c r="G173" t="str">
        <f>'Rules-Platform'!R174</f>
        <v>n</v>
      </c>
      <c r="H173" t="str">
        <f>'Rules-Platform'!S174</f>
        <v>y</v>
      </c>
      <c r="I173" t="str">
        <f>'Rules-Platform'!T174</f>
        <v>y</v>
      </c>
      <c r="J173" t="str">
        <f>'Rules-Platform'!U174</f>
        <v>y</v>
      </c>
      <c r="K173" t="str">
        <f>'Rules-Platform'!V174</f>
        <v>y</v>
      </c>
      <c r="L173" s="15" t="str">
        <f>'Rules-Platform'!W174</f>
        <v>n</v>
      </c>
      <c r="M173" t="str">
        <f>'Rules-Platform'!X174</f>
        <v>n</v>
      </c>
      <c r="N173" t="str">
        <f>'Rules-Platform'!Y174</f>
        <v>n</v>
      </c>
      <c r="O173" t="str">
        <f>'Rules-Platform'!Z174</f>
        <v>n</v>
      </c>
      <c r="P173" t="str">
        <f>'Rules-Platform'!AA174</f>
        <v>n</v>
      </c>
    </row>
    <row r="174" spans="1:16">
      <c r="A174">
        <f>'Rules-Platform'!C175</f>
        <v>584</v>
      </c>
      <c r="B174" t="str">
        <f>'Rules-Platform'!D175</f>
        <v>AT-x530-18GHXm</v>
      </c>
      <c r="D174" t="str">
        <f>'Rules-Platform'!O175</f>
        <v>port1.0.17-1.0.18</v>
      </c>
      <c r="E174" t="str">
        <f>'Rules-Platform'!P175</f>
        <v>10G Uplink</v>
      </c>
      <c r="F174" t="str">
        <f>'Rules-Platform'!Q175</f>
        <v>n</v>
      </c>
      <c r="G174" t="str">
        <f>'Rules-Platform'!R175</f>
        <v>n</v>
      </c>
      <c r="H174" t="str">
        <f>'Rules-Platform'!S175</f>
        <v>y</v>
      </c>
      <c r="I174" t="str">
        <f>'Rules-Platform'!T175</f>
        <v>y</v>
      </c>
      <c r="J174" t="str">
        <f>'Rules-Platform'!U175</f>
        <v>y</v>
      </c>
      <c r="K174" t="str">
        <f>'Rules-Platform'!V175</f>
        <v>y</v>
      </c>
      <c r="L174" s="15" t="str">
        <f>'Rules-Platform'!W175</f>
        <v>n</v>
      </c>
      <c r="M174" t="str">
        <f>'Rules-Platform'!X175</f>
        <v>n</v>
      </c>
      <c r="N174" t="str">
        <f>'Rules-Platform'!Y175</f>
        <v>n</v>
      </c>
      <c r="O174" t="str">
        <f>'Rules-Platform'!Z175</f>
        <v>n</v>
      </c>
      <c r="P174" t="str">
        <f>'Rules-Platform'!AA175</f>
        <v>n</v>
      </c>
    </row>
    <row r="175" spans="1:16">
      <c r="A175">
        <f>'Rules-Platform'!C176</f>
        <v>490</v>
      </c>
      <c r="B175" t="str">
        <f>'Rules-Platform'!D176</f>
        <v>AT-x550-18XTQ</v>
      </c>
      <c r="D175" t="str">
        <f>'Rules-Platform'!O176</f>
        <v>port1.0.17,port1.0.21</v>
      </c>
      <c r="E175" t="str">
        <f>'Rules-Platform'!P176</f>
        <v>40G Uplink</v>
      </c>
      <c r="F175" t="str">
        <f>'Rules-Platform'!Q176</f>
        <v>n</v>
      </c>
      <c r="G175" t="str">
        <f>'Rules-Platform'!R176</f>
        <v>n</v>
      </c>
      <c r="H175" t="str">
        <f>'Rules-Platform'!S176</f>
        <v>n</v>
      </c>
      <c r="I175" t="str">
        <f>'Rules-Platform'!T176</f>
        <v>n</v>
      </c>
      <c r="J175" t="str">
        <f>'Rules-Platform'!U176</f>
        <v>n</v>
      </c>
      <c r="K175" t="str">
        <f>'Rules-Platform'!V176</f>
        <v>n</v>
      </c>
      <c r="L175" s="15" t="str">
        <f>'Rules-Platform'!W176</f>
        <v>n</v>
      </c>
      <c r="M175" t="str">
        <f>'Rules-Platform'!X176</f>
        <v>y</v>
      </c>
      <c r="N175" t="str">
        <f>'Rules-Platform'!Y176</f>
        <v>n</v>
      </c>
      <c r="O175" t="str">
        <f>'Rules-Platform'!Z176</f>
        <v>n</v>
      </c>
      <c r="P175" t="str">
        <f>'Rules-Platform'!AA176</f>
        <v>n</v>
      </c>
    </row>
    <row r="176" spans="1:16">
      <c r="A176">
        <f>'Rules-Platform'!C177</f>
        <v>491</v>
      </c>
      <c r="B176" t="str">
        <f>'Rules-Platform'!D177</f>
        <v>AT-x550-18XSQ</v>
      </c>
      <c r="D176" t="str">
        <f>'Rules-Platform'!O177</f>
        <v>port1.0.1-1.0.16</v>
      </c>
      <c r="E176" t="str">
        <f>'Rules-Platform'!P177</f>
        <v>10G SFP</v>
      </c>
      <c r="F176" t="str">
        <f>'Rules-Platform'!Q177</f>
        <v>n</v>
      </c>
      <c r="G176" t="str">
        <f>'Rules-Platform'!R177</f>
        <v>n</v>
      </c>
      <c r="H176" t="str">
        <f>'Rules-Platform'!S177</f>
        <v>y</v>
      </c>
      <c r="I176" t="str">
        <f>'Rules-Platform'!T177</f>
        <v>y</v>
      </c>
      <c r="J176" t="str">
        <f>'Rules-Platform'!U177</f>
        <v>y</v>
      </c>
      <c r="K176" t="str">
        <f>'Rules-Platform'!V177</f>
        <v>y</v>
      </c>
      <c r="L176" s="15" t="str">
        <f>'Rules-Platform'!W177</f>
        <v>n</v>
      </c>
      <c r="M176" t="str">
        <f>'Rules-Platform'!X177</f>
        <v>n</v>
      </c>
      <c r="N176" t="str">
        <f>'Rules-Platform'!Y177</f>
        <v>n</v>
      </c>
      <c r="O176" t="str">
        <f>'Rules-Platform'!Z177</f>
        <v>n</v>
      </c>
      <c r="P176" t="str">
        <f>'Rules-Platform'!AA177</f>
        <v>n</v>
      </c>
    </row>
    <row r="177" spans="1:16">
      <c r="A177">
        <f>'Rules-Platform'!C178</f>
        <v>491</v>
      </c>
      <c r="B177" t="str">
        <f>'Rules-Platform'!D178</f>
        <v>AT-x550-18XSQ</v>
      </c>
      <c r="D177" t="str">
        <f>'Rules-Platform'!O178</f>
        <v>port1.0.17,port1.0.21</v>
      </c>
      <c r="E177" t="str">
        <f>'Rules-Platform'!P178</f>
        <v>40G Uplink</v>
      </c>
      <c r="F177" t="str">
        <f>'Rules-Platform'!Q178</f>
        <v>n</v>
      </c>
      <c r="G177" t="str">
        <f>'Rules-Platform'!R178</f>
        <v>n</v>
      </c>
      <c r="H177" t="str">
        <f>'Rules-Platform'!S178</f>
        <v>n</v>
      </c>
      <c r="I177" t="str">
        <f>'Rules-Platform'!T178</f>
        <v>n</v>
      </c>
      <c r="J177" t="str">
        <f>'Rules-Platform'!U178</f>
        <v>n</v>
      </c>
      <c r="K177" t="str">
        <f>'Rules-Platform'!V178</f>
        <v>n</v>
      </c>
      <c r="L177" s="15" t="str">
        <f>'Rules-Platform'!W178</f>
        <v>n</v>
      </c>
      <c r="M177" t="str">
        <f>'Rules-Platform'!X178</f>
        <v>y</v>
      </c>
      <c r="N177" t="str">
        <f>'Rules-Platform'!Y178</f>
        <v>n</v>
      </c>
      <c r="O177" t="str">
        <f>'Rules-Platform'!Z178</f>
        <v>n</v>
      </c>
      <c r="P177" t="str">
        <f>'Rules-Platform'!AA178</f>
        <v>n</v>
      </c>
    </row>
    <row r="178" spans="1:16">
      <c r="A178">
        <f>'Rules-Platform'!C179</f>
        <v>492</v>
      </c>
      <c r="B178" t="str">
        <f>'Rules-Platform'!D179</f>
        <v>AT-x550-18XSPQm</v>
      </c>
      <c r="D178" t="str">
        <f>'Rules-Platform'!O179</f>
        <v>port1.0.1-1.0.16</v>
      </c>
      <c r="E178" t="str">
        <f>'Rules-Platform'!P179</f>
        <v>10G SFP</v>
      </c>
      <c r="F178" t="str">
        <f>'Rules-Platform'!Q179</f>
        <v>n</v>
      </c>
      <c r="G178" t="str">
        <f>'Rules-Platform'!R179</f>
        <v>n</v>
      </c>
      <c r="H178" t="str">
        <f>'Rules-Platform'!S179</f>
        <v>y</v>
      </c>
      <c r="I178" t="str">
        <f>'Rules-Platform'!T179</f>
        <v>y</v>
      </c>
      <c r="J178" t="str">
        <f>'Rules-Platform'!U179</f>
        <v>y</v>
      </c>
      <c r="K178" t="str">
        <f>'Rules-Platform'!V179</f>
        <v>y</v>
      </c>
      <c r="L178" s="15" t="str">
        <f>'Rules-Platform'!W179</f>
        <v>n</v>
      </c>
      <c r="M178" t="str">
        <f>'Rules-Platform'!X179</f>
        <v>n</v>
      </c>
      <c r="N178" t="str">
        <f>'Rules-Platform'!Y179</f>
        <v>n</v>
      </c>
      <c r="O178" t="str">
        <f>'Rules-Platform'!Z179</f>
        <v>n</v>
      </c>
      <c r="P178" t="str">
        <f>'Rules-Platform'!AA179</f>
        <v>n</v>
      </c>
    </row>
    <row r="179" spans="1:16">
      <c r="A179">
        <f>'Rules-Platform'!C180</f>
        <v>492</v>
      </c>
      <c r="B179" t="str">
        <f>'Rules-Platform'!D180</f>
        <v>AT-x550-18XSPQm</v>
      </c>
      <c r="D179" t="str">
        <f>'Rules-Platform'!O180</f>
        <v>port1.0.17,port1.0.21</v>
      </c>
      <c r="E179" t="str">
        <f>'Rules-Platform'!P180</f>
        <v>40G Uplink</v>
      </c>
      <c r="F179" t="str">
        <f>'Rules-Platform'!Q180</f>
        <v>n</v>
      </c>
      <c r="G179" t="str">
        <f>'Rules-Platform'!R180</f>
        <v>n</v>
      </c>
      <c r="H179" t="str">
        <f>'Rules-Platform'!S180</f>
        <v>n</v>
      </c>
      <c r="I179" t="str">
        <f>'Rules-Platform'!T180</f>
        <v>n</v>
      </c>
      <c r="J179" t="str">
        <f>'Rules-Platform'!U180</f>
        <v>n</v>
      </c>
      <c r="K179" t="str">
        <f>'Rules-Platform'!V180</f>
        <v>n</v>
      </c>
      <c r="L179" s="15" t="str">
        <f>'Rules-Platform'!W180</f>
        <v>n</v>
      </c>
      <c r="M179" t="str">
        <f>'Rules-Platform'!X180</f>
        <v>y</v>
      </c>
      <c r="N179" t="str">
        <f>'Rules-Platform'!Y180</f>
        <v>n</v>
      </c>
      <c r="O179" t="str">
        <f>'Rules-Platform'!Z180</f>
        <v>n</v>
      </c>
      <c r="P179" t="str">
        <f>'Rules-Platform'!AA180</f>
        <v>n</v>
      </c>
    </row>
    <row r="180" spans="1:16">
      <c r="A180">
        <f>'Rules-Platform'!C181</f>
        <v>562</v>
      </c>
      <c r="B180" t="str">
        <f>'Rules-Platform'!D181</f>
        <v>AT-x550-18XSQ</v>
      </c>
      <c r="D180" t="str">
        <f>'Rules-Platform'!O181</f>
        <v>port1.0.1-1.0.16</v>
      </c>
      <c r="E180" t="str">
        <f>'Rules-Platform'!P181</f>
        <v>10G SFP</v>
      </c>
      <c r="F180" t="str">
        <f>'Rules-Platform'!Q181</f>
        <v>n</v>
      </c>
      <c r="G180" t="str">
        <f>'Rules-Platform'!R181</f>
        <v>n</v>
      </c>
      <c r="H180" t="str">
        <f>'Rules-Platform'!S181</f>
        <v>y</v>
      </c>
      <c r="I180" t="str">
        <f>'Rules-Platform'!T181</f>
        <v>y</v>
      </c>
      <c r="J180" t="str">
        <f>'Rules-Platform'!U181</f>
        <v>y</v>
      </c>
      <c r="K180" t="str">
        <f>'Rules-Platform'!V181</f>
        <v>y</v>
      </c>
      <c r="L180" s="15" t="str">
        <f>'Rules-Platform'!W181</f>
        <v>n</v>
      </c>
      <c r="M180" t="str">
        <f>'Rules-Platform'!X181</f>
        <v>n</v>
      </c>
      <c r="N180" t="str">
        <f>'Rules-Platform'!Y181</f>
        <v>n</v>
      </c>
      <c r="O180" t="str">
        <f>'Rules-Platform'!Z181</f>
        <v>n</v>
      </c>
      <c r="P180" t="str">
        <f>'Rules-Platform'!AA181</f>
        <v>n</v>
      </c>
    </row>
    <row r="181" spans="1:16">
      <c r="A181">
        <f>'Rules-Platform'!C182</f>
        <v>562</v>
      </c>
      <c r="B181" t="str">
        <f>'Rules-Platform'!D182</f>
        <v>AT-x550-18XSQ</v>
      </c>
      <c r="D181" t="str">
        <f>'Rules-Platform'!O182</f>
        <v>port1.0.17,port1.0.21</v>
      </c>
      <c r="E181" t="str">
        <f>'Rules-Platform'!P182</f>
        <v>40G Uplink</v>
      </c>
      <c r="F181" t="str">
        <f>'Rules-Platform'!Q182</f>
        <v>n</v>
      </c>
      <c r="G181" t="str">
        <f>'Rules-Platform'!R182</f>
        <v>n</v>
      </c>
      <c r="H181" t="str">
        <f>'Rules-Platform'!S182</f>
        <v>n</v>
      </c>
      <c r="I181" t="str">
        <f>'Rules-Platform'!T182</f>
        <v>n</v>
      </c>
      <c r="J181" t="str">
        <f>'Rules-Platform'!U182</f>
        <v>n</v>
      </c>
      <c r="K181" t="str">
        <f>'Rules-Platform'!V182</f>
        <v>n</v>
      </c>
      <c r="L181" s="15" t="str">
        <f>'Rules-Platform'!W182</f>
        <v>n</v>
      </c>
      <c r="M181" t="str">
        <f>'Rules-Platform'!X182</f>
        <v>y</v>
      </c>
      <c r="N181" t="str">
        <f>'Rules-Platform'!Y182</f>
        <v>n</v>
      </c>
      <c r="O181" t="str">
        <f>'Rules-Platform'!Z182</f>
        <v>n</v>
      </c>
      <c r="P181" t="str">
        <f>'Rules-Platform'!AA182</f>
        <v>n</v>
      </c>
    </row>
    <row r="182" spans="1:16">
      <c r="A182">
        <f>'Rules-Platform'!C183</f>
        <v>289</v>
      </c>
      <c r="B182" t="str">
        <f>'Rules-Platform'!D183</f>
        <v>x600-24Ts</v>
      </c>
      <c r="D182" t="str">
        <f>'Rules-Platform'!O183</f>
        <v>N/A</v>
      </c>
      <c r="E182" t="str">
        <f>'Rules-Platform'!P183</f>
        <v>-</v>
      </c>
      <c r="F182" t="str">
        <f>'Rules-Platform'!Q183</f>
        <v>n</v>
      </c>
      <c r="G182" t="str">
        <f>'Rules-Platform'!R183</f>
        <v>n</v>
      </c>
      <c r="H182" t="str">
        <f>'Rules-Platform'!S183</f>
        <v>n</v>
      </c>
      <c r="I182" t="str">
        <f>'Rules-Platform'!T183</f>
        <v>n</v>
      </c>
      <c r="J182" t="str">
        <f>'Rules-Platform'!U183</f>
        <v>n</v>
      </c>
      <c r="K182" t="str">
        <f>'Rules-Platform'!V183</f>
        <v>n</v>
      </c>
      <c r="L182" s="15" t="str">
        <f>'Rules-Platform'!W183</f>
        <v>n</v>
      </c>
      <c r="M182" t="str">
        <f>'Rules-Platform'!X183</f>
        <v>n</v>
      </c>
      <c r="N182" t="str">
        <f>'Rules-Platform'!Y183</f>
        <v>n</v>
      </c>
      <c r="O182" t="str">
        <f>'Rules-Platform'!Z183</f>
        <v>n</v>
      </c>
      <c r="P182" t="str">
        <f>'Rules-Platform'!AA183</f>
        <v>n</v>
      </c>
    </row>
    <row r="183" spans="1:16">
      <c r="A183">
        <f>'Rules-Platform'!C184</f>
        <v>290</v>
      </c>
      <c r="B183" t="str">
        <f>'Rules-Platform'!D184</f>
        <v>x600-24Ts/XP</v>
      </c>
      <c r="D183" t="str">
        <f>'Rules-Platform'!O184</f>
        <v>N/A</v>
      </c>
      <c r="E183" t="str">
        <f>'Rules-Platform'!P184</f>
        <v>-</v>
      </c>
      <c r="F183" t="str">
        <f>'Rules-Platform'!Q184</f>
        <v>n</v>
      </c>
      <c r="G183" t="str">
        <f>'Rules-Platform'!R184</f>
        <v>n</v>
      </c>
      <c r="H183" t="str">
        <f>'Rules-Platform'!S184</f>
        <v>n</v>
      </c>
      <c r="I183" t="str">
        <f>'Rules-Platform'!T184</f>
        <v>n</v>
      </c>
      <c r="J183" t="str">
        <f>'Rules-Platform'!U184</f>
        <v>n</v>
      </c>
      <c r="K183" t="str">
        <f>'Rules-Platform'!V184</f>
        <v>n</v>
      </c>
      <c r="L183" s="15" t="str">
        <f>'Rules-Platform'!W184</f>
        <v>n</v>
      </c>
      <c r="M183" t="str">
        <f>'Rules-Platform'!X184</f>
        <v>n</v>
      </c>
      <c r="N183" t="str">
        <f>'Rules-Platform'!Y184</f>
        <v>n</v>
      </c>
      <c r="O183" t="str">
        <f>'Rules-Platform'!Z184</f>
        <v>n</v>
      </c>
      <c r="P183" t="str">
        <f>'Rules-Platform'!AA184</f>
        <v>n</v>
      </c>
    </row>
    <row r="184" spans="1:16">
      <c r="A184">
        <f>'Rules-Platform'!C185</f>
        <v>290</v>
      </c>
      <c r="B184" t="str">
        <f>'Rules-Platform'!D185</f>
        <v>x600-24Ts/XP</v>
      </c>
      <c r="D184" t="str">
        <f>'Rules-Platform'!O185</f>
        <v>N/A</v>
      </c>
      <c r="E184" t="str">
        <f>'Rules-Platform'!P185</f>
        <v>-</v>
      </c>
      <c r="F184" t="str">
        <f>'Rules-Platform'!Q185</f>
        <v>n</v>
      </c>
      <c r="G184" t="str">
        <f>'Rules-Platform'!R185</f>
        <v>n</v>
      </c>
      <c r="H184" t="str">
        <f>'Rules-Platform'!S185</f>
        <v>n</v>
      </c>
      <c r="I184" t="str">
        <f>'Rules-Platform'!T185</f>
        <v>n</v>
      </c>
      <c r="J184" t="str">
        <f>'Rules-Platform'!U185</f>
        <v>n</v>
      </c>
      <c r="K184" t="str">
        <f>'Rules-Platform'!V185</f>
        <v>n</v>
      </c>
      <c r="L184" s="15" t="str">
        <f>'Rules-Platform'!W185</f>
        <v>n</v>
      </c>
      <c r="M184" t="str">
        <f>'Rules-Platform'!X185</f>
        <v>n</v>
      </c>
      <c r="N184" t="str">
        <f>'Rules-Platform'!Y185</f>
        <v>n</v>
      </c>
      <c r="O184" t="str">
        <f>'Rules-Platform'!Z185</f>
        <v>n</v>
      </c>
      <c r="P184" t="str">
        <f>'Rules-Platform'!AA185</f>
        <v>n</v>
      </c>
    </row>
    <row r="185" spans="1:16">
      <c r="A185">
        <f>'Rules-Platform'!C186</f>
        <v>293</v>
      </c>
      <c r="B185" t="str">
        <f>'Rules-Platform'!D186</f>
        <v>x600-48Ts</v>
      </c>
      <c r="D185" t="str">
        <f>'Rules-Platform'!O186</f>
        <v>N/A</v>
      </c>
      <c r="E185" t="str">
        <f>'Rules-Platform'!P186</f>
        <v>-</v>
      </c>
      <c r="F185" t="str">
        <f>'Rules-Platform'!Q186</f>
        <v>n</v>
      </c>
      <c r="G185" t="str">
        <f>'Rules-Platform'!R186</f>
        <v>n</v>
      </c>
      <c r="H185" t="str">
        <f>'Rules-Platform'!S186</f>
        <v>n</v>
      </c>
      <c r="I185" t="str">
        <f>'Rules-Platform'!T186</f>
        <v>n</v>
      </c>
      <c r="J185" t="str">
        <f>'Rules-Platform'!U186</f>
        <v>n</v>
      </c>
      <c r="K185" t="str">
        <f>'Rules-Platform'!V186</f>
        <v>n</v>
      </c>
      <c r="L185" s="15" t="str">
        <f>'Rules-Platform'!W186</f>
        <v>n</v>
      </c>
      <c r="M185" t="str">
        <f>'Rules-Platform'!X186</f>
        <v>n</v>
      </c>
      <c r="N185" t="str">
        <f>'Rules-Platform'!Y186</f>
        <v>n</v>
      </c>
      <c r="O185" t="str">
        <f>'Rules-Platform'!Z186</f>
        <v>n</v>
      </c>
      <c r="P185" t="str">
        <f>'Rules-Platform'!AA186</f>
        <v>n</v>
      </c>
    </row>
    <row r="186" spans="1:16">
      <c r="A186">
        <f>'Rules-Platform'!C187</f>
        <v>294</v>
      </c>
      <c r="B186" t="str">
        <f>'Rules-Platform'!D187</f>
        <v>x600-48Ts/XP</v>
      </c>
      <c r="D186" t="str">
        <f>'Rules-Platform'!O187</f>
        <v>N/A</v>
      </c>
      <c r="E186" t="str">
        <f>'Rules-Platform'!P187</f>
        <v>-</v>
      </c>
      <c r="F186" t="str">
        <f>'Rules-Platform'!Q187</f>
        <v>n</v>
      </c>
      <c r="G186" t="str">
        <f>'Rules-Platform'!R187</f>
        <v>n</v>
      </c>
      <c r="H186" t="str">
        <f>'Rules-Platform'!S187</f>
        <v>n</v>
      </c>
      <c r="I186" t="str">
        <f>'Rules-Platform'!T187</f>
        <v>n</v>
      </c>
      <c r="J186" t="str">
        <f>'Rules-Platform'!U187</f>
        <v>n</v>
      </c>
      <c r="K186" t="str">
        <f>'Rules-Platform'!V187</f>
        <v>n</v>
      </c>
      <c r="L186" s="15" t="str">
        <f>'Rules-Platform'!W187</f>
        <v>n</v>
      </c>
      <c r="M186" t="str">
        <f>'Rules-Platform'!X187</f>
        <v>n</v>
      </c>
      <c r="N186" t="str">
        <f>'Rules-Platform'!Y187</f>
        <v>n</v>
      </c>
      <c r="O186" t="str">
        <f>'Rules-Platform'!Z187</f>
        <v>n</v>
      </c>
      <c r="P186" t="str">
        <f>'Rules-Platform'!AA187</f>
        <v>n</v>
      </c>
    </row>
    <row r="187" spans="1:16">
      <c r="A187">
        <f>'Rules-Platform'!C188</f>
        <v>294</v>
      </c>
      <c r="B187" t="str">
        <f>'Rules-Platform'!D188</f>
        <v>x600-48Ts/XP</v>
      </c>
      <c r="D187" t="str">
        <f>'Rules-Platform'!O188</f>
        <v>N/A</v>
      </c>
      <c r="E187" t="str">
        <f>'Rules-Platform'!P188</f>
        <v>-</v>
      </c>
      <c r="F187" t="str">
        <f>'Rules-Platform'!Q188</f>
        <v>n</v>
      </c>
      <c r="G187" t="str">
        <f>'Rules-Platform'!R188</f>
        <v>n</v>
      </c>
      <c r="H187" t="str">
        <f>'Rules-Platform'!S188</f>
        <v>n</v>
      </c>
      <c r="I187" t="str">
        <f>'Rules-Platform'!T188</f>
        <v>n</v>
      </c>
      <c r="J187" t="str">
        <f>'Rules-Platform'!U188</f>
        <v>n</v>
      </c>
      <c r="K187" t="str">
        <f>'Rules-Platform'!V188</f>
        <v>n</v>
      </c>
      <c r="L187" s="15" t="str">
        <f>'Rules-Platform'!W188</f>
        <v>n</v>
      </c>
      <c r="M187" t="str">
        <f>'Rules-Platform'!X188</f>
        <v>n</v>
      </c>
      <c r="N187" t="str">
        <f>'Rules-Platform'!Y188</f>
        <v>n</v>
      </c>
      <c r="O187" t="str">
        <f>'Rules-Platform'!Z188</f>
        <v>n</v>
      </c>
      <c r="P187" t="str">
        <f>'Rules-Platform'!AA188</f>
        <v>n</v>
      </c>
    </row>
    <row r="188" spans="1:16">
      <c r="A188">
        <f>'Rules-Platform'!C189</f>
        <v>325</v>
      </c>
      <c r="B188" t="str">
        <f>'Rules-Platform'!D189</f>
        <v>x600-24Ts-POE</v>
      </c>
      <c r="D188" t="str">
        <f>'Rules-Platform'!O189</f>
        <v>N/A</v>
      </c>
      <c r="E188" t="str">
        <f>'Rules-Platform'!P189</f>
        <v>-</v>
      </c>
      <c r="F188" t="str">
        <f>'Rules-Platform'!Q189</f>
        <v>n</v>
      </c>
      <c r="G188" t="str">
        <f>'Rules-Platform'!R189</f>
        <v>n</v>
      </c>
      <c r="H188" t="str">
        <f>'Rules-Platform'!S189</f>
        <v>n</v>
      </c>
      <c r="I188" t="str">
        <f>'Rules-Platform'!T189</f>
        <v>n</v>
      </c>
      <c r="J188" t="str">
        <f>'Rules-Platform'!U189</f>
        <v>n</v>
      </c>
      <c r="K188" t="str">
        <f>'Rules-Platform'!V189</f>
        <v>n</v>
      </c>
      <c r="L188" s="15" t="str">
        <f>'Rules-Platform'!W189</f>
        <v>n</v>
      </c>
      <c r="M188" t="str">
        <f>'Rules-Platform'!X189</f>
        <v>n</v>
      </c>
      <c r="N188" t="str">
        <f>'Rules-Platform'!Y189</f>
        <v>n</v>
      </c>
      <c r="O188" t="str">
        <f>'Rules-Platform'!Z189</f>
        <v>n</v>
      </c>
      <c r="P188" t="str">
        <f>'Rules-Platform'!AA189</f>
        <v>n</v>
      </c>
    </row>
    <row r="189" spans="1:16">
      <c r="A189">
        <f>'Rules-Platform'!C190</f>
        <v>326</v>
      </c>
      <c r="B189" t="str">
        <f>'Rules-Platform'!D190</f>
        <v>x600-24Ts-POE+</v>
      </c>
      <c r="D189" t="str">
        <f>'Rules-Platform'!O190</f>
        <v>N/A</v>
      </c>
      <c r="E189" t="str">
        <f>'Rules-Platform'!P190</f>
        <v>-</v>
      </c>
      <c r="F189" t="str">
        <f>'Rules-Platform'!Q190</f>
        <v>n</v>
      </c>
      <c r="G189" t="str">
        <f>'Rules-Platform'!R190</f>
        <v>n</v>
      </c>
      <c r="H189" t="str">
        <f>'Rules-Platform'!S190</f>
        <v>n</v>
      </c>
      <c r="I189" t="str">
        <f>'Rules-Platform'!T190</f>
        <v>n</v>
      </c>
      <c r="J189" t="str">
        <f>'Rules-Platform'!U190</f>
        <v>n</v>
      </c>
      <c r="K189" t="str">
        <f>'Rules-Platform'!V190</f>
        <v>n</v>
      </c>
      <c r="L189" s="15" t="str">
        <f>'Rules-Platform'!W190</f>
        <v>n</v>
      </c>
      <c r="M189" t="str">
        <f>'Rules-Platform'!X190</f>
        <v>n</v>
      </c>
      <c r="N189" t="str">
        <f>'Rules-Platform'!Y190</f>
        <v>n</v>
      </c>
      <c r="O189" t="str">
        <f>'Rules-Platform'!Z190</f>
        <v>n</v>
      </c>
      <c r="P189" t="str">
        <f>'Rules-Platform'!AA190</f>
        <v>n</v>
      </c>
    </row>
    <row r="190" spans="1:16">
      <c r="A190">
        <f>'Rules-Platform'!C191</f>
        <v>307</v>
      </c>
      <c r="B190" t="str">
        <f>'Rules-Platform'!D191</f>
        <v>AT-x6EM-2XS</v>
      </c>
      <c r="D190" t="str">
        <f>'Rules-Platform'!O191</f>
        <v>port1.1.1,port1.1.2</v>
      </c>
      <c r="E190" t="str">
        <f>'Rules-Platform'!P191</f>
        <v>10G SFP</v>
      </c>
      <c r="F190" t="str">
        <f>'Rules-Platform'!Q191</f>
        <v>n</v>
      </c>
      <c r="G190" t="str">
        <f>'Rules-Platform'!R191</f>
        <v>n</v>
      </c>
      <c r="H190" t="str">
        <f>'Rules-Platform'!S191</f>
        <v>n</v>
      </c>
      <c r="I190" t="str">
        <f>'Rules-Platform'!T191</f>
        <v>n</v>
      </c>
      <c r="J190" t="str">
        <f>'Rules-Platform'!U191</f>
        <v>n</v>
      </c>
      <c r="K190" t="str">
        <f>'Rules-Platform'!V191</f>
        <v>y</v>
      </c>
      <c r="L190" s="15" t="str">
        <f>'Rules-Platform'!W191</f>
        <v>n</v>
      </c>
      <c r="M190" t="str">
        <f>'Rules-Platform'!X191</f>
        <v>n</v>
      </c>
      <c r="N190" t="str">
        <f>'Rules-Platform'!Y191</f>
        <v>n</v>
      </c>
      <c r="O190" t="str">
        <f>'Rules-Platform'!Z191</f>
        <v>n</v>
      </c>
      <c r="P190" t="str">
        <f>'Rules-Platform'!AA191</f>
        <v>n</v>
      </c>
    </row>
    <row r="191" spans="1:16">
      <c r="A191">
        <f>'Rules-Platform'!C192</f>
        <v>330</v>
      </c>
      <c r="B191" t="str">
        <f>'Rules-Platform'!D192</f>
        <v>x610-48Ts/X-POE+</v>
      </c>
      <c r="D191" t="str">
        <f>'Rules-Platform'!O192</f>
        <v>port1.0.45-1.0.48</v>
      </c>
      <c r="E191" t="str">
        <f>'Rules-Platform'!P192</f>
        <v>1G Combo</v>
      </c>
      <c r="F191" t="str">
        <f>'Rules-Platform'!Q192</f>
        <v>n</v>
      </c>
      <c r="G191" t="str">
        <f>'Rules-Platform'!R192</f>
        <v>y</v>
      </c>
      <c r="H191" t="str">
        <f>'Rules-Platform'!S192</f>
        <v>y</v>
      </c>
      <c r="I191" t="str">
        <f>'Rules-Platform'!T192</f>
        <v>n</v>
      </c>
      <c r="J191" t="str">
        <f>'Rules-Platform'!U192</f>
        <v>n</v>
      </c>
      <c r="K191" t="str">
        <f>'Rules-Platform'!V192</f>
        <v>n</v>
      </c>
      <c r="L191" s="15" t="str">
        <f>'Rules-Platform'!W192</f>
        <v>n</v>
      </c>
      <c r="M191" t="str">
        <f>'Rules-Platform'!X192</f>
        <v>n</v>
      </c>
      <c r="N191" t="str">
        <f>'Rules-Platform'!Y192</f>
        <v>n</v>
      </c>
      <c r="O191" t="str">
        <f>'Rules-Platform'!Z192</f>
        <v>n</v>
      </c>
      <c r="P191" t="str">
        <f>'Rules-Platform'!AA192</f>
        <v>n</v>
      </c>
    </row>
    <row r="192" spans="1:16">
      <c r="A192">
        <f>'Rules-Platform'!C193</f>
        <v>330</v>
      </c>
      <c r="B192" t="str">
        <f>'Rules-Platform'!D193</f>
        <v>x610-48Ts/X-POE+</v>
      </c>
      <c r="D192" t="str">
        <f>'Rules-Platform'!O193</f>
        <v>port1.0.47-1.0.48</v>
      </c>
      <c r="E192" t="str">
        <f>'Rules-Platform'!P193</f>
        <v>10G SFP</v>
      </c>
      <c r="F192" t="str">
        <f>'Rules-Platform'!Q193</f>
        <v>n</v>
      </c>
      <c r="G192" t="str">
        <f>'Rules-Platform'!R193</f>
        <v>n</v>
      </c>
      <c r="H192" t="str">
        <f>'Rules-Platform'!S193</f>
        <v>n</v>
      </c>
      <c r="I192" t="str">
        <f>'Rules-Platform'!T193</f>
        <v>n</v>
      </c>
      <c r="J192" t="str">
        <f>'Rules-Platform'!U193</f>
        <v>n</v>
      </c>
      <c r="K192" t="str">
        <f>'Rules-Platform'!V193</f>
        <v>y</v>
      </c>
      <c r="L192" s="15" t="str">
        <f>'Rules-Platform'!W193</f>
        <v>n</v>
      </c>
      <c r="M192" t="str">
        <f>'Rules-Platform'!X193</f>
        <v>n</v>
      </c>
      <c r="N192" t="str">
        <f>'Rules-Platform'!Y193</f>
        <v>n</v>
      </c>
      <c r="O192" t="str">
        <f>'Rules-Platform'!Z193</f>
        <v>n</v>
      </c>
      <c r="P192" t="str">
        <f>'Rules-Platform'!AA193</f>
        <v>n</v>
      </c>
    </row>
    <row r="193" spans="1:16">
      <c r="A193">
        <f>'Rules-Platform'!C194</f>
        <v>331</v>
      </c>
      <c r="B193" t="str">
        <f>'Rules-Platform'!D194</f>
        <v>x610-48Ts-POE+</v>
      </c>
      <c r="D193" t="str">
        <f>'Rules-Platform'!O194</f>
        <v>port1.0.45-1.0.48</v>
      </c>
      <c r="E193" t="str">
        <f>'Rules-Platform'!P194</f>
        <v>1G Combo</v>
      </c>
      <c r="F193" t="str">
        <f>'Rules-Platform'!Q194</f>
        <v>n</v>
      </c>
      <c r="G193" t="str">
        <f>'Rules-Platform'!R194</f>
        <v>y</v>
      </c>
      <c r="H193" t="str">
        <f>'Rules-Platform'!S194</f>
        <v>y</v>
      </c>
      <c r="I193" t="str">
        <f>'Rules-Platform'!T194</f>
        <v>n</v>
      </c>
      <c r="J193" t="str">
        <f>'Rules-Platform'!U194</f>
        <v>n</v>
      </c>
      <c r="K193" t="str">
        <f>'Rules-Platform'!V194</f>
        <v>n</v>
      </c>
      <c r="L193" s="15" t="str">
        <f>'Rules-Platform'!W194</f>
        <v>n</v>
      </c>
      <c r="M193" t="str">
        <f>'Rules-Platform'!X194</f>
        <v>n</v>
      </c>
      <c r="N193" t="str">
        <f>'Rules-Platform'!Y194</f>
        <v>n</v>
      </c>
      <c r="O193" t="str">
        <f>'Rules-Platform'!Z194</f>
        <v>n</v>
      </c>
      <c r="P193" t="str">
        <f>'Rules-Platform'!AA194</f>
        <v>n</v>
      </c>
    </row>
    <row r="194" spans="1:16">
      <c r="A194">
        <f>'Rules-Platform'!C195</f>
        <v>332</v>
      </c>
      <c r="B194" t="str">
        <f>'Rules-Platform'!D195</f>
        <v>x610-24Ts/X-POE+</v>
      </c>
      <c r="D194" t="str">
        <f>'Rules-Platform'!O195</f>
        <v>port1.0.21-1.0.24</v>
      </c>
      <c r="E194" t="str">
        <f>'Rules-Platform'!P195</f>
        <v>1G Combo</v>
      </c>
      <c r="F194" t="str">
        <f>'Rules-Platform'!Q195</f>
        <v>n</v>
      </c>
      <c r="G194" t="str">
        <f>'Rules-Platform'!R195</f>
        <v>y</v>
      </c>
      <c r="H194" t="str">
        <f>'Rules-Platform'!S195</f>
        <v>y</v>
      </c>
      <c r="I194" t="str">
        <f>'Rules-Platform'!T195</f>
        <v>n</v>
      </c>
      <c r="J194" t="str">
        <f>'Rules-Platform'!U195</f>
        <v>n</v>
      </c>
      <c r="K194" t="str">
        <f>'Rules-Platform'!V195</f>
        <v>n</v>
      </c>
      <c r="L194" s="15" t="str">
        <f>'Rules-Platform'!W195</f>
        <v>n</v>
      </c>
      <c r="M194" t="str">
        <f>'Rules-Platform'!X195</f>
        <v>n</v>
      </c>
      <c r="N194" t="str">
        <f>'Rules-Platform'!Y195</f>
        <v>n</v>
      </c>
      <c r="O194" t="str">
        <f>'Rules-Platform'!Z195</f>
        <v>n</v>
      </c>
      <c r="P194" t="str">
        <f>'Rules-Platform'!AA195</f>
        <v>n</v>
      </c>
    </row>
    <row r="195" spans="1:16">
      <c r="A195">
        <f>'Rules-Platform'!C196</f>
        <v>332</v>
      </c>
      <c r="B195" t="str">
        <f>'Rules-Platform'!D196</f>
        <v>x610-24Ts/X-POE+</v>
      </c>
      <c r="D195" t="str">
        <f>'Rules-Platform'!O196</f>
        <v>port1.0.23-1.0.24</v>
      </c>
      <c r="E195" t="str">
        <f>'Rules-Platform'!P196</f>
        <v>10G SFP</v>
      </c>
      <c r="F195" t="str">
        <f>'Rules-Platform'!Q196</f>
        <v>n</v>
      </c>
      <c r="G195" t="str">
        <f>'Rules-Platform'!R196</f>
        <v>n</v>
      </c>
      <c r="H195" t="str">
        <f>'Rules-Platform'!S196</f>
        <v>n</v>
      </c>
      <c r="I195" t="str">
        <f>'Rules-Platform'!T196</f>
        <v>n</v>
      </c>
      <c r="J195" t="str">
        <f>'Rules-Platform'!U196</f>
        <v>n</v>
      </c>
      <c r="K195" t="str">
        <f>'Rules-Platform'!V196</f>
        <v>y</v>
      </c>
      <c r="L195" s="15" t="str">
        <f>'Rules-Platform'!W196</f>
        <v>n</v>
      </c>
      <c r="M195" t="str">
        <f>'Rules-Platform'!X196</f>
        <v>n</v>
      </c>
      <c r="N195" t="str">
        <f>'Rules-Platform'!Y196</f>
        <v>n</v>
      </c>
      <c r="O195" t="str">
        <f>'Rules-Platform'!Z196</f>
        <v>n</v>
      </c>
      <c r="P195" t="str">
        <f>'Rules-Platform'!AA196</f>
        <v>n</v>
      </c>
    </row>
    <row r="196" spans="1:16">
      <c r="A196">
        <f>'Rules-Platform'!C197</f>
        <v>333</v>
      </c>
      <c r="B196" t="str">
        <f>'Rules-Platform'!D197</f>
        <v>x610-24Ts-POE+</v>
      </c>
      <c r="D196" t="str">
        <f>'Rules-Platform'!O197</f>
        <v>port1.0.21-1.0.24</v>
      </c>
      <c r="E196" t="str">
        <f>'Rules-Platform'!P197</f>
        <v>1G Combo</v>
      </c>
      <c r="F196" t="str">
        <f>'Rules-Platform'!Q197</f>
        <v>n</v>
      </c>
      <c r="G196" t="str">
        <f>'Rules-Platform'!R197</f>
        <v>y</v>
      </c>
      <c r="H196" t="str">
        <f>'Rules-Platform'!S197</f>
        <v>y</v>
      </c>
      <c r="I196" t="str">
        <f>'Rules-Platform'!T197</f>
        <v>n</v>
      </c>
      <c r="J196" t="str">
        <f>'Rules-Platform'!U197</f>
        <v>n</v>
      </c>
      <c r="K196" t="str">
        <f>'Rules-Platform'!V197</f>
        <v>n</v>
      </c>
      <c r="L196" s="15" t="str">
        <f>'Rules-Platform'!W197</f>
        <v>n</v>
      </c>
      <c r="M196" t="str">
        <f>'Rules-Platform'!X197</f>
        <v>n</v>
      </c>
      <c r="N196" t="str">
        <f>'Rules-Platform'!Y197</f>
        <v>n</v>
      </c>
      <c r="O196" t="str">
        <f>'Rules-Platform'!Z197</f>
        <v>n</v>
      </c>
      <c r="P196" t="str">
        <f>'Rules-Platform'!AA197</f>
        <v>n</v>
      </c>
    </row>
    <row r="197" spans="1:16">
      <c r="A197">
        <f>'Rules-Platform'!C198</f>
        <v>338</v>
      </c>
      <c r="B197" t="str">
        <f>'Rules-Platform'!D198</f>
        <v>x610-48Ts/X</v>
      </c>
      <c r="D197" t="str">
        <f>'Rules-Platform'!O198</f>
        <v>port1.0.45-1.0.48</v>
      </c>
      <c r="E197" t="str">
        <f>'Rules-Platform'!P198</f>
        <v>1G Combo</v>
      </c>
      <c r="F197" t="str">
        <f>'Rules-Platform'!Q198</f>
        <v>n</v>
      </c>
      <c r="G197" t="str">
        <f>'Rules-Platform'!R198</f>
        <v>y</v>
      </c>
      <c r="H197" t="str">
        <f>'Rules-Platform'!S198</f>
        <v>y</v>
      </c>
      <c r="I197" t="str">
        <f>'Rules-Platform'!T198</f>
        <v>n</v>
      </c>
      <c r="J197" t="str">
        <f>'Rules-Platform'!U198</f>
        <v>n</v>
      </c>
      <c r="K197" t="str">
        <f>'Rules-Platform'!V198</f>
        <v>n</v>
      </c>
      <c r="L197" s="15" t="str">
        <f>'Rules-Platform'!W198</f>
        <v>n</v>
      </c>
      <c r="M197" t="str">
        <f>'Rules-Platform'!X198</f>
        <v>n</v>
      </c>
      <c r="N197" t="str">
        <f>'Rules-Platform'!Y198</f>
        <v>n</v>
      </c>
      <c r="O197" t="str">
        <f>'Rules-Platform'!Z198</f>
        <v>n</v>
      </c>
      <c r="P197" t="str">
        <f>'Rules-Platform'!AA198</f>
        <v>n</v>
      </c>
    </row>
    <row r="198" spans="1:16">
      <c r="A198">
        <f>'Rules-Platform'!C199</f>
        <v>338</v>
      </c>
      <c r="B198" t="str">
        <f>'Rules-Platform'!D199</f>
        <v>x610-48Ts/X</v>
      </c>
      <c r="D198" t="str">
        <f>'Rules-Platform'!O199</f>
        <v>port1.0.47-1.0.48</v>
      </c>
      <c r="E198" t="str">
        <f>'Rules-Platform'!P199</f>
        <v>10G SFP</v>
      </c>
      <c r="F198" t="str">
        <f>'Rules-Platform'!Q199</f>
        <v>n</v>
      </c>
      <c r="G198" t="str">
        <f>'Rules-Platform'!R199</f>
        <v>n</v>
      </c>
      <c r="H198" t="str">
        <f>'Rules-Platform'!S199</f>
        <v>n</v>
      </c>
      <c r="I198" t="str">
        <f>'Rules-Platform'!T199</f>
        <v>n</v>
      </c>
      <c r="J198" t="str">
        <f>'Rules-Platform'!U199</f>
        <v>n</v>
      </c>
      <c r="K198" t="str">
        <f>'Rules-Platform'!V199</f>
        <v>y</v>
      </c>
      <c r="L198" s="15" t="str">
        <f>'Rules-Platform'!W199</f>
        <v>n</v>
      </c>
      <c r="M198" t="str">
        <f>'Rules-Platform'!X199</f>
        <v>n</v>
      </c>
      <c r="N198" t="str">
        <f>'Rules-Platform'!Y199</f>
        <v>n</v>
      </c>
      <c r="O198" t="str">
        <f>'Rules-Platform'!Z199</f>
        <v>n</v>
      </c>
      <c r="P198" t="str">
        <f>'Rules-Platform'!AA199</f>
        <v>n</v>
      </c>
    </row>
    <row r="199" spans="1:16">
      <c r="A199">
        <f>'Rules-Platform'!C200</f>
        <v>339</v>
      </c>
      <c r="B199" t="str">
        <f>'Rules-Platform'!D200</f>
        <v>x610-48Ts</v>
      </c>
      <c r="D199" t="str">
        <f>'Rules-Platform'!O200</f>
        <v>port1.0.45-1.0.48</v>
      </c>
      <c r="E199" t="str">
        <f>'Rules-Platform'!P200</f>
        <v>1G Combo</v>
      </c>
      <c r="F199" t="str">
        <f>'Rules-Platform'!Q200</f>
        <v>n</v>
      </c>
      <c r="G199" t="str">
        <f>'Rules-Platform'!R200</f>
        <v>y</v>
      </c>
      <c r="H199" t="str">
        <f>'Rules-Platform'!S200</f>
        <v>y</v>
      </c>
      <c r="I199" t="str">
        <f>'Rules-Platform'!T200</f>
        <v>n</v>
      </c>
      <c r="J199" t="str">
        <f>'Rules-Platform'!U200</f>
        <v>n</v>
      </c>
      <c r="K199" t="str">
        <f>'Rules-Platform'!V200</f>
        <v>n</v>
      </c>
      <c r="L199" s="15" t="str">
        <f>'Rules-Platform'!W200</f>
        <v>n</v>
      </c>
      <c r="M199" t="str">
        <f>'Rules-Platform'!X200</f>
        <v>n</v>
      </c>
      <c r="N199" t="str">
        <f>'Rules-Platform'!Y200</f>
        <v>n</v>
      </c>
      <c r="O199" t="str">
        <f>'Rules-Platform'!Z200</f>
        <v>n</v>
      </c>
      <c r="P199" t="str">
        <f>'Rules-Platform'!AA200</f>
        <v>n</v>
      </c>
    </row>
    <row r="200" spans="1:16">
      <c r="A200">
        <f>'Rules-Platform'!C201</f>
        <v>340</v>
      </c>
      <c r="B200" t="str">
        <f>'Rules-Platform'!D201</f>
        <v>x610-24Ts/X</v>
      </c>
      <c r="D200" t="str">
        <f>'Rules-Platform'!O201</f>
        <v>port1.0.21-1.0.24</v>
      </c>
      <c r="E200" t="str">
        <f>'Rules-Platform'!P201</f>
        <v>1G Combo</v>
      </c>
      <c r="F200" t="str">
        <f>'Rules-Platform'!Q201</f>
        <v>n</v>
      </c>
      <c r="G200" t="str">
        <f>'Rules-Platform'!R201</f>
        <v>y</v>
      </c>
      <c r="H200" t="str">
        <f>'Rules-Platform'!S201</f>
        <v>y</v>
      </c>
      <c r="I200" t="str">
        <f>'Rules-Platform'!T201</f>
        <v>n</v>
      </c>
      <c r="J200" t="str">
        <f>'Rules-Platform'!U201</f>
        <v>n</v>
      </c>
      <c r="K200" t="str">
        <f>'Rules-Platform'!V201</f>
        <v>n</v>
      </c>
      <c r="L200" s="15" t="str">
        <f>'Rules-Platform'!W201</f>
        <v>n</v>
      </c>
      <c r="M200" t="str">
        <f>'Rules-Platform'!X201</f>
        <v>n</v>
      </c>
      <c r="N200" t="str">
        <f>'Rules-Platform'!Y201</f>
        <v>n</v>
      </c>
      <c r="O200" t="str">
        <f>'Rules-Platform'!Z201</f>
        <v>n</v>
      </c>
      <c r="P200" t="str">
        <f>'Rules-Platform'!AA201</f>
        <v>n</v>
      </c>
    </row>
    <row r="201" spans="1:16">
      <c r="A201">
        <f>'Rules-Platform'!C202</f>
        <v>340</v>
      </c>
      <c r="B201" t="str">
        <f>'Rules-Platform'!D202</f>
        <v>x610-24Ts/X</v>
      </c>
      <c r="D201" t="str">
        <f>'Rules-Platform'!O202</f>
        <v>port1.0.23-1.0.24</v>
      </c>
      <c r="E201" t="str">
        <f>'Rules-Platform'!P202</f>
        <v>10G SFP</v>
      </c>
      <c r="F201" t="str">
        <f>'Rules-Platform'!Q202</f>
        <v>n</v>
      </c>
      <c r="G201" t="str">
        <f>'Rules-Platform'!R202</f>
        <v>n</v>
      </c>
      <c r="H201" t="str">
        <f>'Rules-Platform'!S202</f>
        <v>n</v>
      </c>
      <c r="I201" t="str">
        <f>'Rules-Platform'!T202</f>
        <v>n</v>
      </c>
      <c r="J201" t="str">
        <f>'Rules-Platform'!U202</f>
        <v>n</v>
      </c>
      <c r="K201" t="str">
        <f>'Rules-Platform'!V202</f>
        <v>y</v>
      </c>
      <c r="L201" s="15" t="str">
        <f>'Rules-Platform'!W202</f>
        <v>n</v>
      </c>
      <c r="M201" t="str">
        <f>'Rules-Platform'!X202</f>
        <v>n</v>
      </c>
      <c r="N201" t="str">
        <f>'Rules-Platform'!Y202</f>
        <v>n</v>
      </c>
      <c r="O201" t="str">
        <f>'Rules-Platform'!Z202</f>
        <v>n</v>
      </c>
      <c r="P201" t="str">
        <f>'Rules-Platform'!AA202</f>
        <v>n</v>
      </c>
    </row>
    <row r="202" spans="1:16">
      <c r="A202">
        <f>'Rules-Platform'!C203</f>
        <v>341</v>
      </c>
      <c r="B202" t="str">
        <f>'Rules-Platform'!D203</f>
        <v>x610-24Ts</v>
      </c>
      <c r="D202" t="str">
        <f>'Rules-Platform'!O203</f>
        <v>port1.0.21-1.0.24</v>
      </c>
      <c r="E202" t="str">
        <f>'Rules-Platform'!P203</f>
        <v>1G Combo</v>
      </c>
      <c r="F202" t="str">
        <f>'Rules-Platform'!Q203</f>
        <v>n</v>
      </c>
      <c r="G202" t="str">
        <f>'Rules-Platform'!R203</f>
        <v>y</v>
      </c>
      <c r="H202" t="str">
        <f>'Rules-Platform'!S203</f>
        <v>y</v>
      </c>
      <c r="I202" t="str">
        <f>'Rules-Platform'!T203</f>
        <v>n</v>
      </c>
      <c r="J202" t="str">
        <f>'Rules-Platform'!U203</f>
        <v>n</v>
      </c>
      <c r="K202" t="str">
        <f>'Rules-Platform'!V203</f>
        <v>n</v>
      </c>
      <c r="L202" s="15" t="str">
        <f>'Rules-Platform'!W203</f>
        <v>n</v>
      </c>
      <c r="M202" t="str">
        <f>'Rules-Platform'!X203</f>
        <v>n</v>
      </c>
      <c r="N202" t="str">
        <f>'Rules-Platform'!Y203</f>
        <v>n</v>
      </c>
      <c r="O202" t="str">
        <f>'Rules-Platform'!Z203</f>
        <v>n</v>
      </c>
      <c r="P202" t="str">
        <f>'Rules-Platform'!AA203</f>
        <v>n</v>
      </c>
    </row>
    <row r="203" spans="1:16">
      <c r="A203">
        <f>'Rules-Platform'!C204</f>
        <v>342</v>
      </c>
      <c r="B203" t="str">
        <f>'Rules-Platform'!D204</f>
        <v>x610-24SPs/X</v>
      </c>
      <c r="D203" t="str">
        <f>'Rules-Platform'!O204</f>
        <v>port1.0.1-1.0.20</v>
      </c>
      <c r="E203" t="str">
        <f>'Rules-Platform'!P204</f>
        <v>1G Base</v>
      </c>
      <c r="F203" t="str">
        <f>'Rules-Platform'!Q204</f>
        <v>n</v>
      </c>
      <c r="G203" t="str">
        <f>'Rules-Platform'!R204</f>
        <v>y</v>
      </c>
      <c r="H203" t="str">
        <f>'Rules-Platform'!S204</f>
        <v>y</v>
      </c>
      <c r="I203" t="str">
        <f>'Rules-Platform'!T204</f>
        <v>n</v>
      </c>
      <c r="J203" t="str">
        <f>'Rules-Platform'!U204</f>
        <v>n</v>
      </c>
      <c r="K203" t="str">
        <f>'Rules-Platform'!V204</f>
        <v>n</v>
      </c>
      <c r="L203" s="15" t="str">
        <f>'Rules-Platform'!W204</f>
        <v>n</v>
      </c>
      <c r="M203" t="str">
        <f>'Rules-Platform'!X204</f>
        <v>n</v>
      </c>
      <c r="N203" t="str">
        <f>'Rules-Platform'!Y204</f>
        <v>n</v>
      </c>
      <c r="O203" t="str">
        <f>'Rules-Platform'!Z204</f>
        <v>n</v>
      </c>
      <c r="P203" t="str">
        <f>'Rules-Platform'!AA204</f>
        <v>n</v>
      </c>
    </row>
    <row r="204" spans="1:16">
      <c r="A204">
        <f>'Rules-Platform'!C205</f>
        <v>342</v>
      </c>
      <c r="B204" t="str">
        <f>'Rules-Platform'!D205</f>
        <v>x610-24SPs/X</v>
      </c>
      <c r="D204" t="str">
        <f>'Rules-Platform'!O205</f>
        <v>port1.0.21-1.0.24</v>
      </c>
      <c r="E204" t="str">
        <f>'Rules-Platform'!P205</f>
        <v>1G Combo</v>
      </c>
      <c r="F204" t="str">
        <f>'Rules-Platform'!Q205</f>
        <v>n</v>
      </c>
      <c r="G204" t="str">
        <f>'Rules-Platform'!R205</f>
        <v>y</v>
      </c>
      <c r="H204" t="str">
        <f>'Rules-Platform'!S205</f>
        <v>y</v>
      </c>
      <c r="I204" t="str">
        <f>'Rules-Platform'!T205</f>
        <v>n</v>
      </c>
      <c r="J204" t="str">
        <f>'Rules-Platform'!U205</f>
        <v>n</v>
      </c>
      <c r="K204" t="str">
        <f>'Rules-Platform'!V205</f>
        <v>n</v>
      </c>
      <c r="L204" s="15" t="str">
        <f>'Rules-Platform'!W205</f>
        <v>n</v>
      </c>
      <c r="M204" t="str">
        <f>'Rules-Platform'!X205</f>
        <v>n</v>
      </c>
      <c r="N204" t="str">
        <f>'Rules-Platform'!Y205</f>
        <v>n</v>
      </c>
      <c r="O204" t="str">
        <f>'Rules-Platform'!Z205</f>
        <v>n</v>
      </c>
      <c r="P204" t="str">
        <f>'Rules-Platform'!AA205</f>
        <v>n</v>
      </c>
    </row>
    <row r="205" spans="1:16">
      <c r="A205">
        <f>'Rules-Platform'!C206</f>
        <v>342</v>
      </c>
      <c r="B205" t="str">
        <f>'Rules-Platform'!D206</f>
        <v>x610-24SPs/X</v>
      </c>
      <c r="D205" t="str">
        <f>'Rules-Platform'!O206</f>
        <v>port1.0.25-1.0.26</v>
      </c>
      <c r="E205" t="str">
        <f>'Rules-Platform'!P206</f>
        <v>10G SFP</v>
      </c>
      <c r="F205" t="str">
        <f>'Rules-Platform'!Q206</f>
        <v>n</v>
      </c>
      <c r="G205" t="str">
        <f>'Rules-Platform'!R206</f>
        <v>n</v>
      </c>
      <c r="H205" t="str">
        <f>'Rules-Platform'!S206</f>
        <v>n</v>
      </c>
      <c r="I205" t="str">
        <f>'Rules-Platform'!T206</f>
        <v>n</v>
      </c>
      <c r="J205" t="str">
        <f>'Rules-Platform'!U206</f>
        <v>n</v>
      </c>
      <c r="K205" t="str">
        <f>'Rules-Platform'!V206</f>
        <v>y</v>
      </c>
      <c r="L205" s="15" t="str">
        <f>'Rules-Platform'!W206</f>
        <v>n</v>
      </c>
      <c r="M205" t="str">
        <f>'Rules-Platform'!X206</f>
        <v>n</v>
      </c>
      <c r="N205" t="str">
        <f>'Rules-Platform'!Y206</f>
        <v>n</v>
      </c>
      <c r="O205" t="str">
        <f>'Rules-Platform'!Z206</f>
        <v>n</v>
      </c>
      <c r="P205" t="str">
        <f>'Rules-Platform'!AA206</f>
        <v>n</v>
      </c>
    </row>
    <row r="206" spans="1:16">
      <c r="A206">
        <f>'Rules-Platform'!C207</f>
        <v>281</v>
      </c>
      <c r="B206" t="str">
        <f>'Rules-Platform'!D207</f>
        <v>AT-SBx908</v>
      </c>
      <c r="D206" t="str">
        <f>'Rules-Platform'!O207</f>
        <v>N/A</v>
      </c>
      <c r="E206" t="str">
        <f>'Rules-Platform'!P207</f>
        <v>-</v>
      </c>
      <c r="F206" t="str">
        <f>'Rules-Platform'!Q207</f>
        <v>n</v>
      </c>
      <c r="G206" t="str">
        <f>'Rules-Platform'!R207</f>
        <v>n</v>
      </c>
      <c r="H206" t="str">
        <f>'Rules-Platform'!S207</f>
        <v>n</v>
      </c>
      <c r="I206" t="str">
        <f>'Rules-Platform'!T207</f>
        <v>n</v>
      </c>
      <c r="J206" t="str">
        <f>'Rules-Platform'!U207</f>
        <v>n</v>
      </c>
      <c r="K206" t="str">
        <f>'Rules-Platform'!V207</f>
        <v>n</v>
      </c>
      <c r="L206" s="15" t="str">
        <f>'Rules-Platform'!W207</f>
        <v>n</v>
      </c>
      <c r="M206" t="str">
        <f>'Rules-Platform'!X207</f>
        <v>n</v>
      </c>
      <c r="N206" t="str">
        <f>'Rules-Platform'!Y207</f>
        <v>n</v>
      </c>
      <c r="O206" t="str">
        <f>'Rules-Platform'!Z207</f>
        <v>n</v>
      </c>
      <c r="P206" t="str">
        <f>'Rules-Platform'!AA207</f>
        <v>n</v>
      </c>
    </row>
    <row r="207" spans="1:16">
      <c r="A207">
        <f>'Rules-Platform'!C208</f>
        <v>273</v>
      </c>
      <c r="B207" t="str">
        <f>'Rules-Platform'!D208</f>
        <v>XEM-12S</v>
      </c>
      <c r="D207" t="str">
        <f>'Rules-Platform'!O208</f>
        <v>N/A</v>
      </c>
      <c r="E207" t="str">
        <f>'Rules-Platform'!P208</f>
        <v>-</v>
      </c>
      <c r="F207" t="str">
        <f>'Rules-Platform'!Q208</f>
        <v>n</v>
      </c>
      <c r="G207" t="str">
        <f>'Rules-Platform'!R208</f>
        <v>n</v>
      </c>
      <c r="H207" t="str">
        <f>'Rules-Platform'!S208</f>
        <v>n</v>
      </c>
      <c r="I207" t="str">
        <f>'Rules-Platform'!T208</f>
        <v>n</v>
      </c>
      <c r="J207" t="str">
        <f>'Rules-Platform'!U208</f>
        <v>n</v>
      </c>
      <c r="K207" t="str">
        <f>'Rules-Platform'!V208</f>
        <v>n</v>
      </c>
      <c r="L207" s="15" t="str">
        <f>'Rules-Platform'!W208</f>
        <v>n</v>
      </c>
      <c r="M207" t="str">
        <f>'Rules-Platform'!X208</f>
        <v>n</v>
      </c>
      <c r="N207" t="str">
        <f>'Rules-Platform'!Y208</f>
        <v>n</v>
      </c>
      <c r="O207" t="str">
        <f>'Rules-Platform'!Z208</f>
        <v>n</v>
      </c>
      <c r="P207" t="str">
        <f>'Rules-Platform'!AA208</f>
        <v>n</v>
      </c>
    </row>
    <row r="208" spans="1:16">
      <c r="A208">
        <f>'Rules-Platform'!C209</f>
        <v>305</v>
      </c>
      <c r="B208" t="str">
        <f>'Rules-Platform'!D209</f>
        <v>XEM-2XP</v>
      </c>
      <c r="D208" t="str">
        <f>'Rules-Platform'!O209</f>
        <v>port1.{}.1-port1.{}.2</v>
      </c>
      <c r="E208" t="str">
        <f>'Rules-Platform'!P209</f>
        <v>10G SFP</v>
      </c>
      <c r="F208" t="str">
        <f>'Rules-Platform'!Q209</f>
        <v>n</v>
      </c>
      <c r="G208" t="str">
        <f>'Rules-Platform'!R209</f>
        <v>n</v>
      </c>
      <c r="H208" t="str">
        <f>'Rules-Platform'!S209</f>
        <v>n</v>
      </c>
      <c r="I208" t="str">
        <f>'Rules-Platform'!T209</f>
        <v>n</v>
      </c>
      <c r="J208" t="str">
        <f>'Rules-Platform'!U209</f>
        <v>n</v>
      </c>
      <c r="K208" t="str">
        <f>'Rules-Platform'!V209</f>
        <v>y</v>
      </c>
      <c r="L208" s="15" t="str">
        <f>'Rules-Platform'!W209</f>
        <v>n</v>
      </c>
      <c r="M208" t="str">
        <f>'Rules-Platform'!X209</f>
        <v>n</v>
      </c>
      <c r="N208" t="str">
        <f>'Rules-Platform'!Y209</f>
        <v>n</v>
      </c>
      <c r="O208" t="str">
        <f>'Rules-Platform'!Z209</f>
        <v>n</v>
      </c>
      <c r="P208" t="str">
        <f>'Rules-Platform'!AA209</f>
        <v>n</v>
      </c>
    </row>
    <row r="209" spans="1:16">
      <c r="A209">
        <f>'Rules-Platform'!C210</f>
        <v>324</v>
      </c>
      <c r="B209" t="str">
        <f>'Rules-Platform'!D210</f>
        <v>XEM-2XT</v>
      </c>
      <c r="D209" t="str">
        <f>'Rules-Platform'!O210</f>
        <v>N/A</v>
      </c>
      <c r="E209" t="str">
        <f>'Rules-Platform'!P210</f>
        <v>-</v>
      </c>
      <c r="F209" t="str">
        <f>'Rules-Platform'!Q210</f>
        <v>n</v>
      </c>
      <c r="G209" t="str">
        <f>'Rules-Platform'!R210</f>
        <v>n</v>
      </c>
      <c r="H209" t="str">
        <f>'Rules-Platform'!S210</f>
        <v>n</v>
      </c>
      <c r="I209" t="str">
        <f>'Rules-Platform'!T210</f>
        <v>n</v>
      </c>
      <c r="J209" t="str">
        <f>'Rules-Platform'!U210</f>
        <v>n</v>
      </c>
      <c r="K209" t="str">
        <f>'Rules-Platform'!V210</f>
        <v>n</v>
      </c>
      <c r="L209" s="15" t="str">
        <f>'Rules-Platform'!W210</f>
        <v>n</v>
      </c>
      <c r="M209" t="str">
        <f>'Rules-Platform'!X210</f>
        <v>n</v>
      </c>
      <c r="N209" t="str">
        <f>'Rules-Platform'!Y210</f>
        <v>n</v>
      </c>
      <c r="O209" t="str">
        <f>'Rules-Platform'!Z210</f>
        <v>n</v>
      </c>
      <c r="P209" t="str">
        <f>'Rules-Platform'!AA210</f>
        <v>n</v>
      </c>
    </row>
    <row r="210" spans="1:16">
      <c r="A210">
        <f>'Rules-Platform'!C211</f>
        <v>327</v>
      </c>
      <c r="B210" t="str">
        <f>'Rules-Platform'!D211</f>
        <v>XEM-2XT</v>
      </c>
      <c r="D210" t="str">
        <f>'Rules-Platform'!O211</f>
        <v>N/A</v>
      </c>
      <c r="E210" t="str">
        <f>'Rules-Platform'!P211</f>
        <v>-</v>
      </c>
      <c r="F210" t="str">
        <f>'Rules-Platform'!Q211</f>
        <v>n</v>
      </c>
      <c r="G210" t="str">
        <f>'Rules-Platform'!R211</f>
        <v>n</v>
      </c>
      <c r="H210" t="str">
        <f>'Rules-Platform'!S211</f>
        <v>n</v>
      </c>
      <c r="I210" t="str">
        <f>'Rules-Platform'!T211</f>
        <v>n</v>
      </c>
      <c r="J210" t="str">
        <f>'Rules-Platform'!U211</f>
        <v>n</v>
      </c>
      <c r="K210" t="str">
        <f>'Rules-Platform'!V211</f>
        <v>n</v>
      </c>
      <c r="L210" s="15" t="str">
        <f>'Rules-Platform'!W211</f>
        <v>n</v>
      </c>
      <c r="M210" t="str">
        <f>'Rules-Platform'!X211</f>
        <v>n</v>
      </c>
      <c r="N210" t="str">
        <f>'Rules-Platform'!Y211</f>
        <v>n</v>
      </c>
      <c r="O210" t="str">
        <f>'Rules-Platform'!Z211</f>
        <v>n</v>
      </c>
      <c r="P210" t="str">
        <f>'Rules-Platform'!AA211</f>
        <v>n</v>
      </c>
    </row>
    <row r="211" spans="1:16">
      <c r="A211">
        <f>'Rules-Platform'!C212</f>
        <v>349</v>
      </c>
      <c r="B211" t="str">
        <f>'Rules-Platform'!D212</f>
        <v>XEM-2XS</v>
      </c>
      <c r="D211" t="str">
        <f>'Rules-Platform'!O212</f>
        <v>port1.{}.1-port1.{}.2</v>
      </c>
      <c r="E211" t="str">
        <f>'Rules-Platform'!P212</f>
        <v>10G SFP</v>
      </c>
      <c r="F211" t="str">
        <f>'Rules-Platform'!Q212</f>
        <v>n</v>
      </c>
      <c r="G211" t="str">
        <f>'Rules-Platform'!R212</f>
        <v>n</v>
      </c>
      <c r="H211" t="str">
        <f>'Rules-Platform'!S212</f>
        <v>n</v>
      </c>
      <c r="I211" t="str">
        <f>'Rules-Platform'!T212</f>
        <v>n</v>
      </c>
      <c r="J211" t="str">
        <f>'Rules-Platform'!U212</f>
        <v>n</v>
      </c>
      <c r="K211" t="str">
        <f>'Rules-Platform'!V212</f>
        <v>y</v>
      </c>
      <c r="L211" s="15" t="str">
        <f>'Rules-Platform'!W212</f>
        <v>n</v>
      </c>
      <c r="M211" t="str">
        <f>'Rules-Platform'!X212</f>
        <v>n</v>
      </c>
      <c r="N211" t="str">
        <f>'Rules-Platform'!Y212</f>
        <v>n</v>
      </c>
      <c r="O211" t="str">
        <f>'Rules-Platform'!Z212</f>
        <v>n</v>
      </c>
      <c r="P211" t="str">
        <f>'Rules-Platform'!AA212</f>
        <v>n</v>
      </c>
    </row>
    <row r="212" spans="1:16">
      <c r="A212">
        <f>'Rules-Platform'!C213</f>
        <v>355</v>
      </c>
      <c r="B212" t="str">
        <f>'Rules-Platform'!D213</f>
        <v>XEM-24T</v>
      </c>
      <c r="D212" t="str">
        <f>'Rules-Platform'!O213</f>
        <v>N/A</v>
      </c>
      <c r="E212" t="str">
        <f>'Rules-Platform'!P213</f>
        <v>-</v>
      </c>
      <c r="F212" t="str">
        <f>'Rules-Platform'!Q213</f>
        <v>n</v>
      </c>
      <c r="G212" t="str">
        <f>'Rules-Platform'!R213</f>
        <v>n</v>
      </c>
      <c r="H212" t="str">
        <f>'Rules-Platform'!S213</f>
        <v>n</v>
      </c>
      <c r="I212" t="str">
        <f>'Rules-Platform'!T213</f>
        <v>n</v>
      </c>
      <c r="J212" t="str">
        <f>'Rules-Platform'!U213</f>
        <v>n</v>
      </c>
      <c r="K212" t="str">
        <f>'Rules-Platform'!V213</f>
        <v>n</v>
      </c>
      <c r="L212" s="15" t="str">
        <f>'Rules-Platform'!W213</f>
        <v>n</v>
      </c>
      <c r="M212" t="str">
        <f>'Rules-Platform'!X213</f>
        <v>n</v>
      </c>
      <c r="N212" t="str">
        <f>'Rules-Platform'!Y213</f>
        <v>n</v>
      </c>
      <c r="O212" t="str">
        <f>'Rules-Platform'!Z213</f>
        <v>n</v>
      </c>
      <c r="P212" t="str">
        <f>'Rules-Platform'!AA213</f>
        <v>n</v>
      </c>
    </row>
    <row r="213" spans="1:16">
      <c r="A213">
        <f>'Rules-Platform'!C214</f>
        <v>357</v>
      </c>
      <c r="B213" t="str">
        <f>'Rules-Platform'!D214</f>
        <v>XEM-12Tv2</v>
      </c>
      <c r="D213" t="str">
        <f>'Rules-Platform'!O214</f>
        <v>N/A</v>
      </c>
      <c r="E213" t="str">
        <f>'Rules-Platform'!P214</f>
        <v>-</v>
      </c>
      <c r="F213" t="str">
        <f>'Rules-Platform'!Q214</f>
        <v>n</v>
      </c>
      <c r="G213" t="str">
        <f>'Rules-Platform'!R214</f>
        <v>n</v>
      </c>
      <c r="H213" t="str">
        <f>'Rules-Platform'!S214</f>
        <v>n</v>
      </c>
      <c r="I213" t="str">
        <f>'Rules-Platform'!T214</f>
        <v>n</v>
      </c>
      <c r="J213" t="str">
        <f>'Rules-Platform'!U214</f>
        <v>n</v>
      </c>
      <c r="K213" t="str">
        <f>'Rules-Platform'!V214</f>
        <v>n</v>
      </c>
      <c r="L213" s="15" t="str">
        <f>'Rules-Platform'!W214</f>
        <v>n</v>
      </c>
      <c r="M213" t="str">
        <f>'Rules-Platform'!X214</f>
        <v>n</v>
      </c>
      <c r="N213" t="str">
        <f>'Rules-Platform'!Y214</f>
        <v>n</v>
      </c>
      <c r="O213" t="str">
        <f>'Rules-Platform'!Z214</f>
        <v>n</v>
      </c>
      <c r="P213" t="str">
        <f>'Rules-Platform'!AA214</f>
        <v>n</v>
      </c>
    </row>
    <row r="214" spans="1:16">
      <c r="A214">
        <f>'Rules-Platform'!C215</f>
        <v>358</v>
      </c>
      <c r="B214" t="str">
        <f>'Rules-Platform'!D215</f>
        <v>XEM-12Sv2</v>
      </c>
      <c r="D214" t="str">
        <f>'Rules-Platform'!O215</f>
        <v>port1.{}.1-port1.{}.12</v>
      </c>
      <c r="E214" t="str">
        <f>'Rules-Platform'!P215</f>
        <v>1G SFP</v>
      </c>
      <c r="F214" t="str">
        <f>'Rules-Platform'!Q215</f>
        <v>n</v>
      </c>
      <c r="G214" t="str">
        <f>'Rules-Platform'!R215</f>
        <v>n</v>
      </c>
      <c r="H214" t="str">
        <f>'Rules-Platform'!S215</f>
        <v>y</v>
      </c>
      <c r="I214" t="str">
        <f>'Rules-Platform'!T215</f>
        <v>n</v>
      </c>
      <c r="J214" t="str">
        <f>'Rules-Platform'!U215</f>
        <v>n</v>
      </c>
      <c r="K214" t="str">
        <f>'Rules-Platform'!V215</f>
        <v>n</v>
      </c>
      <c r="L214" s="15" t="str">
        <f>'Rules-Platform'!W215</f>
        <v>n</v>
      </c>
      <c r="M214" t="str">
        <f>'Rules-Platform'!X215</f>
        <v>n</v>
      </c>
      <c r="N214" t="str">
        <f>'Rules-Platform'!Y215</f>
        <v>n</v>
      </c>
      <c r="O214" t="str">
        <f>'Rules-Platform'!Z215</f>
        <v>n</v>
      </c>
      <c r="P214" t="str">
        <f>'Rules-Platform'!AA215</f>
        <v>n</v>
      </c>
    </row>
    <row r="215" spans="1:16">
      <c r="A215">
        <f>'Rules-Platform'!C216</f>
        <v>494</v>
      </c>
      <c r="B215" t="str">
        <f>'Rules-Platform'!D216</f>
        <v>XEM-12Tv2</v>
      </c>
      <c r="D215" t="str">
        <f>'Rules-Platform'!O216</f>
        <v>N/A</v>
      </c>
      <c r="E215" t="str">
        <f>'Rules-Platform'!P216</f>
        <v>-</v>
      </c>
      <c r="F215" t="str">
        <f>'Rules-Platform'!Q216</f>
        <v>n</v>
      </c>
      <c r="G215" t="str">
        <f>'Rules-Platform'!R216</f>
        <v>n</v>
      </c>
      <c r="H215" t="str">
        <f>'Rules-Platform'!S216</f>
        <v>n</v>
      </c>
      <c r="I215" t="str">
        <f>'Rules-Platform'!T216</f>
        <v>n</v>
      </c>
      <c r="J215" t="str">
        <f>'Rules-Platform'!U216</f>
        <v>n</v>
      </c>
      <c r="K215" t="str">
        <f>'Rules-Platform'!V216</f>
        <v>n</v>
      </c>
      <c r="L215" s="15" t="str">
        <f>'Rules-Platform'!W216</f>
        <v>n</v>
      </c>
      <c r="M215" t="str">
        <f>'Rules-Platform'!X216</f>
        <v>n</v>
      </c>
      <c r="N215" t="str">
        <f>'Rules-Platform'!Y216</f>
        <v>n</v>
      </c>
      <c r="O215" t="str">
        <f>'Rules-Platform'!Z216</f>
        <v>n</v>
      </c>
      <c r="P215" t="str">
        <f>'Rules-Platform'!AA216</f>
        <v>n</v>
      </c>
    </row>
    <row r="216" spans="1:16">
      <c r="A216">
        <f>'Rules-Platform'!C217</f>
        <v>387</v>
      </c>
      <c r="B216" t="str">
        <f>'Rules-Platform'!D217</f>
        <v>AT-x930-28GTX</v>
      </c>
      <c r="D216" t="str">
        <f>'Rules-Platform'!O217</f>
        <v>port1.0.25-1.0.28</v>
      </c>
      <c r="E216" t="str">
        <f>'Rules-Platform'!P217</f>
        <v>10G Uplink</v>
      </c>
      <c r="F216" t="str">
        <f>'Rules-Platform'!Q217</f>
        <v>n</v>
      </c>
      <c r="G216" t="str">
        <f>'Rules-Platform'!R217</f>
        <v>n</v>
      </c>
      <c r="H216" t="str">
        <f>'Rules-Platform'!S217</f>
        <v>y</v>
      </c>
      <c r="I216" t="str">
        <f>'Rules-Platform'!T217</f>
        <v>n</v>
      </c>
      <c r="J216" t="str">
        <f>'Rules-Platform'!U217</f>
        <v>n</v>
      </c>
      <c r="K216" t="str">
        <f>'Rules-Platform'!V217</f>
        <v>y</v>
      </c>
      <c r="L216" s="15" t="str">
        <f>'Rules-Platform'!W217</f>
        <v>n</v>
      </c>
      <c r="M216" t="str">
        <f>'Rules-Platform'!X217</f>
        <v>n</v>
      </c>
      <c r="N216" t="str">
        <f>'Rules-Platform'!Y217</f>
        <v>n</v>
      </c>
      <c r="O216" t="str">
        <f>'Rules-Platform'!Z217</f>
        <v>n</v>
      </c>
      <c r="P216" t="str">
        <f>'Rules-Platform'!AA217</f>
        <v>n</v>
      </c>
    </row>
    <row r="217" spans="1:16">
      <c r="A217">
        <f>'Rules-Platform'!C218</f>
        <v>388</v>
      </c>
      <c r="B217" t="str">
        <f>'Rules-Platform'!D218</f>
        <v>AT-x930-28GPX</v>
      </c>
      <c r="D217" t="str">
        <f>'Rules-Platform'!O218</f>
        <v>port1.0.25-1.0.28</v>
      </c>
      <c r="E217" t="str">
        <f>'Rules-Platform'!P218</f>
        <v>10G Uplink</v>
      </c>
      <c r="F217" t="str">
        <f>'Rules-Platform'!Q218</f>
        <v>n</v>
      </c>
      <c r="G217" t="str">
        <f>'Rules-Platform'!R218</f>
        <v>n</v>
      </c>
      <c r="H217" t="str">
        <f>'Rules-Platform'!S218</f>
        <v>y</v>
      </c>
      <c r="I217" t="str">
        <f>'Rules-Platform'!T218</f>
        <v>n</v>
      </c>
      <c r="J217" t="str">
        <f>'Rules-Platform'!U218</f>
        <v>n</v>
      </c>
      <c r="K217" t="str">
        <f>'Rules-Platform'!V218</f>
        <v>y</v>
      </c>
      <c r="L217" s="15" t="str">
        <f>'Rules-Platform'!W218</f>
        <v>n</v>
      </c>
      <c r="M217" t="str">
        <f>'Rules-Platform'!X218</f>
        <v>n</v>
      </c>
      <c r="N217" t="str">
        <f>'Rules-Platform'!Y218</f>
        <v>n</v>
      </c>
      <c r="O217" t="str">
        <f>'Rules-Platform'!Z218</f>
        <v>n</v>
      </c>
      <c r="P217" t="str">
        <f>'Rules-Platform'!AA218</f>
        <v>n</v>
      </c>
    </row>
    <row r="218" spans="1:16">
      <c r="A218">
        <f>'Rules-Platform'!C219</f>
        <v>389</v>
      </c>
      <c r="B218" t="str">
        <f>'Rules-Platform'!D219</f>
        <v>AT-x930-28GSTX</v>
      </c>
      <c r="D218" t="str">
        <f>'Rules-Platform'!O219</f>
        <v>port1.0.1-1.0.24</v>
      </c>
      <c r="E218" t="str">
        <f>'Rules-Platform'!P219</f>
        <v>1G Base</v>
      </c>
      <c r="F218" t="str">
        <f>'Rules-Platform'!Q219</f>
        <v>n</v>
      </c>
      <c r="G218" t="str">
        <f>'Rules-Platform'!R219</f>
        <v>y</v>
      </c>
      <c r="H218" t="str">
        <f>'Rules-Platform'!S219</f>
        <v>y</v>
      </c>
      <c r="I218" t="str">
        <f>'Rules-Platform'!T219</f>
        <v>n</v>
      </c>
      <c r="J218" t="str">
        <f>'Rules-Platform'!U219</f>
        <v>n</v>
      </c>
      <c r="K218" t="str">
        <f>'Rules-Platform'!V219</f>
        <v>n</v>
      </c>
      <c r="L218" s="15" t="str">
        <f>'Rules-Platform'!W219</f>
        <v>n</v>
      </c>
      <c r="M218" t="str">
        <f>'Rules-Platform'!X219</f>
        <v>n</v>
      </c>
      <c r="N218" t="str">
        <f>'Rules-Platform'!Y219</f>
        <v>n</v>
      </c>
      <c r="O218" t="str">
        <f>'Rules-Platform'!Z219</f>
        <v>n</v>
      </c>
      <c r="P218" t="str">
        <f>'Rules-Platform'!AA219</f>
        <v>n</v>
      </c>
    </row>
    <row r="219" spans="1:16">
      <c r="A219">
        <f>'Rules-Platform'!C220</f>
        <v>389</v>
      </c>
      <c r="B219" t="str">
        <f>'Rules-Platform'!D220</f>
        <v>AT-x930-28GSTX</v>
      </c>
      <c r="D219" t="str">
        <f>'Rules-Platform'!O220</f>
        <v>port1.0.25-1.0.28</v>
      </c>
      <c r="E219" t="str">
        <f>'Rules-Platform'!P220</f>
        <v>10G Uplink</v>
      </c>
      <c r="F219" t="str">
        <f>'Rules-Platform'!Q220</f>
        <v>n</v>
      </c>
      <c r="G219" t="str">
        <f>'Rules-Platform'!R220</f>
        <v>n</v>
      </c>
      <c r="H219" t="str">
        <f>'Rules-Platform'!S220</f>
        <v>y</v>
      </c>
      <c r="I219" t="str">
        <f>'Rules-Platform'!T220</f>
        <v>n</v>
      </c>
      <c r="J219" t="str">
        <f>'Rules-Platform'!U220</f>
        <v>n</v>
      </c>
      <c r="K219" t="str">
        <f>'Rules-Platform'!V220</f>
        <v>y</v>
      </c>
      <c r="L219" s="15" t="str">
        <f>'Rules-Platform'!W220</f>
        <v>n</v>
      </c>
      <c r="M219" t="str">
        <f>'Rules-Platform'!X220</f>
        <v>n</v>
      </c>
      <c r="N219" t="str">
        <f>'Rules-Platform'!Y220</f>
        <v>n</v>
      </c>
      <c r="O219" t="str">
        <f>'Rules-Platform'!Z220</f>
        <v>n</v>
      </c>
      <c r="P219" t="str">
        <f>'Rules-Platform'!AA220</f>
        <v>n</v>
      </c>
    </row>
    <row r="220" spans="1:16">
      <c r="A220">
        <f>'Rules-Platform'!C221</f>
        <v>390</v>
      </c>
      <c r="B220" t="str">
        <f>'Rules-Platform'!D221</f>
        <v>AT-x930-52GTX</v>
      </c>
      <c r="D220" t="str">
        <f>'Rules-Platform'!O221</f>
        <v>port1.0.49-1.0.52</v>
      </c>
      <c r="E220" t="str">
        <f>'Rules-Platform'!P221</f>
        <v>10G Uplink</v>
      </c>
      <c r="F220" t="str">
        <f>'Rules-Platform'!Q221</f>
        <v>n</v>
      </c>
      <c r="G220" t="str">
        <f>'Rules-Platform'!R221</f>
        <v>n</v>
      </c>
      <c r="H220" t="str">
        <f>'Rules-Platform'!S221</f>
        <v>y</v>
      </c>
      <c r="I220" t="str">
        <f>'Rules-Platform'!T221</f>
        <v>n</v>
      </c>
      <c r="J220" t="str">
        <f>'Rules-Platform'!U221</f>
        <v>n</v>
      </c>
      <c r="K220" t="str">
        <f>'Rules-Platform'!V221</f>
        <v>y</v>
      </c>
      <c r="L220" s="15" t="str">
        <f>'Rules-Platform'!W221</f>
        <v>n</v>
      </c>
      <c r="M220" t="str">
        <f>'Rules-Platform'!X221</f>
        <v>n</v>
      </c>
      <c r="N220" t="str">
        <f>'Rules-Platform'!Y221</f>
        <v>n</v>
      </c>
      <c r="O220" t="str">
        <f>'Rules-Platform'!Z221</f>
        <v>n</v>
      </c>
      <c r="P220" t="str">
        <f>'Rules-Platform'!AA221</f>
        <v>n</v>
      </c>
    </row>
    <row r="221" spans="1:16">
      <c r="A221">
        <f>'Rules-Platform'!C222</f>
        <v>391</v>
      </c>
      <c r="B221" t="str">
        <f>'Rules-Platform'!D222</f>
        <v>AT-x930-52GPX</v>
      </c>
      <c r="D221" t="str">
        <f>'Rules-Platform'!O222</f>
        <v>port1.0.49-1.0.52</v>
      </c>
      <c r="E221" t="str">
        <f>'Rules-Platform'!P222</f>
        <v>10G Uplink</v>
      </c>
      <c r="F221" t="str">
        <f>'Rules-Platform'!Q222</f>
        <v>n</v>
      </c>
      <c r="G221" t="str">
        <f>'Rules-Platform'!R222</f>
        <v>n</v>
      </c>
      <c r="H221" t="str">
        <f>'Rules-Platform'!S222</f>
        <v>y</v>
      </c>
      <c r="I221" t="str">
        <f>'Rules-Platform'!T222</f>
        <v>n</v>
      </c>
      <c r="J221" t="str">
        <f>'Rules-Platform'!U222</f>
        <v>n</v>
      </c>
      <c r="K221" t="str">
        <f>'Rules-Platform'!V222</f>
        <v>y</v>
      </c>
      <c r="L221" s="15" t="str">
        <f>'Rules-Platform'!W222</f>
        <v>n</v>
      </c>
      <c r="M221" t="str">
        <f>'Rules-Platform'!X222</f>
        <v>n</v>
      </c>
      <c r="N221" t="str">
        <f>'Rules-Platform'!Y222</f>
        <v>n</v>
      </c>
      <c r="O221" t="str">
        <f>'Rules-Platform'!Z222</f>
        <v>n</v>
      </c>
      <c r="P221" t="str">
        <f>'Rules-Platform'!AA222</f>
        <v>n</v>
      </c>
    </row>
    <row r="222" spans="1:16">
      <c r="A222">
        <f>'Rules-Platform'!C223</f>
        <v>418</v>
      </c>
      <c r="B222" t="str">
        <f>'Rules-Platform'!D223</f>
        <v>AT-StackQS</v>
      </c>
      <c r="D222" t="str">
        <f>'Rules-Platform'!O223</f>
        <v>port1.1.1,port1.1.5</v>
      </c>
      <c r="E222" t="str">
        <f>'Rules-Platform'!P223</f>
        <v>40G Uplink</v>
      </c>
      <c r="F222" t="str">
        <f>'Rules-Platform'!Q223</f>
        <v>n</v>
      </c>
      <c r="G222" t="str">
        <f>'Rules-Platform'!R223</f>
        <v>n</v>
      </c>
      <c r="H222" t="str">
        <f>'Rules-Platform'!S223</f>
        <v>n</v>
      </c>
      <c r="I222" t="str">
        <f>'Rules-Platform'!T223</f>
        <v>n</v>
      </c>
      <c r="J222" t="str">
        <f>'Rules-Platform'!U223</f>
        <v>n</v>
      </c>
      <c r="K222" t="str">
        <f>'Rules-Platform'!V223</f>
        <v>n</v>
      </c>
      <c r="L222" s="15" t="str">
        <f>'Rules-Platform'!W223</f>
        <v>n</v>
      </c>
      <c r="M222" t="str">
        <f>'Rules-Platform'!X223</f>
        <v>y</v>
      </c>
      <c r="N222" t="str">
        <f>'Rules-Platform'!Y223</f>
        <v>n</v>
      </c>
      <c r="O222" t="str">
        <f>'Rules-Platform'!Z223</f>
        <v>n</v>
      </c>
      <c r="P222" t="str">
        <f>'Rules-Platform'!AA223</f>
        <v>n</v>
      </c>
    </row>
    <row r="223" spans="1:16">
      <c r="A223">
        <f>'Rules-Platform'!C224</f>
        <v>419</v>
      </c>
      <c r="B223" t="str">
        <f>'Rules-Platform'!D224</f>
        <v>AT-x9EM/XT4</v>
      </c>
      <c r="D223" t="str">
        <f>'Rules-Platform'!O224</f>
        <v>N/A</v>
      </c>
      <c r="E223" t="str">
        <f>'Rules-Platform'!P224</f>
        <v>-</v>
      </c>
      <c r="F223" t="str">
        <f>'Rules-Platform'!Q224</f>
        <v>n</v>
      </c>
      <c r="G223" t="str">
        <f>'Rules-Platform'!R224</f>
        <v>n</v>
      </c>
      <c r="H223" t="str">
        <f>'Rules-Platform'!S224</f>
        <v>n</v>
      </c>
      <c r="I223" t="str">
        <f>'Rules-Platform'!T224</f>
        <v>n</v>
      </c>
      <c r="J223" t="str">
        <f>'Rules-Platform'!U224</f>
        <v>n</v>
      </c>
      <c r="K223" t="str">
        <f>'Rules-Platform'!V224</f>
        <v>n</v>
      </c>
      <c r="L223" s="15" t="str">
        <f>'Rules-Platform'!W224</f>
        <v>n</v>
      </c>
      <c r="M223" t="str">
        <f>'Rules-Platform'!X224</f>
        <v>n</v>
      </c>
      <c r="N223" t="str">
        <f>'Rules-Platform'!Y224</f>
        <v>n</v>
      </c>
      <c r="O223" t="str">
        <f>'Rules-Platform'!Z224</f>
        <v>n</v>
      </c>
      <c r="P223" t="str">
        <f>'Rules-Platform'!AA224</f>
        <v>n</v>
      </c>
    </row>
    <row r="224" spans="1:16">
      <c r="A224">
        <f>'Rules-Platform'!C225</f>
        <v>455</v>
      </c>
      <c r="B224" t="str">
        <f>'Rules-Platform'!D225</f>
        <v>AT-XS916MXT</v>
      </c>
      <c r="D224" t="str">
        <f>'Rules-Platform'!O225</f>
        <v>port1.0.13-1.0.16</v>
      </c>
      <c r="E224" t="str">
        <f>'Rules-Platform'!P225</f>
        <v>10G Uplink</v>
      </c>
      <c r="F224" t="str">
        <f>'Rules-Platform'!Q225</f>
        <v>n</v>
      </c>
      <c r="G224" t="str">
        <f>'Rules-Platform'!R225</f>
        <v>n</v>
      </c>
      <c r="H224" t="str">
        <f>'Rules-Platform'!S225</f>
        <v>y</v>
      </c>
      <c r="I224" t="str">
        <f>'Rules-Platform'!T225</f>
        <v>n</v>
      </c>
      <c r="J224" t="str">
        <f>'Rules-Platform'!U225</f>
        <v>n</v>
      </c>
      <c r="K224" t="str">
        <f>'Rules-Platform'!V225</f>
        <v>y</v>
      </c>
      <c r="L224" s="15" t="str">
        <f>'Rules-Platform'!W225</f>
        <v>n</v>
      </c>
      <c r="M224" t="str">
        <f>'Rules-Platform'!X225</f>
        <v>n</v>
      </c>
      <c r="N224" t="str">
        <f>'Rules-Platform'!Y225</f>
        <v>n</v>
      </c>
      <c r="O224" t="str">
        <f>'Rules-Platform'!Z225</f>
        <v>n</v>
      </c>
      <c r="P224" t="str">
        <f>'Rules-Platform'!AA225</f>
        <v>n</v>
      </c>
    </row>
    <row r="225" spans="1:16">
      <c r="A225">
        <f>'Rules-Platform'!C226</f>
        <v>456</v>
      </c>
      <c r="B225" t="str">
        <f>'Rules-Platform'!D226</f>
        <v>AT-XS916MXS</v>
      </c>
      <c r="D225" t="str">
        <f>'Rules-Platform'!O226</f>
        <v>port1.0.5-1.0.16</v>
      </c>
      <c r="E225" t="str">
        <f>'Rules-Platform'!P226</f>
        <v>10G Uplink</v>
      </c>
      <c r="F225" t="str">
        <f>'Rules-Platform'!Q226</f>
        <v>n</v>
      </c>
      <c r="G225" t="str">
        <f>'Rules-Platform'!R226</f>
        <v>n</v>
      </c>
      <c r="H225" t="str">
        <f>'Rules-Platform'!S226</f>
        <v>y</v>
      </c>
      <c r="I225" t="str">
        <f>'Rules-Platform'!T226</f>
        <v>n</v>
      </c>
      <c r="J225" t="str">
        <f>'Rules-Platform'!U226</f>
        <v>n</v>
      </c>
      <c r="K225" t="str">
        <f>'Rules-Platform'!V226</f>
        <v>y</v>
      </c>
      <c r="L225" s="15" t="str">
        <f>'Rules-Platform'!W226</f>
        <v>n</v>
      </c>
      <c r="M225" t="str">
        <f>'Rules-Platform'!X226</f>
        <v>n</v>
      </c>
      <c r="N225" t="str">
        <f>'Rules-Platform'!Y226</f>
        <v>n</v>
      </c>
      <c r="O225" t="str">
        <f>'Rules-Platform'!Z226</f>
        <v>n</v>
      </c>
      <c r="P225" t="str">
        <f>'Rules-Platform'!AA226</f>
        <v>n</v>
      </c>
    </row>
    <row r="226" spans="1:16">
      <c r="A226">
        <f>'Rules-Platform'!C227</f>
        <v>457</v>
      </c>
      <c r="B226" t="str">
        <f>'Rules-Platform'!D227</f>
        <v>AT-XS916MXP</v>
      </c>
      <c r="D226" t="str">
        <f>'Rules-Platform'!O227</f>
        <v>port1.0.13-1.0.16</v>
      </c>
      <c r="E226" t="str">
        <f>'Rules-Platform'!P227</f>
        <v>10G Uplink</v>
      </c>
      <c r="F226" t="str">
        <f>'Rules-Platform'!Q227</f>
        <v>n</v>
      </c>
      <c r="G226" t="str">
        <f>'Rules-Platform'!R227</f>
        <v>n</v>
      </c>
      <c r="H226" t="str">
        <f>'Rules-Platform'!S227</f>
        <v>y</v>
      </c>
      <c r="I226" t="str">
        <f>'Rules-Platform'!T227</f>
        <v>n</v>
      </c>
      <c r="J226" t="str">
        <f>'Rules-Platform'!U227</f>
        <v>n</v>
      </c>
      <c r="K226" t="str">
        <f>'Rules-Platform'!V227</f>
        <v>y</v>
      </c>
      <c r="L226" s="15" t="str">
        <f>'Rules-Platform'!W227</f>
        <v>n</v>
      </c>
      <c r="M226" t="str">
        <f>'Rules-Platform'!X227</f>
        <v>n</v>
      </c>
      <c r="N226" t="str">
        <f>'Rules-Platform'!Y227</f>
        <v>n</v>
      </c>
      <c r="O226" t="str">
        <f>'Rules-Platform'!Z227</f>
        <v>n</v>
      </c>
      <c r="P226" t="str">
        <f>'Rules-Platform'!AA227</f>
        <v>n</v>
      </c>
    </row>
    <row r="227" spans="1:16">
      <c r="A227">
        <f>'Rules-Platform'!C228</f>
        <v>588</v>
      </c>
      <c r="B227" t="str">
        <f>'Rules-Platform'!D228</f>
        <v>AT-x330-10GTX</v>
      </c>
      <c r="D227" t="str">
        <f>'Rules-Platform'!O228</f>
        <v>port1.0.10</v>
      </c>
      <c r="E227" t="str">
        <f>'Rules-Platform'!P228</f>
        <v>10G Uplink</v>
      </c>
      <c r="F227" t="str">
        <f>'Rules-Platform'!Q228</f>
        <v>n</v>
      </c>
      <c r="G227" t="str">
        <f>'Rules-Platform'!R228</f>
        <v>n</v>
      </c>
      <c r="H227" t="str">
        <f>'Rules-Platform'!S228</f>
        <v>y</v>
      </c>
      <c r="I227" t="str">
        <f>'Rules-Platform'!T228</f>
        <v>y</v>
      </c>
      <c r="J227" t="str">
        <f>'Rules-Platform'!U228</f>
        <v>y</v>
      </c>
      <c r="K227" t="str">
        <f>'Rules-Platform'!V228</f>
        <v>y</v>
      </c>
      <c r="L227" s="15" t="str">
        <f>'Rules-Platform'!W228</f>
        <v>n</v>
      </c>
      <c r="M227" t="str">
        <f>'Rules-Platform'!X228</f>
        <v>n</v>
      </c>
      <c r="N227" t="str">
        <f>'Rules-Platform'!Y228</f>
        <v>n</v>
      </c>
      <c r="O227" t="str">
        <f>'Rules-Platform'!Z228</f>
        <v>n</v>
      </c>
      <c r="P227" t="str">
        <f>'Rules-Platform'!AA228</f>
        <v>n</v>
      </c>
    </row>
    <row r="228" spans="1:16">
      <c r="A228">
        <f>'Rules-Platform'!C229</f>
        <v>589</v>
      </c>
      <c r="B228" t="str">
        <f>'Rules-Platform'!D229</f>
        <v>AT-x330-20GTX</v>
      </c>
      <c r="D228" t="str">
        <f>'Rules-Platform'!O229</f>
        <v>port1.0.19-1.0.20</v>
      </c>
      <c r="E228" t="str">
        <f>'Rules-Platform'!P229</f>
        <v>10G Uplink</v>
      </c>
      <c r="F228" t="str">
        <f>'Rules-Platform'!Q229</f>
        <v>n</v>
      </c>
      <c r="G228" t="str">
        <f>'Rules-Platform'!R229</f>
        <v>n</v>
      </c>
      <c r="H228" t="str">
        <f>'Rules-Platform'!S229</f>
        <v>y</v>
      </c>
      <c r="I228" t="str">
        <f>'Rules-Platform'!T229</f>
        <v>y</v>
      </c>
      <c r="J228" t="str">
        <f>'Rules-Platform'!U229</f>
        <v>y</v>
      </c>
      <c r="K228" t="str">
        <f>'Rules-Platform'!V229</f>
        <v>y</v>
      </c>
      <c r="L228" s="15" t="str">
        <f>'Rules-Platform'!W229</f>
        <v>n</v>
      </c>
      <c r="M228" t="str">
        <f>'Rules-Platform'!X229</f>
        <v>n</v>
      </c>
      <c r="N228" t="str">
        <f>'Rules-Platform'!Y229</f>
        <v>n</v>
      </c>
      <c r="O228" t="str">
        <f>'Rules-Platform'!Z229</f>
        <v>n</v>
      </c>
      <c r="P228" t="str">
        <f>'Rules-Platform'!AA229</f>
        <v>n</v>
      </c>
    </row>
    <row r="229" spans="1:16">
      <c r="A229">
        <f>'Rules-Platform'!C230</f>
        <v>590</v>
      </c>
      <c r="B229" t="str">
        <f>'Rules-Platform'!D230</f>
        <v>AT-x330-28GTX</v>
      </c>
      <c r="D229" t="str">
        <f>'Rules-Platform'!O230</f>
        <v>port1.0.27-1.0.28</v>
      </c>
      <c r="E229" t="str">
        <f>'Rules-Platform'!P230</f>
        <v>10G Uplink</v>
      </c>
      <c r="F229" t="str">
        <f>'Rules-Platform'!Q230</f>
        <v>n</v>
      </c>
      <c r="G229" t="str">
        <f>'Rules-Platform'!R230</f>
        <v>n</v>
      </c>
      <c r="H229" t="str">
        <f>'Rules-Platform'!S230</f>
        <v>y</v>
      </c>
      <c r="I229" t="str">
        <f>'Rules-Platform'!T230</f>
        <v>y</v>
      </c>
      <c r="J229" t="str">
        <f>'Rules-Platform'!U230</f>
        <v>y</v>
      </c>
      <c r="K229" t="str">
        <f>'Rules-Platform'!V230</f>
        <v>y</v>
      </c>
      <c r="L229" s="15" t="str">
        <f>'Rules-Platform'!W230</f>
        <v>n</v>
      </c>
      <c r="M229" t="str">
        <f>'Rules-Platform'!X230</f>
        <v>n</v>
      </c>
      <c r="N229" t="str">
        <f>'Rules-Platform'!Y230</f>
        <v>n</v>
      </c>
      <c r="O229" t="str">
        <f>'Rules-Platform'!Z230</f>
        <v>n</v>
      </c>
      <c r="P229" t="str">
        <f>'Rules-Platform'!AA230</f>
        <v>n</v>
      </c>
    </row>
    <row r="230" spans="1:16">
      <c r="A230">
        <f>'Rules-Platform'!C231</f>
        <v>591</v>
      </c>
      <c r="B230" t="str">
        <f>'Rules-Platform'!D231</f>
        <v>AT-x330-52GTX</v>
      </c>
      <c r="D230" t="str">
        <f>'Rules-Platform'!O231</f>
        <v>port1.0.51-1.0.52</v>
      </c>
      <c r="E230" t="str">
        <f>'Rules-Platform'!P231</f>
        <v>10G Uplink</v>
      </c>
      <c r="F230" t="str">
        <f>'Rules-Platform'!Q231</f>
        <v>n</v>
      </c>
      <c r="G230" t="str">
        <f>'Rules-Platform'!R231</f>
        <v>n</v>
      </c>
      <c r="H230" t="str">
        <f>'Rules-Platform'!S231</f>
        <v>y</v>
      </c>
      <c r="I230" t="str">
        <f>'Rules-Platform'!T231</f>
        <v>y</v>
      </c>
      <c r="J230" t="str">
        <f>'Rules-Platform'!U231</f>
        <v>y</v>
      </c>
      <c r="K230" t="str">
        <f>'Rules-Platform'!V231</f>
        <v>y</v>
      </c>
      <c r="L230" s="15" t="str">
        <f>'Rules-Platform'!W231</f>
        <v>n</v>
      </c>
      <c r="M230" t="str">
        <f>'Rules-Platform'!X231</f>
        <v>n</v>
      </c>
      <c r="N230" t="str">
        <f>'Rules-Platform'!Y231</f>
        <v>n</v>
      </c>
      <c r="O230" t="str">
        <f>'Rules-Platform'!Z231</f>
        <v>n</v>
      </c>
      <c r="P230" t="str">
        <f>'Rules-Platform'!AA231</f>
        <v>n</v>
      </c>
    </row>
    <row r="231" spans="1:16">
      <c r="A231">
        <f>'Rules-Platform'!C232</f>
        <v>592</v>
      </c>
      <c r="B231" t="str">
        <f>'Rules-Platform'!D232</f>
        <v>AT-GS970EMX/10</v>
      </c>
      <c r="D231" t="str">
        <f>'Rules-Platform'!O232</f>
        <v>port1.0.10</v>
      </c>
      <c r="E231" t="str">
        <f>'Rules-Platform'!P232</f>
        <v>10G Uplink</v>
      </c>
      <c r="F231" t="str">
        <f>'Rules-Platform'!Q232</f>
        <v>n</v>
      </c>
      <c r="G231" t="str">
        <f>'Rules-Platform'!R232</f>
        <v>n</v>
      </c>
      <c r="H231" t="str">
        <f>'Rules-Platform'!S232</f>
        <v>y</v>
      </c>
      <c r="I231" t="str">
        <f>'Rules-Platform'!T232</f>
        <v>y</v>
      </c>
      <c r="J231" t="str">
        <f>'Rules-Platform'!U232</f>
        <v>y</v>
      </c>
      <c r="K231" t="str">
        <f>'Rules-Platform'!V232</f>
        <v>y</v>
      </c>
      <c r="L231" s="15" t="str">
        <f>'Rules-Platform'!W232</f>
        <v>n</v>
      </c>
      <c r="M231" t="str">
        <f>'Rules-Platform'!X232</f>
        <v>n</v>
      </c>
      <c r="N231" t="str">
        <f>'Rules-Platform'!Y232</f>
        <v>n</v>
      </c>
      <c r="O231" t="str">
        <f>'Rules-Platform'!Z232</f>
        <v>n</v>
      </c>
      <c r="P231" t="str">
        <f>'Rules-Platform'!AA232</f>
        <v>n</v>
      </c>
    </row>
    <row r="232" spans="1:16">
      <c r="A232">
        <f>'Rules-Platform'!C233</f>
        <v>593</v>
      </c>
      <c r="B232" t="str">
        <f>'Rules-Platform'!D233</f>
        <v>AT-GS970EMX/20</v>
      </c>
      <c r="D232" t="str">
        <f>'Rules-Platform'!O233</f>
        <v>port1.0.19-1.0.20</v>
      </c>
      <c r="E232" t="str">
        <f>'Rules-Platform'!P233</f>
        <v>10G Uplink</v>
      </c>
      <c r="F232" t="str">
        <f>'Rules-Platform'!Q233</f>
        <v>n</v>
      </c>
      <c r="G232" t="str">
        <f>'Rules-Platform'!R233</f>
        <v>n</v>
      </c>
      <c r="H232" t="str">
        <f>'Rules-Platform'!S233</f>
        <v>y</v>
      </c>
      <c r="I232" t="str">
        <f>'Rules-Platform'!T233</f>
        <v>y</v>
      </c>
      <c r="J232" t="str">
        <f>'Rules-Platform'!U233</f>
        <v>y</v>
      </c>
      <c r="K232" t="str">
        <f>'Rules-Platform'!V233</f>
        <v>y</v>
      </c>
      <c r="L232" s="15" t="str">
        <f>'Rules-Platform'!W233</f>
        <v>n</v>
      </c>
      <c r="M232" t="str">
        <f>'Rules-Platform'!X233</f>
        <v>n</v>
      </c>
      <c r="N232" t="str">
        <f>'Rules-Platform'!Y233</f>
        <v>n</v>
      </c>
      <c r="O232" t="str">
        <f>'Rules-Platform'!Z233</f>
        <v>n</v>
      </c>
      <c r="P232" t="str">
        <f>'Rules-Platform'!AA233</f>
        <v>n</v>
      </c>
    </row>
    <row r="233" spans="1:16">
      <c r="A233">
        <f>'Rules-Platform'!C234</f>
        <v>594</v>
      </c>
      <c r="B233" t="str">
        <f>'Rules-Platform'!D234</f>
        <v>AT-GS970EMX/28</v>
      </c>
      <c r="D233" t="str">
        <f>'Rules-Platform'!O234</f>
        <v>port1.0.27-1.0.28</v>
      </c>
      <c r="E233" t="str">
        <f>'Rules-Platform'!P234</f>
        <v>10G Uplink</v>
      </c>
      <c r="F233" t="str">
        <f>'Rules-Platform'!Q234</f>
        <v>n</v>
      </c>
      <c r="G233" t="str">
        <f>'Rules-Platform'!R234</f>
        <v>n</v>
      </c>
      <c r="H233" t="str">
        <f>'Rules-Platform'!S234</f>
        <v>y</v>
      </c>
      <c r="I233" t="str">
        <f>'Rules-Platform'!T234</f>
        <v>y</v>
      </c>
      <c r="J233" t="str">
        <f>'Rules-Platform'!U234</f>
        <v>y</v>
      </c>
      <c r="K233" t="str">
        <f>'Rules-Platform'!V234</f>
        <v>y</v>
      </c>
      <c r="L233" s="15" t="str">
        <f>'Rules-Platform'!W234</f>
        <v>n</v>
      </c>
      <c r="M233" t="str">
        <f>'Rules-Platform'!X234</f>
        <v>n</v>
      </c>
      <c r="N233" t="str">
        <f>'Rules-Platform'!Y234</f>
        <v>n</v>
      </c>
      <c r="O233" t="str">
        <f>'Rules-Platform'!Z234</f>
        <v>n</v>
      </c>
      <c r="P233" t="str">
        <f>'Rules-Platform'!AA234</f>
        <v>n</v>
      </c>
    </row>
    <row r="234" spans="1:16">
      <c r="A234">
        <f>'Rules-Platform'!C235</f>
        <v>595</v>
      </c>
      <c r="B234" t="str">
        <f>'Rules-Platform'!D235</f>
        <v>AT-GS970EMX/52</v>
      </c>
      <c r="D234" t="str">
        <f>'Rules-Platform'!O235</f>
        <v>port1.0.51-1.0.52</v>
      </c>
      <c r="E234" t="str">
        <f>'Rules-Platform'!P235</f>
        <v>10G Uplink</v>
      </c>
      <c r="F234" t="str">
        <f>'Rules-Platform'!Q235</f>
        <v>n</v>
      </c>
      <c r="G234" t="str">
        <f>'Rules-Platform'!R235</f>
        <v>n</v>
      </c>
      <c r="H234" t="str">
        <f>'Rules-Platform'!S235</f>
        <v>y</v>
      </c>
      <c r="I234" t="str">
        <f>'Rules-Platform'!T235</f>
        <v>y</v>
      </c>
      <c r="J234" t="str">
        <f>'Rules-Platform'!U235</f>
        <v>y</v>
      </c>
      <c r="K234" t="str">
        <f>'Rules-Platform'!V235</f>
        <v>y</v>
      </c>
      <c r="L234" s="15" t="str">
        <f>'Rules-Platform'!W235</f>
        <v>n</v>
      </c>
      <c r="M234" t="str">
        <f>'Rules-Platform'!X235</f>
        <v>n</v>
      </c>
      <c r="N234" t="str">
        <f>'Rules-Platform'!Y235</f>
        <v>n</v>
      </c>
      <c r="O234" t="str">
        <f>'Rules-Platform'!Z235</f>
        <v>n</v>
      </c>
      <c r="P234" t="str">
        <f>'Rules-Platform'!AA235</f>
        <v>n</v>
      </c>
    </row>
    <row r="235" spans="1:16">
      <c r="A235">
        <f>'Rules-Platform'!C236</f>
        <v>606</v>
      </c>
      <c r="B235" t="str">
        <f>'Rules-Platform'!D236</f>
        <v>AT-IE220-6GHX</v>
      </c>
      <c r="D235" t="str">
        <f>'Rules-Platform'!O236</f>
        <v>port1.0.5-1.0.6</v>
      </c>
      <c r="E235" t="str">
        <f>'Rules-Platform'!P236</f>
        <v>10G Uplink</v>
      </c>
      <c r="F235" t="str">
        <f>'Rules-Platform'!Q236</f>
        <v>n</v>
      </c>
      <c r="G235" t="str">
        <f>'Rules-Platform'!R236</f>
        <v>n</v>
      </c>
      <c r="H235" t="str">
        <f>'Rules-Platform'!S236</f>
        <v>y</v>
      </c>
      <c r="I235" t="str">
        <f>'Rules-Platform'!T236</f>
        <v>n</v>
      </c>
      <c r="J235" t="str">
        <f>'Rules-Platform'!U236</f>
        <v>n</v>
      </c>
      <c r="K235" t="str">
        <f>'Rules-Platform'!V236</f>
        <v>y</v>
      </c>
      <c r="L235" s="15" t="str">
        <f>'Rules-Platform'!W236</f>
        <v>n</v>
      </c>
      <c r="M235" t="str">
        <f>'Rules-Platform'!X236</f>
        <v>n</v>
      </c>
      <c r="N235" t="str">
        <f>'Rules-Platform'!Y236</f>
        <v>n</v>
      </c>
      <c r="O235" t="str">
        <f>'Rules-Platform'!Z236</f>
        <v>n</v>
      </c>
      <c r="P235" t="str">
        <f>'Rules-Platform'!AA236</f>
        <v>n</v>
      </c>
    </row>
    <row r="236" spans="1:16">
      <c r="A236">
        <f>'Rules-Platform'!C237</f>
        <v>607</v>
      </c>
      <c r="B236" t="str">
        <f>'Rules-Platform'!D237</f>
        <v>AT-IE220-10GHX</v>
      </c>
      <c r="D236" t="str">
        <f>'Rules-Platform'!O237</f>
        <v>port1.0.9-1.0.10</v>
      </c>
      <c r="E236" t="str">
        <f>'Rules-Platform'!P237</f>
        <v>10G Uplink</v>
      </c>
      <c r="F236" t="str">
        <f>'Rules-Platform'!Q237</f>
        <v>n</v>
      </c>
      <c r="G236" t="str">
        <f>'Rules-Platform'!R237</f>
        <v>n</v>
      </c>
      <c r="H236" t="str">
        <f>'Rules-Platform'!S237</f>
        <v>y</v>
      </c>
      <c r="I236" t="str">
        <f>'Rules-Platform'!T237</f>
        <v>n</v>
      </c>
      <c r="J236" t="str">
        <f>'Rules-Platform'!U237</f>
        <v>n</v>
      </c>
      <c r="K236" t="str">
        <f>'Rules-Platform'!V237</f>
        <v>y</v>
      </c>
      <c r="L236" s="15" t="str">
        <f>'Rules-Platform'!W237</f>
        <v>n</v>
      </c>
      <c r="M236" t="str">
        <f>'Rules-Platform'!X237</f>
        <v>n</v>
      </c>
      <c r="N236" t="str">
        <f>'Rules-Platform'!Y237</f>
        <v>n</v>
      </c>
      <c r="O236" t="str">
        <f>'Rules-Platform'!Z237</f>
        <v>n</v>
      </c>
      <c r="P236" t="str">
        <f>'Rules-Platform'!AA237</f>
        <v>n</v>
      </c>
    </row>
    <row r="237" spans="1:16">
      <c r="A237">
        <f>'Rules-Platform'!C238</f>
        <v>627</v>
      </c>
      <c r="B237" t="str">
        <f>'Rules-Platform'!D238</f>
        <v>AT-x240-10GHXm</v>
      </c>
      <c r="D237" t="str">
        <f>'Rules-Platform'!O238</f>
        <v>port1.0.9-1.0.10</v>
      </c>
      <c r="E237" t="str">
        <f>'Rules-Platform'!P238</f>
        <v>10G Uplink</v>
      </c>
      <c r="F237" t="str">
        <f>'Rules-Platform'!Q238</f>
        <v>n</v>
      </c>
      <c r="G237" t="str">
        <f>'Rules-Platform'!R238</f>
        <v>n</v>
      </c>
      <c r="H237" t="str">
        <f>'Rules-Platform'!S238</f>
        <v>y</v>
      </c>
      <c r="I237" t="str">
        <f>'Rules-Platform'!T238</f>
        <v>n</v>
      </c>
      <c r="J237" t="str">
        <f>'Rules-Platform'!U238</f>
        <v>n</v>
      </c>
      <c r="K237" t="str">
        <f>'Rules-Platform'!V238</f>
        <v>y</v>
      </c>
      <c r="L237" s="15" t="str">
        <f>'Rules-Platform'!W238</f>
        <v>n</v>
      </c>
      <c r="M237" t="str">
        <f>'Rules-Platform'!X238</f>
        <v>n</v>
      </c>
      <c r="N237" t="str">
        <f>'Rules-Platform'!Y238</f>
        <v>n</v>
      </c>
      <c r="O237" t="str">
        <f>'Rules-Platform'!Z238</f>
        <v>n</v>
      </c>
      <c r="P237" t="str">
        <f>'Rules-Platform'!AA238</f>
        <v>n</v>
      </c>
    </row>
    <row r="238" spans="1:16">
      <c r="A238">
        <f>'Rules-Platform'!C239</f>
        <v>0</v>
      </c>
      <c r="B238" t="str">
        <f>'Rules-Platform'!D239</f>
        <v>AT-x240-18GHXm</v>
      </c>
      <c r="D238" t="str">
        <f>'Rules-Platform'!O239</f>
        <v>port1.0.17-1.0.18</v>
      </c>
      <c r="E238" t="str">
        <f>'Rules-Platform'!P239</f>
        <v>10G Uplink</v>
      </c>
      <c r="F238" t="str">
        <f>'Rules-Platform'!Q239</f>
        <v>n</v>
      </c>
      <c r="G238" t="str">
        <f>'Rules-Platform'!R239</f>
        <v>n</v>
      </c>
      <c r="H238" t="str">
        <f>'Rules-Platform'!S239</f>
        <v>y</v>
      </c>
      <c r="I238" t="str">
        <f>'Rules-Platform'!T239</f>
        <v>n</v>
      </c>
      <c r="J238" t="str">
        <f>'Rules-Platform'!U239</f>
        <v>n</v>
      </c>
      <c r="K238" t="str">
        <f>'Rules-Platform'!V239</f>
        <v>y</v>
      </c>
      <c r="L238" s="15" t="str">
        <f>'Rules-Platform'!W239</f>
        <v>n</v>
      </c>
      <c r="M238" t="str">
        <f>'Rules-Platform'!X239</f>
        <v>n</v>
      </c>
      <c r="N238" t="str">
        <f>'Rules-Platform'!Y239</f>
        <v>n</v>
      </c>
      <c r="O238" t="str">
        <f>'Rules-Platform'!Z239</f>
        <v>n</v>
      </c>
      <c r="P238" t="str">
        <f>'Rules-Platform'!AA239</f>
        <v>n</v>
      </c>
    </row>
    <row r="239" spans="1:16">
      <c r="A239">
        <f>'Rules-Platform'!C240</f>
        <v>637</v>
      </c>
      <c r="B239" t="str">
        <f>'Rules-Platform'!D240</f>
        <v>AT-x240-26GHXm</v>
      </c>
      <c r="D239" t="str">
        <f>'Rules-Platform'!O240</f>
        <v>port1.0.25-1.0.26</v>
      </c>
      <c r="E239" t="str">
        <f>'Rules-Platform'!P240</f>
        <v>10G Uplink</v>
      </c>
      <c r="F239" t="str">
        <f>'Rules-Platform'!Q240</f>
        <v>n</v>
      </c>
      <c r="G239" t="str">
        <f>'Rules-Platform'!R240</f>
        <v>n</v>
      </c>
      <c r="H239" t="str">
        <f>'Rules-Platform'!S240</f>
        <v>y</v>
      </c>
      <c r="I239" t="str">
        <f>'Rules-Platform'!T240</f>
        <v>n</v>
      </c>
      <c r="J239" t="str">
        <f>'Rules-Platform'!U240</f>
        <v>n</v>
      </c>
      <c r="K239" t="str">
        <f>'Rules-Platform'!V240</f>
        <v>y</v>
      </c>
      <c r="L239" s="15" t="str">
        <f>'Rules-Platform'!W240</f>
        <v>n</v>
      </c>
      <c r="M239" t="str">
        <f>'Rules-Platform'!X240</f>
        <v>n</v>
      </c>
      <c r="N239" t="str">
        <f>'Rules-Platform'!Y240</f>
        <v>n</v>
      </c>
      <c r="O239" t="str">
        <f>'Rules-Platform'!Z240</f>
        <v>n</v>
      </c>
      <c r="P239" t="str">
        <f>'Rules-Platform'!AA240</f>
        <v>n</v>
      </c>
    </row>
    <row r="240" spans="1:16">
      <c r="A240">
        <f>'Rules-Platform'!C241</f>
        <v>660</v>
      </c>
      <c r="B240" t="str">
        <f>'Rules-Platform'!D241</f>
        <v>AT-x240-52GHXm</v>
      </c>
      <c r="D240" t="str">
        <f>'Rules-Platform'!O241</f>
        <v>port1.0.49-1.0.52</v>
      </c>
      <c r="E240" t="str">
        <f>'Rules-Platform'!P241</f>
        <v>10G Uplink</v>
      </c>
      <c r="F240" t="str">
        <f>'Rules-Platform'!Q241</f>
        <v>n</v>
      </c>
      <c r="G240" t="str">
        <f>'Rules-Platform'!R241</f>
        <v>n</v>
      </c>
      <c r="H240" t="str">
        <f>'Rules-Platform'!S241</f>
        <v>y</v>
      </c>
      <c r="I240" t="str">
        <f>'Rules-Platform'!T241</f>
        <v>n</v>
      </c>
      <c r="J240" t="str">
        <f>'Rules-Platform'!U241</f>
        <v>n</v>
      </c>
      <c r="K240" t="str">
        <f>'Rules-Platform'!V241</f>
        <v>y</v>
      </c>
      <c r="L240" s="15" t="str">
        <f>'Rules-Platform'!W241</f>
        <v>n</v>
      </c>
      <c r="M240" t="str">
        <f>'Rules-Platform'!X241</f>
        <v>n</v>
      </c>
      <c r="N240" t="str">
        <f>'Rules-Platform'!Y241</f>
        <v>n</v>
      </c>
      <c r="O240" t="str">
        <f>'Rules-Platform'!Z241</f>
        <v>n</v>
      </c>
      <c r="P240" t="str">
        <f>'Rules-Platform'!AA241</f>
        <v>n</v>
      </c>
    </row>
    <row r="241" spans="1:16">
      <c r="A241">
        <f>'Rules-Platform'!C242</f>
        <v>626</v>
      </c>
      <c r="B241" t="str">
        <f>'Rules-Platform'!D242</f>
        <v>AT-x240-10GTXm</v>
      </c>
      <c r="D241" t="str">
        <f>'Rules-Platform'!O242</f>
        <v>port1.0.9-1.0.10</v>
      </c>
      <c r="E241" t="str">
        <f>'Rules-Platform'!P242</f>
        <v>10G Uplink</v>
      </c>
      <c r="F241" t="str">
        <f>'Rules-Platform'!Q242</f>
        <v>n</v>
      </c>
      <c r="G241" t="str">
        <f>'Rules-Platform'!R242</f>
        <v>n</v>
      </c>
      <c r="H241" t="str">
        <f>'Rules-Platform'!S242</f>
        <v>y</v>
      </c>
      <c r="I241" t="str">
        <f>'Rules-Platform'!T242</f>
        <v>n</v>
      </c>
      <c r="J241" t="str">
        <f>'Rules-Platform'!U242</f>
        <v>n</v>
      </c>
      <c r="K241" t="str">
        <f>'Rules-Platform'!V242</f>
        <v>y</v>
      </c>
      <c r="L241" s="15" t="str">
        <f>'Rules-Platform'!W242</f>
        <v>n</v>
      </c>
      <c r="M241" t="str">
        <f>'Rules-Platform'!X242</f>
        <v>n</v>
      </c>
      <c r="N241" t="str">
        <f>'Rules-Platform'!Y242</f>
        <v>n</v>
      </c>
      <c r="O241" t="str">
        <f>'Rules-Platform'!Z242</f>
        <v>n</v>
      </c>
      <c r="P241" t="str">
        <f>'Rules-Platform'!AA242</f>
        <v>n</v>
      </c>
    </row>
    <row r="242" spans="1:16">
      <c r="A242">
        <f>'Rules-Platform'!C243</f>
        <v>0</v>
      </c>
      <c r="B242" t="str">
        <f>'Rules-Platform'!D243</f>
        <v>AT-x240-18GTXm</v>
      </c>
      <c r="D242" t="str">
        <f>'Rules-Platform'!O243</f>
        <v>port1.0.17-1.0.18</v>
      </c>
      <c r="E242" t="str">
        <f>'Rules-Platform'!P243</f>
        <v>10G Uplink</v>
      </c>
      <c r="F242" t="str">
        <f>'Rules-Platform'!Q243</f>
        <v>n</v>
      </c>
      <c r="G242" t="str">
        <f>'Rules-Platform'!R243</f>
        <v>n</v>
      </c>
      <c r="H242" t="str">
        <f>'Rules-Platform'!S243</f>
        <v>y</v>
      </c>
      <c r="I242" t="str">
        <f>'Rules-Platform'!T243</f>
        <v>n</v>
      </c>
      <c r="J242" t="str">
        <f>'Rules-Platform'!U243</f>
        <v>n</v>
      </c>
      <c r="K242" t="str">
        <f>'Rules-Platform'!V243</f>
        <v>y</v>
      </c>
      <c r="L242" s="15" t="str">
        <f>'Rules-Platform'!W243</f>
        <v>n</v>
      </c>
      <c r="M242" t="str">
        <f>'Rules-Platform'!X243</f>
        <v>n</v>
      </c>
      <c r="N242" t="str">
        <f>'Rules-Platform'!Y243</f>
        <v>n</v>
      </c>
      <c r="O242" t="str">
        <f>'Rules-Platform'!Z243</f>
        <v>n</v>
      </c>
      <c r="P242" t="str">
        <f>'Rules-Platform'!AA243</f>
        <v>n</v>
      </c>
    </row>
    <row r="243" spans="1:16">
      <c r="A243">
        <f>'Rules-Platform'!C244</f>
        <v>636</v>
      </c>
      <c r="B243" t="str">
        <f>'Rules-Platform'!D244</f>
        <v>AT-x240-26GTXm</v>
      </c>
      <c r="D243" t="str">
        <f>'Rules-Platform'!O244</f>
        <v>port1.0.25-1.0.26</v>
      </c>
      <c r="E243" t="str">
        <f>'Rules-Platform'!P244</f>
        <v>10G Uplink</v>
      </c>
      <c r="F243" t="str">
        <f>'Rules-Platform'!Q244</f>
        <v>n</v>
      </c>
      <c r="G243" t="str">
        <f>'Rules-Platform'!R244</f>
        <v>n</v>
      </c>
      <c r="H243" t="str">
        <f>'Rules-Platform'!S244</f>
        <v>y</v>
      </c>
      <c r="I243" t="str">
        <f>'Rules-Platform'!T244</f>
        <v>n</v>
      </c>
      <c r="J243" t="str">
        <f>'Rules-Platform'!U244</f>
        <v>n</v>
      </c>
      <c r="K243" t="str">
        <f>'Rules-Platform'!V244</f>
        <v>y</v>
      </c>
      <c r="L243" s="15" t="str">
        <f>'Rules-Platform'!W244</f>
        <v>n</v>
      </c>
      <c r="M243" t="str">
        <f>'Rules-Platform'!X244</f>
        <v>n</v>
      </c>
      <c r="N243" t="str">
        <f>'Rules-Platform'!Y244</f>
        <v>n</v>
      </c>
      <c r="O243" t="str">
        <f>'Rules-Platform'!Z244</f>
        <v>n</v>
      </c>
      <c r="P243" t="str">
        <f>'Rules-Platform'!AA244</f>
        <v>n</v>
      </c>
    </row>
    <row r="244" spans="1:16">
      <c r="A244">
        <f>'Rules-Platform'!C245</f>
        <v>659</v>
      </c>
      <c r="B244" t="str">
        <f>'Rules-Platform'!D245</f>
        <v>AT-x240-52GTXm</v>
      </c>
      <c r="D244" t="str">
        <f>'Rules-Platform'!O245</f>
        <v>port1.0.49-1.0.52</v>
      </c>
      <c r="E244" t="str">
        <f>'Rules-Platform'!P245</f>
        <v>10G Uplink</v>
      </c>
      <c r="F244" t="str">
        <f>'Rules-Platform'!Q245</f>
        <v>n</v>
      </c>
      <c r="G244" t="str">
        <f>'Rules-Platform'!R245</f>
        <v>n</v>
      </c>
      <c r="H244" t="str">
        <f>'Rules-Platform'!S245</f>
        <v>y</v>
      </c>
      <c r="I244" t="str">
        <f>'Rules-Platform'!T245</f>
        <v>n</v>
      </c>
      <c r="J244" t="str">
        <f>'Rules-Platform'!U245</f>
        <v>n</v>
      </c>
      <c r="K244" t="str">
        <f>'Rules-Platform'!V245</f>
        <v>y</v>
      </c>
      <c r="L244" s="15" t="str">
        <f>'Rules-Platform'!W245</f>
        <v>n</v>
      </c>
      <c r="M244" t="str">
        <f>'Rules-Platform'!X245</f>
        <v>n</v>
      </c>
      <c r="N244" t="str">
        <f>'Rules-Platform'!Y245</f>
        <v>n</v>
      </c>
      <c r="O244" t="str">
        <f>'Rules-Platform'!Z245</f>
        <v>n</v>
      </c>
      <c r="P244" t="str">
        <f>'Rules-Platform'!AA245</f>
        <v>n</v>
      </c>
    </row>
    <row r="245" spans="1:16">
      <c r="A245">
        <f>'Rules-Platform'!C246</f>
        <v>629</v>
      </c>
      <c r="B245" t="str">
        <f>'Rules-Platform'!D246</f>
        <v>AT-SE240-10GHXm</v>
      </c>
      <c r="D245" t="str">
        <f>'Rules-Platform'!O246</f>
        <v>port1.0.9-1.0.10</v>
      </c>
      <c r="E245" t="str">
        <f>'Rules-Platform'!P246</f>
        <v>10G Uplink</v>
      </c>
      <c r="F245" t="str">
        <f>'Rules-Platform'!Q246</f>
        <v>n</v>
      </c>
      <c r="G245" t="str">
        <f>'Rules-Platform'!R246</f>
        <v>n</v>
      </c>
      <c r="H245" t="str">
        <f>'Rules-Platform'!S246</f>
        <v>y</v>
      </c>
      <c r="I245" t="str">
        <f>'Rules-Platform'!T246</f>
        <v>n</v>
      </c>
      <c r="J245" t="str">
        <f>'Rules-Platform'!U246</f>
        <v>n</v>
      </c>
      <c r="K245" t="str">
        <f>'Rules-Platform'!V246</f>
        <v>y</v>
      </c>
      <c r="L245" s="15" t="str">
        <f>'Rules-Platform'!W246</f>
        <v>n</v>
      </c>
      <c r="M245" t="str">
        <f>'Rules-Platform'!X246</f>
        <v>n</v>
      </c>
      <c r="N245" t="str">
        <f>'Rules-Platform'!Y246</f>
        <v>n</v>
      </c>
      <c r="O245" t="str">
        <f>'Rules-Platform'!Z246</f>
        <v>n</v>
      </c>
      <c r="P245" t="str">
        <f>'Rules-Platform'!AA246</f>
        <v>n</v>
      </c>
    </row>
    <row r="246" spans="1:16">
      <c r="A246">
        <f>'Rules-Platform'!C247</f>
        <v>0</v>
      </c>
      <c r="B246" t="str">
        <f>'Rules-Platform'!D247</f>
        <v>AT-SE240-18GHXm</v>
      </c>
      <c r="D246" t="str">
        <f>'Rules-Platform'!O247</f>
        <v>port1.0.17-1.0.18</v>
      </c>
      <c r="E246" t="str">
        <f>'Rules-Platform'!P247</f>
        <v>10G Uplink</v>
      </c>
      <c r="F246" t="str">
        <f>'Rules-Platform'!Q247</f>
        <v>n</v>
      </c>
      <c r="G246" t="str">
        <f>'Rules-Platform'!R247</f>
        <v>n</v>
      </c>
      <c r="H246" t="str">
        <f>'Rules-Platform'!S247</f>
        <v>y</v>
      </c>
      <c r="I246" t="str">
        <f>'Rules-Platform'!T247</f>
        <v>n</v>
      </c>
      <c r="J246" t="str">
        <f>'Rules-Platform'!U247</f>
        <v>n</v>
      </c>
      <c r="K246" t="str">
        <f>'Rules-Platform'!V247</f>
        <v>y</v>
      </c>
      <c r="L246" s="15" t="str">
        <f>'Rules-Platform'!W247</f>
        <v>n</v>
      </c>
      <c r="M246" t="str">
        <f>'Rules-Platform'!X247</f>
        <v>n</v>
      </c>
      <c r="N246" t="str">
        <f>'Rules-Platform'!Y247</f>
        <v>n</v>
      </c>
      <c r="O246" t="str">
        <f>'Rules-Platform'!Z247</f>
        <v>n</v>
      </c>
      <c r="P246" t="str">
        <f>'Rules-Platform'!AA247</f>
        <v>n</v>
      </c>
    </row>
    <row r="247" spans="1:16">
      <c r="A247">
        <f>'Rules-Platform'!C248</f>
        <v>639</v>
      </c>
      <c r="B247" t="str">
        <f>'Rules-Platform'!D248</f>
        <v>AT-SE240-26GHXm</v>
      </c>
      <c r="D247" t="str">
        <f>'Rules-Platform'!O248</f>
        <v>port1.0.25-1.0.26</v>
      </c>
      <c r="E247" t="str">
        <f>'Rules-Platform'!P248</f>
        <v>10G Uplink</v>
      </c>
      <c r="F247" t="str">
        <f>'Rules-Platform'!Q248</f>
        <v>n</v>
      </c>
      <c r="G247" t="str">
        <f>'Rules-Platform'!R248</f>
        <v>n</v>
      </c>
      <c r="H247" t="str">
        <f>'Rules-Platform'!S248</f>
        <v>y</v>
      </c>
      <c r="I247" t="str">
        <f>'Rules-Platform'!T248</f>
        <v>n</v>
      </c>
      <c r="J247" t="str">
        <f>'Rules-Platform'!U248</f>
        <v>n</v>
      </c>
      <c r="K247" t="str">
        <f>'Rules-Platform'!V248</f>
        <v>y</v>
      </c>
      <c r="L247" s="15" t="str">
        <f>'Rules-Platform'!W248</f>
        <v>n</v>
      </c>
      <c r="M247" t="str">
        <f>'Rules-Platform'!X248</f>
        <v>n</v>
      </c>
      <c r="N247" t="str">
        <f>'Rules-Platform'!Y248</f>
        <v>n</v>
      </c>
      <c r="O247" t="str">
        <f>'Rules-Platform'!Z248</f>
        <v>n</v>
      </c>
      <c r="P247" t="str">
        <f>'Rules-Platform'!AA248</f>
        <v>n</v>
      </c>
    </row>
    <row r="248" spans="1:16">
      <c r="A248">
        <f>'Rules-Platform'!C249</f>
        <v>662</v>
      </c>
      <c r="B248" t="str">
        <f>'Rules-Platform'!D249</f>
        <v>AT-SE240-52GHXm</v>
      </c>
      <c r="D248" t="str">
        <f>'Rules-Platform'!O249</f>
        <v>port1.0.49-1.0.52</v>
      </c>
      <c r="E248" t="str">
        <f>'Rules-Platform'!P249</f>
        <v>10G Uplink</v>
      </c>
      <c r="F248" t="str">
        <f>'Rules-Platform'!Q249</f>
        <v>n</v>
      </c>
      <c r="G248" t="str">
        <f>'Rules-Platform'!R249</f>
        <v>n</v>
      </c>
      <c r="H248" t="str">
        <f>'Rules-Platform'!S249</f>
        <v>y</v>
      </c>
      <c r="I248" t="str">
        <f>'Rules-Platform'!T249</f>
        <v>n</v>
      </c>
      <c r="J248" t="str">
        <f>'Rules-Platform'!U249</f>
        <v>n</v>
      </c>
      <c r="K248" t="str">
        <f>'Rules-Platform'!V249</f>
        <v>y</v>
      </c>
      <c r="L248" s="15" t="str">
        <f>'Rules-Platform'!W249</f>
        <v>n</v>
      </c>
      <c r="M248" t="str">
        <f>'Rules-Platform'!X249</f>
        <v>n</v>
      </c>
      <c r="N248" t="str">
        <f>'Rules-Platform'!Y249</f>
        <v>n</v>
      </c>
      <c r="O248" t="str">
        <f>'Rules-Platform'!Z249</f>
        <v>n</v>
      </c>
      <c r="P248" t="str">
        <f>'Rules-Platform'!AA249</f>
        <v>n</v>
      </c>
    </row>
    <row r="249" spans="1:16">
      <c r="A249">
        <f>'Rules-Platform'!C250</f>
        <v>628</v>
      </c>
      <c r="B249" t="str">
        <f>'Rules-Platform'!D250</f>
        <v>AT-SE240-10GTXm</v>
      </c>
      <c r="D249" t="str">
        <f>'Rules-Platform'!O250</f>
        <v>port1.0.9-1.0.10</v>
      </c>
      <c r="E249" t="str">
        <f>'Rules-Platform'!P250</f>
        <v>10G Uplink</v>
      </c>
      <c r="F249" t="str">
        <f>'Rules-Platform'!Q250</f>
        <v>n</v>
      </c>
      <c r="G249" t="str">
        <f>'Rules-Platform'!R250</f>
        <v>n</v>
      </c>
      <c r="H249" t="str">
        <f>'Rules-Platform'!S250</f>
        <v>y</v>
      </c>
      <c r="I249" t="str">
        <f>'Rules-Platform'!T250</f>
        <v>n</v>
      </c>
      <c r="J249" t="str">
        <f>'Rules-Platform'!U250</f>
        <v>n</v>
      </c>
      <c r="K249" t="str">
        <f>'Rules-Platform'!V250</f>
        <v>y</v>
      </c>
      <c r="L249" s="15" t="str">
        <f>'Rules-Platform'!W250</f>
        <v>n</v>
      </c>
      <c r="M249" t="str">
        <f>'Rules-Platform'!X250</f>
        <v>n</v>
      </c>
      <c r="N249" t="str">
        <f>'Rules-Platform'!Y250</f>
        <v>n</v>
      </c>
      <c r="O249" t="str">
        <f>'Rules-Platform'!Z250</f>
        <v>n</v>
      </c>
      <c r="P249" t="str">
        <f>'Rules-Platform'!AA250</f>
        <v>n</v>
      </c>
    </row>
    <row r="250" spans="1:16">
      <c r="A250">
        <f>'Rules-Platform'!C251</f>
        <v>0</v>
      </c>
      <c r="B250" t="str">
        <f>'Rules-Platform'!D251</f>
        <v>AT-SE240-18GTXm</v>
      </c>
      <c r="D250" t="str">
        <f>'Rules-Platform'!O251</f>
        <v>port1.0.17-1.0.18</v>
      </c>
      <c r="E250" t="str">
        <f>'Rules-Platform'!P251</f>
        <v>10G Uplink</v>
      </c>
      <c r="F250" t="str">
        <f>'Rules-Platform'!Q251</f>
        <v>n</v>
      </c>
      <c r="G250" t="str">
        <f>'Rules-Platform'!R251</f>
        <v>n</v>
      </c>
      <c r="H250" t="str">
        <f>'Rules-Platform'!S251</f>
        <v>y</v>
      </c>
      <c r="I250" t="str">
        <f>'Rules-Platform'!T251</f>
        <v>n</v>
      </c>
      <c r="J250" t="str">
        <f>'Rules-Platform'!U251</f>
        <v>n</v>
      </c>
      <c r="K250" t="str">
        <f>'Rules-Platform'!V251</f>
        <v>y</v>
      </c>
      <c r="L250" s="15" t="str">
        <f>'Rules-Platform'!W251</f>
        <v>n</v>
      </c>
      <c r="M250" t="str">
        <f>'Rules-Platform'!X251</f>
        <v>n</v>
      </c>
      <c r="N250" t="str">
        <f>'Rules-Platform'!Y251</f>
        <v>n</v>
      </c>
      <c r="O250" t="str">
        <f>'Rules-Platform'!Z251</f>
        <v>n</v>
      </c>
      <c r="P250" t="str">
        <f>'Rules-Platform'!AA251</f>
        <v>n</v>
      </c>
    </row>
    <row r="251" spans="1:16">
      <c r="A251">
        <f>'Rules-Platform'!C252</f>
        <v>638</v>
      </c>
      <c r="B251" t="str">
        <f>'Rules-Platform'!D252</f>
        <v>AT-SE240-26GTXm</v>
      </c>
      <c r="D251" t="str">
        <f>'Rules-Platform'!O252</f>
        <v>port1.0.25-1.0.26</v>
      </c>
      <c r="E251" t="str">
        <f>'Rules-Platform'!P252</f>
        <v>10G Uplink</v>
      </c>
      <c r="F251" t="str">
        <f>'Rules-Platform'!Q252</f>
        <v>n</v>
      </c>
      <c r="G251" t="str">
        <f>'Rules-Platform'!R252</f>
        <v>n</v>
      </c>
      <c r="H251" t="str">
        <f>'Rules-Platform'!S252</f>
        <v>y</v>
      </c>
      <c r="I251" t="str">
        <f>'Rules-Platform'!T252</f>
        <v>n</v>
      </c>
      <c r="J251" t="str">
        <f>'Rules-Platform'!U252</f>
        <v>n</v>
      </c>
      <c r="K251" t="str">
        <f>'Rules-Platform'!V252</f>
        <v>y</v>
      </c>
      <c r="L251" s="15" t="str">
        <f>'Rules-Platform'!W252</f>
        <v>n</v>
      </c>
      <c r="M251" t="str">
        <f>'Rules-Platform'!X252</f>
        <v>n</v>
      </c>
      <c r="N251" t="str">
        <f>'Rules-Platform'!Y252</f>
        <v>n</v>
      </c>
      <c r="O251" t="str">
        <f>'Rules-Platform'!Z252</f>
        <v>n</v>
      </c>
      <c r="P251" t="str">
        <f>'Rules-Platform'!AA252</f>
        <v>n</v>
      </c>
    </row>
    <row r="252" spans="1:16">
      <c r="A252">
        <f>'Rules-Platform'!C253</f>
        <v>661</v>
      </c>
      <c r="B252" t="str">
        <f>'Rules-Platform'!D253</f>
        <v>AT-SE240-52GTXm</v>
      </c>
      <c r="D252" t="str">
        <f>'Rules-Platform'!O253</f>
        <v>port1.0.49-1.0.52</v>
      </c>
      <c r="E252" t="str">
        <f>'Rules-Platform'!P253</f>
        <v>10G Uplink</v>
      </c>
      <c r="F252" t="str">
        <f>'Rules-Platform'!Q253</f>
        <v>n</v>
      </c>
      <c r="G252" t="str">
        <f>'Rules-Platform'!R253</f>
        <v>n</v>
      </c>
      <c r="H252" t="str">
        <f>'Rules-Platform'!S253</f>
        <v>y</v>
      </c>
      <c r="I252" t="str">
        <f>'Rules-Platform'!T253</f>
        <v>n</v>
      </c>
      <c r="J252" t="str">
        <f>'Rules-Platform'!U253</f>
        <v>n</v>
      </c>
      <c r="K252" t="str">
        <f>'Rules-Platform'!V253</f>
        <v>y</v>
      </c>
      <c r="L252" s="15" t="str">
        <f>'Rules-Platform'!W253</f>
        <v>n</v>
      </c>
      <c r="M252" t="str">
        <f>'Rules-Platform'!X253</f>
        <v>n</v>
      </c>
      <c r="N252" t="str">
        <f>'Rules-Platform'!Y253</f>
        <v>n</v>
      </c>
      <c r="O252" t="str">
        <f>'Rules-Platform'!Z253</f>
        <v>n</v>
      </c>
      <c r="P252" t="str">
        <f>'Rules-Platform'!AA253</f>
        <v>n</v>
      </c>
    </row>
    <row r="253" spans="1:16">
      <c r="A253">
        <f>'Rules-Platform'!C254</f>
        <v>0</v>
      </c>
      <c r="B253" t="str">
        <f>'Rules-Platform'!D254</f>
        <v>AT-x540-28XTm</v>
      </c>
      <c r="D253">
        <f>'Rules-Platform'!O254</f>
        <v>0</v>
      </c>
      <c r="E253">
        <f>'Rules-Platform'!P254</f>
        <v>0</v>
      </c>
      <c r="F253" t="str">
        <f>'Rules-Platform'!Q254</f>
        <v>n</v>
      </c>
      <c r="G253" t="str">
        <f>'Rules-Platform'!R254</f>
        <v>n</v>
      </c>
      <c r="H253">
        <f>'Rules-Platform'!S254</f>
        <v>0</v>
      </c>
      <c r="I253">
        <f>'Rules-Platform'!T254</f>
        <v>0</v>
      </c>
      <c r="J253">
        <f>'Rules-Platform'!U254</f>
        <v>0</v>
      </c>
      <c r="K253">
        <f>'Rules-Platform'!V254</f>
        <v>0</v>
      </c>
      <c r="L253" s="15" t="str">
        <f>'Rules-Platform'!W254</f>
        <v>n</v>
      </c>
      <c r="M253">
        <f>'Rules-Platform'!X254</f>
        <v>0</v>
      </c>
      <c r="N253">
        <f>'Rules-Platform'!Y254</f>
        <v>0</v>
      </c>
      <c r="O253">
        <f>'Rules-Platform'!Z254</f>
        <v>0</v>
      </c>
      <c r="P253">
        <f>'Rules-Platform'!AA254</f>
        <v>0</v>
      </c>
    </row>
    <row r="254" spans="1:16">
      <c r="A254">
        <f>'Rules-Platform'!C255</f>
        <v>0</v>
      </c>
      <c r="B254" t="str">
        <f>'Rules-Platform'!D255</f>
        <v>AT-x540-52XTm</v>
      </c>
      <c r="D254">
        <f>'Rules-Platform'!O255</f>
        <v>0</v>
      </c>
      <c r="E254">
        <f>'Rules-Platform'!P255</f>
        <v>0</v>
      </c>
      <c r="F254">
        <f>'Rules-Platform'!Q255</f>
        <v>0</v>
      </c>
      <c r="G254">
        <f>'Rules-Platform'!R255</f>
        <v>0</v>
      </c>
      <c r="H254">
        <f>'Rules-Platform'!S255</f>
        <v>0</v>
      </c>
      <c r="I254">
        <f>'Rules-Platform'!T255</f>
        <v>0</v>
      </c>
      <c r="J254">
        <f>'Rules-Platform'!U255</f>
        <v>0</v>
      </c>
      <c r="K254">
        <f>'Rules-Platform'!V255</f>
        <v>0</v>
      </c>
      <c r="L254" s="15" t="str">
        <f>'Rules-Platform'!W255</f>
        <v>n</v>
      </c>
      <c r="M254">
        <f>'Rules-Platform'!X255</f>
        <v>0</v>
      </c>
      <c r="N254">
        <f>'Rules-Platform'!Y255</f>
        <v>0</v>
      </c>
      <c r="O254">
        <f>'Rules-Platform'!Z255</f>
        <v>0</v>
      </c>
      <c r="P254">
        <f>'Rules-Platform'!AA255</f>
        <v>0</v>
      </c>
    </row>
    <row r="255" spans="1:16">
      <c r="A255">
        <f>'Rules-Platform'!C256</f>
        <v>0</v>
      </c>
      <c r="B255" t="str">
        <f>'Rules-Platform'!D256</f>
        <v>AT-x540-28XHm</v>
      </c>
      <c r="D255">
        <f>'Rules-Platform'!O256</f>
        <v>0</v>
      </c>
      <c r="E255">
        <f>'Rules-Platform'!P256</f>
        <v>0</v>
      </c>
      <c r="F255">
        <f>'Rules-Platform'!Q256</f>
        <v>0</v>
      </c>
      <c r="G255">
        <f>'Rules-Platform'!R256</f>
        <v>0</v>
      </c>
      <c r="H255">
        <f>'Rules-Platform'!S256</f>
        <v>0</v>
      </c>
      <c r="I255">
        <f>'Rules-Platform'!T256</f>
        <v>0</v>
      </c>
      <c r="J255">
        <f>'Rules-Platform'!U256</f>
        <v>0</v>
      </c>
      <c r="K255">
        <f>'Rules-Platform'!V256</f>
        <v>0</v>
      </c>
      <c r="L255" s="15" t="str">
        <f>'Rules-Platform'!W256</f>
        <v>n</v>
      </c>
      <c r="M255">
        <f>'Rules-Platform'!X256</f>
        <v>0</v>
      </c>
      <c r="N255">
        <f>'Rules-Platform'!Y256</f>
        <v>0</v>
      </c>
      <c r="O255">
        <f>'Rules-Platform'!Z256</f>
        <v>0</v>
      </c>
      <c r="P255">
        <f>'Rules-Platform'!AA256</f>
        <v>0</v>
      </c>
    </row>
    <row r="256" spans="1:16">
      <c r="A256">
        <f>'Rules-Platform'!C257</f>
        <v>0</v>
      </c>
      <c r="B256" t="str">
        <f>'Rules-Platform'!D257</f>
        <v>AT-x540-52XHm</v>
      </c>
      <c r="D256">
        <f>'Rules-Platform'!O257</f>
        <v>0</v>
      </c>
      <c r="E256">
        <f>'Rules-Platform'!P257</f>
        <v>0</v>
      </c>
      <c r="F256">
        <f>'Rules-Platform'!Q257</f>
        <v>0</v>
      </c>
      <c r="G256">
        <f>'Rules-Platform'!R257</f>
        <v>0</v>
      </c>
      <c r="H256">
        <f>'Rules-Platform'!S257</f>
        <v>0</v>
      </c>
      <c r="I256">
        <f>'Rules-Platform'!T257</f>
        <v>0</v>
      </c>
      <c r="J256">
        <f>'Rules-Platform'!U257</f>
        <v>0</v>
      </c>
      <c r="K256">
        <f>'Rules-Platform'!V257</f>
        <v>0</v>
      </c>
      <c r="L256" s="15" t="str">
        <f>'Rules-Platform'!W257</f>
        <v>n</v>
      </c>
      <c r="M256">
        <f>'Rules-Platform'!X257</f>
        <v>0</v>
      </c>
      <c r="N256">
        <f>'Rules-Platform'!Y257</f>
        <v>0</v>
      </c>
      <c r="O256">
        <f>'Rules-Platform'!Z257</f>
        <v>0</v>
      </c>
      <c r="P256">
        <f>'Rules-Platform'!AA257</f>
        <v>0</v>
      </c>
    </row>
    <row r="257" spans="1:16">
      <c r="A257">
        <f>'Rules-Platform'!C258</f>
        <v>0</v>
      </c>
      <c r="B257" t="str">
        <f>'Rules-Platform'!D258</f>
        <v>AT-x540-28XS</v>
      </c>
      <c r="D257">
        <f>'Rules-Platform'!O258</f>
        <v>0</v>
      </c>
      <c r="E257">
        <f>'Rules-Platform'!P258</f>
        <v>0</v>
      </c>
      <c r="F257">
        <f>'Rules-Platform'!Q258</f>
        <v>0</v>
      </c>
      <c r="G257">
        <f>'Rules-Platform'!R258</f>
        <v>0</v>
      </c>
      <c r="H257">
        <f>'Rules-Platform'!S258</f>
        <v>0</v>
      </c>
      <c r="I257">
        <f>'Rules-Platform'!T258</f>
        <v>0</v>
      </c>
      <c r="J257">
        <f>'Rules-Platform'!U258</f>
        <v>0</v>
      </c>
      <c r="K257">
        <f>'Rules-Platform'!V258</f>
        <v>0</v>
      </c>
      <c r="L257" s="15" t="str">
        <f>'Rules-Platform'!W258</f>
        <v>n</v>
      </c>
      <c r="M257">
        <f>'Rules-Platform'!X258</f>
        <v>0</v>
      </c>
      <c r="N257">
        <f>'Rules-Platform'!Y258</f>
        <v>0</v>
      </c>
      <c r="O257">
        <f>'Rules-Platform'!Z258</f>
        <v>0</v>
      </c>
      <c r="P257">
        <f>'Rules-Platform'!AA258</f>
        <v>0</v>
      </c>
    </row>
    <row r="258" spans="1:16">
      <c r="A258">
        <f>'Rules-Platform'!C259</f>
        <v>0</v>
      </c>
      <c r="B258" t="str">
        <f>'Rules-Platform'!D259</f>
        <v>AT-x540-52XSTm</v>
      </c>
      <c r="D258">
        <f>'Rules-Platform'!O259</f>
        <v>0</v>
      </c>
      <c r="E258">
        <f>'Rules-Platform'!P259</f>
        <v>0</v>
      </c>
      <c r="F258">
        <f>'Rules-Platform'!Q259</f>
        <v>0</v>
      </c>
      <c r="G258">
        <f>'Rules-Platform'!R259</f>
        <v>0</v>
      </c>
      <c r="H258">
        <f>'Rules-Platform'!S259</f>
        <v>0</v>
      </c>
      <c r="I258">
        <f>'Rules-Platform'!T259</f>
        <v>0</v>
      </c>
      <c r="J258">
        <f>'Rules-Platform'!U259</f>
        <v>0</v>
      </c>
      <c r="K258">
        <f>'Rules-Platform'!V259</f>
        <v>0</v>
      </c>
      <c r="L258" s="15" t="str">
        <f>'Rules-Platform'!W259</f>
        <v>n</v>
      </c>
      <c r="M258">
        <f>'Rules-Platform'!X259</f>
        <v>0</v>
      </c>
      <c r="N258">
        <f>'Rules-Platform'!Y259</f>
        <v>0</v>
      </c>
      <c r="O258">
        <f>'Rules-Platform'!Z259</f>
        <v>0</v>
      </c>
      <c r="P258">
        <f>'Rules-Platform'!AA259</f>
        <v>0</v>
      </c>
    </row>
    <row r="259" spans="1:16">
      <c r="A259">
        <f>'Rules-Platform'!C260</f>
        <v>648</v>
      </c>
      <c r="B259" t="str">
        <f>'Rules-Platform'!D260</f>
        <v>AT-x540L-28XTm</v>
      </c>
      <c r="D259" t="str">
        <f>'Rules-Platform'!O260</f>
        <v>port1.0.25-1.0.28</v>
      </c>
      <c r="E259" t="str">
        <f>'Rules-Platform'!P260</f>
        <v>10G Uplink</v>
      </c>
      <c r="F259" t="str">
        <f>'Rules-Platform'!Q260</f>
        <v>n</v>
      </c>
      <c r="G259" t="str">
        <f>'Rules-Platform'!R260</f>
        <v>n</v>
      </c>
      <c r="H259" t="str">
        <f>'Rules-Platform'!S260</f>
        <v>y</v>
      </c>
      <c r="I259" t="str">
        <f>'Rules-Platform'!T260</f>
        <v>n</v>
      </c>
      <c r="J259" t="str">
        <f>'Rules-Platform'!U260</f>
        <v>n</v>
      </c>
      <c r="K259" t="str">
        <f>'Rules-Platform'!V260</f>
        <v>y</v>
      </c>
      <c r="L259" s="15" t="str">
        <f>'Rules-Platform'!W260</f>
        <v>n</v>
      </c>
      <c r="M259" t="str">
        <f>'Rules-Platform'!X260</f>
        <v>n</v>
      </c>
      <c r="N259" t="str">
        <f>'Rules-Platform'!Y260</f>
        <v>n</v>
      </c>
      <c r="O259" t="str">
        <f>'Rules-Platform'!Z260</f>
        <v>n</v>
      </c>
      <c r="P259" t="str">
        <f>'Rules-Platform'!AA260</f>
        <v>n</v>
      </c>
    </row>
    <row r="260" spans="1:16">
      <c r="A260">
        <f>'Rules-Platform'!C261</f>
        <v>671</v>
      </c>
      <c r="B260" t="str">
        <f>'Rules-Platform'!D261</f>
        <v>AT-x540L-52XTm</v>
      </c>
      <c r="D260" t="str">
        <f>'Rules-Platform'!O261</f>
        <v>port1.0.49-1.0.52</v>
      </c>
      <c r="E260" t="str">
        <f>'Rules-Platform'!P261</f>
        <v>10G Uplink</v>
      </c>
      <c r="F260" t="str">
        <f>'Rules-Platform'!Q261</f>
        <v>n</v>
      </c>
      <c r="G260" t="str">
        <f>'Rules-Platform'!R261</f>
        <v>n</v>
      </c>
      <c r="H260" t="str">
        <f>'Rules-Platform'!S261</f>
        <v>y</v>
      </c>
      <c r="I260" t="str">
        <f>'Rules-Platform'!T261</f>
        <v>y</v>
      </c>
      <c r="J260" t="str">
        <f>'Rules-Platform'!U261</f>
        <v>y</v>
      </c>
      <c r="K260" t="str">
        <f>'Rules-Platform'!V261</f>
        <v>y</v>
      </c>
      <c r="L260" s="15" t="str">
        <f>'Rules-Platform'!W261</f>
        <v>n</v>
      </c>
      <c r="M260" t="str">
        <f>'Rules-Platform'!X261</f>
        <v>n</v>
      </c>
      <c r="N260" t="str">
        <f>'Rules-Platform'!Y261</f>
        <v>n</v>
      </c>
      <c r="O260" t="str">
        <f>'Rules-Platform'!Z261</f>
        <v>n</v>
      </c>
      <c r="P260" t="str">
        <f>'Rules-Platform'!AA261</f>
        <v>n</v>
      </c>
    </row>
    <row r="261" spans="1:16">
      <c r="A261">
        <f>'Rules-Platform'!C262</f>
        <v>665</v>
      </c>
      <c r="B261" t="str">
        <f>'Rules-Platform'!D262</f>
        <v>AT-x540L-28XHm</v>
      </c>
      <c r="D261" t="str">
        <f>'Rules-Platform'!O262</f>
        <v>port1.0.1-1.0.28</v>
      </c>
      <c r="E261" t="str">
        <f>'Rules-Platform'!P262</f>
        <v>10G Uplink</v>
      </c>
      <c r="F261" t="str">
        <f>'Rules-Platform'!Q262</f>
        <v>n</v>
      </c>
      <c r="G261" t="str">
        <f>'Rules-Platform'!R262</f>
        <v>n</v>
      </c>
      <c r="H261" t="str">
        <f>'Rules-Platform'!S262</f>
        <v>y</v>
      </c>
      <c r="I261" t="str">
        <f>'Rules-Platform'!T262</f>
        <v>n</v>
      </c>
      <c r="J261" t="str">
        <f>'Rules-Platform'!U262</f>
        <v>n</v>
      </c>
      <c r="K261" t="str">
        <f>'Rules-Platform'!V262</f>
        <v>y</v>
      </c>
      <c r="L261" s="15" t="str">
        <f>'Rules-Platform'!W262</f>
        <v>n</v>
      </c>
      <c r="M261" t="str">
        <f>'Rules-Platform'!X262</f>
        <v>n</v>
      </c>
      <c r="N261" t="str">
        <f>'Rules-Platform'!Y262</f>
        <v>n</v>
      </c>
      <c r="O261" t="str">
        <f>'Rules-Platform'!Z262</f>
        <v>n</v>
      </c>
      <c r="P261" t="str">
        <f>'Rules-Platform'!AA262</f>
        <v>n</v>
      </c>
    </row>
    <row r="262" spans="1:16">
      <c r="A262">
        <f>'Rules-Platform'!C263</f>
        <v>675</v>
      </c>
      <c r="B262" t="str">
        <f>'Rules-Platform'!D263</f>
        <v>AT-x540L-52XHm</v>
      </c>
      <c r="D262" t="str">
        <f>'Rules-Platform'!O263</f>
        <v>port1.0.49-1.0.52</v>
      </c>
      <c r="E262" t="str">
        <f>'Rules-Platform'!P263</f>
        <v>10G Uplink</v>
      </c>
      <c r="F262" t="str">
        <f>'Rules-Platform'!Q263</f>
        <v>n</v>
      </c>
      <c r="G262" t="str">
        <f>'Rules-Platform'!R263</f>
        <v>n</v>
      </c>
      <c r="H262" t="str">
        <f>'Rules-Platform'!S263</f>
        <v>y</v>
      </c>
      <c r="I262" t="str">
        <f>'Rules-Platform'!T263</f>
        <v>y</v>
      </c>
      <c r="J262" t="str">
        <f>'Rules-Platform'!U263</f>
        <v>y</v>
      </c>
      <c r="K262" t="str">
        <f>'Rules-Platform'!V263</f>
        <v>y</v>
      </c>
      <c r="L262" s="15" t="str">
        <f>'Rules-Platform'!W263</f>
        <v>n</v>
      </c>
      <c r="M262" t="str">
        <f>'Rules-Platform'!X263</f>
        <v>n</v>
      </c>
      <c r="N262" t="str">
        <f>'Rules-Platform'!Y263</f>
        <v>n</v>
      </c>
      <c r="O262" t="str">
        <f>'Rules-Platform'!Z263</f>
        <v>n</v>
      </c>
      <c r="P262" t="str">
        <f>'Rules-Platform'!AA263</f>
        <v>n</v>
      </c>
    </row>
    <row r="263" spans="1:16">
      <c r="A263">
        <f>'Rules-Platform'!C264</f>
        <v>652</v>
      </c>
      <c r="B263" t="str">
        <f>'Rules-Platform'!D264</f>
        <v>AT-x540L-28XS</v>
      </c>
      <c r="D263" t="str">
        <f>'Rules-Platform'!O264</f>
        <v>port1.0.1-1.0.28</v>
      </c>
      <c r="E263" t="str">
        <f>'Rules-Platform'!P264</f>
        <v>10G Uplink</v>
      </c>
      <c r="F263" t="str">
        <f>'Rules-Platform'!Q264</f>
        <v>n</v>
      </c>
      <c r="G263" t="str">
        <f>'Rules-Platform'!R264</f>
        <v>n</v>
      </c>
      <c r="H263" t="str">
        <f>'Rules-Platform'!S264</f>
        <v>y</v>
      </c>
      <c r="I263" t="str">
        <f>'Rules-Platform'!T264</f>
        <v>n</v>
      </c>
      <c r="J263" t="str">
        <f>'Rules-Platform'!U264</f>
        <v>n</v>
      </c>
      <c r="K263" t="str">
        <f>'Rules-Platform'!V264</f>
        <v>y</v>
      </c>
      <c r="L263" s="15" t="str">
        <f>'Rules-Platform'!W264</f>
        <v>n</v>
      </c>
      <c r="M263" t="str">
        <f>'Rules-Platform'!X264</f>
        <v>n</v>
      </c>
      <c r="N263" t="str">
        <f>'Rules-Platform'!Y264</f>
        <v>n</v>
      </c>
      <c r="O263" t="str">
        <f>'Rules-Platform'!Z264</f>
        <v>n</v>
      </c>
      <c r="P263" t="str">
        <f>'Rules-Platform'!AA264</f>
        <v>n</v>
      </c>
    </row>
    <row r="264" spans="1:16">
      <c r="A264">
        <f>'Rules-Platform'!C265</f>
        <v>0</v>
      </c>
      <c r="B264" t="str">
        <f>'Rules-Platform'!D265</f>
        <v>AT-x540L-52XSTm</v>
      </c>
      <c r="D264">
        <f>'Rules-Platform'!O265</f>
        <v>0</v>
      </c>
      <c r="E264">
        <f>'Rules-Platform'!P265</f>
        <v>0</v>
      </c>
      <c r="F264">
        <f>'Rules-Platform'!Q265</f>
        <v>0</v>
      </c>
      <c r="G264">
        <f>'Rules-Platform'!R265</f>
        <v>0</v>
      </c>
      <c r="H264">
        <f>'Rules-Platform'!S265</f>
        <v>0</v>
      </c>
      <c r="I264" t="str">
        <f>'Rules-Platform'!T265</f>
        <v>n</v>
      </c>
      <c r="J264" t="str">
        <f>'Rules-Platform'!U265</f>
        <v>n</v>
      </c>
      <c r="K264">
        <f>'Rules-Platform'!V265</f>
        <v>0</v>
      </c>
      <c r="L264" s="15" t="str">
        <f>'Rules-Platform'!W265</f>
        <v>n</v>
      </c>
      <c r="M264">
        <f>'Rules-Platform'!X265</f>
        <v>0</v>
      </c>
      <c r="N264">
        <f>'Rules-Platform'!Y265</f>
        <v>0</v>
      </c>
      <c r="O264">
        <f>'Rules-Platform'!Z265</f>
        <v>0</v>
      </c>
      <c r="P264">
        <f>'Rules-Platform'!AA265</f>
        <v>0</v>
      </c>
    </row>
    <row r="265" spans="1:16">
      <c r="A265">
        <f>'Rules-Platform'!C266</f>
        <v>666</v>
      </c>
      <c r="B265" t="str">
        <f>'Rules-Platform'!D266</f>
        <v>AT-SE540L-28XHm</v>
      </c>
      <c r="D265" t="str">
        <f>'Rules-Platform'!O266</f>
        <v>port1.0.25-1.0.28</v>
      </c>
      <c r="E265" t="str">
        <f>'Rules-Platform'!P266</f>
        <v>10G Uplink</v>
      </c>
      <c r="F265" t="str">
        <f>'Rules-Platform'!Q266</f>
        <v>n</v>
      </c>
      <c r="G265" t="str">
        <f>'Rules-Platform'!R266</f>
        <v>n</v>
      </c>
      <c r="H265" t="str">
        <f>'Rules-Platform'!S266</f>
        <v>y</v>
      </c>
      <c r="I265" t="str">
        <f>'Rules-Platform'!T266</f>
        <v>n</v>
      </c>
      <c r="J265" t="str">
        <f>'Rules-Platform'!U266</f>
        <v>n</v>
      </c>
      <c r="K265" t="str">
        <f>'Rules-Platform'!V266</f>
        <v>y</v>
      </c>
      <c r="L265" s="15" t="str">
        <f>'Rules-Platform'!W266</f>
        <v>n</v>
      </c>
      <c r="M265" t="str">
        <f>'Rules-Platform'!X266</f>
        <v>n</v>
      </c>
      <c r="N265" t="str">
        <f>'Rules-Platform'!Y266</f>
        <v>n</v>
      </c>
      <c r="O265" t="str">
        <f>'Rules-Platform'!Z266</f>
        <v>n</v>
      </c>
      <c r="P265" t="str">
        <f>'Rules-Platform'!AA266</f>
        <v>n</v>
      </c>
    </row>
    <row r="266" spans="1:16">
      <c r="A266">
        <f>'Rules-Platform'!C267</f>
        <v>649</v>
      </c>
      <c r="B266" t="str">
        <f>'Rules-Platform'!D267</f>
        <v>AT-SE540L-28XTm</v>
      </c>
      <c r="D266" t="str">
        <f>'Rules-Platform'!O267</f>
        <v>port1.0.25-1.0.28</v>
      </c>
      <c r="E266" t="str">
        <f>'Rules-Platform'!P267</f>
        <v>10G Uplink</v>
      </c>
      <c r="F266" t="str">
        <f>'Rules-Platform'!Q267</f>
        <v>n</v>
      </c>
      <c r="G266" t="str">
        <f>'Rules-Platform'!R267</f>
        <v>n</v>
      </c>
      <c r="H266" t="str">
        <f>'Rules-Platform'!S267</f>
        <v>y</v>
      </c>
      <c r="I266" t="str">
        <f>'Rules-Platform'!T267</f>
        <v>n</v>
      </c>
      <c r="J266" t="str">
        <f>'Rules-Platform'!U267</f>
        <v>n</v>
      </c>
      <c r="K266" t="str">
        <f>'Rules-Platform'!V267</f>
        <v>y</v>
      </c>
      <c r="L266" s="15" t="str">
        <f>'Rules-Platform'!W267</f>
        <v>n</v>
      </c>
      <c r="M266" t="str">
        <f>'Rules-Platform'!X267</f>
        <v>n</v>
      </c>
      <c r="N266" t="str">
        <f>'Rules-Platform'!Y267</f>
        <v>n</v>
      </c>
      <c r="O266" t="str">
        <f>'Rules-Platform'!Z267</f>
        <v>n</v>
      </c>
      <c r="P266" t="str">
        <f>'Rules-Platform'!AA267</f>
        <v>n</v>
      </c>
    </row>
    <row r="267" spans="1:16">
      <c r="A267">
        <f>'Rules-Platform'!C268</f>
        <v>0</v>
      </c>
      <c r="B267" t="str">
        <f>'Rules-Platform'!D268</f>
        <v>AT-SE540L-52XHm</v>
      </c>
      <c r="D267">
        <f>'Rules-Platform'!O268</f>
        <v>0</v>
      </c>
      <c r="E267">
        <f>'Rules-Platform'!P268</f>
        <v>0</v>
      </c>
      <c r="F267">
        <f>'Rules-Platform'!Q268</f>
        <v>0</v>
      </c>
      <c r="G267">
        <f>'Rules-Platform'!R268</f>
        <v>0</v>
      </c>
      <c r="H267">
        <f>'Rules-Platform'!S268</f>
        <v>0</v>
      </c>
      <c r="I267" t="str">
        <f>'Rules-Platform'!T268</f>
        <v>n</v>
      </c>
      <c r="J267" t="str">
        <f>'Rules-Platform'!U268</f>
        <v>n</v>
      </c>
      <c r="K267">
        <f>'Rules-Platform'!V268</f>
        <v>0</v>
      </c>
      <c r="L267" s="15" t="str">
        <f>'Rules-Platform'!W268</f>
        <v>n</v>
      </c>
      <c r="M267">
        <f>'Rules-Platform'!X268</f>
        <v>0</v>
      </c>
      <c r="N267">
        <f>'Rules-Platform'!Y268</f>
        <v>0</v>
      </c>
      <c r="O267">
        <f>'Rules-Platform'!Z268</f>
        <v>0</v>
      </c>
      <c r="P267">
        <f>'Rules-Platform'!AA268</f>
        <v>0</v>
      </c>
    </row>
    <row r="268" spans="1:16">
      <c r="A268">
        <f>'Rules-Platform'!C269</f>
        <v>0</v>
      </c>
      <c r="B268" t="str">
        <f>'Rules-Platform'!D269</f>
        <v>AT-SE540L-52XTm</v>
      </c>
      <c r="D268">
        <f>'Rules-Platform'!O269</f>
        <v>0</v>
      </c>
      <c r="E268">
        <f>'Rules-Platform'!P269</f>
        <v>0</v>
      </c>
      <c r="F268">
        <f>'Rules-Platform'!Q269</f>
        <v>0</v>
      </c>
      <c r="G268">
        <f>'Rules-Platform'!R269</f>
        <v>0</v>
      </c>
      <c r="H268">
        <f>'Rules-Platform'!S269</f>
        <v>0</v>
      </c>
      <c r="I268" t="str">
        <f>'Rules-Platform'!T269</f>
        <v>n</v>
      </c>
      <c r="J268" t="str">
        <f>'Rules-Platform'!U269</f>
        <v>n</v>
      </c>
      <c r="K268">
        <f>'Rules-Platform'!V269</f>
        <v>0</v>
      </c>
      <c r="L268" s="15" t="str">
        <f>'Rules-Platform'!W269</f>
        <v>n</v>
      </c>
      <c r="M268">
        <f>'Rules-Platform'!X269</f>
        <v>0</v>
      </c>
      <c r="N268">
        <f>'Rules-Platform'!Y269</f>
        <v>0</v>
      </c>
      <c r="O268">
        <f>'Rules-Platform'!Z269</f>
        <v>0</v>
      </c>
      <c r="P268">
        <f>'Rules-Platform'!AA269</f>
        <v>0</v>
      </c>
    </row>
    <row r="269" spans="1:16">
      <c r="A269">
        <f>'Rules-Platform'!C270</f>
        <v>653</v>
      </c>
      <c r="B269" t="str">
        <f>'Rules-Platform'!D270</f>
        <v>AT-SE540L-28XS</v>
      </c>
      <c r="D269" t="str">
        <f>'Rules-Platform'!O270</f>
        <v>port1.0.1-1.0.28</v>
      </c>
      <c r="E269" t="str">
        <f>'Rules-Platform'!P270</f>
        <v>10G Uplink</v>
      </c>
      <c r="F269" t="str">
        <f>'Rules-Platform'!Q270</f>
        <v>n</v>
      </c>
      <c r="G269" t="str">
        <f>'Rules-Platform'!R270</f>
        <v>n</v>
      </c>
      <c r="H269" t="str">
        <f>'Rules-Platform'!S270</f>
        <v>y</v>
      </c>
      <c r="I269" t="str">
        <f>'Rules-Platform'!T270</f>
        <v>n</v>
      </c>
      <c r="J269" t="str">
        <f>'Rules-Platform'!U270</f>
        <v>n</v>
      </c>
      <c r="K269" t="str">
        <f>'Rules-Platform'!V270</f>
        <v>y</v>
      </c>
      <c r="L269" s="15" t="str">
        <f>'Rules-Platform'!W270</f>
        <v>n</v>
      </c>
      <c r="M269" t="str">
        <f>'Rules-Platform'!X270</f>
        <v>n</v>
      </c>
      <c r="N269" t="str">
        <f>'Rules-Platform'!Y270</f>
        <v>n</v>
      </c>
      <c r="O269" t="str">
        <f>'Rules-Platform'!Z270</f>
        <v>n</v>
      </c>
      <c r="P269" t="str">
        <f>'Rules-Platform'!AA270</f>
        <v>n</v>
      </c>
    </row>
    <row r="270" spans="1:16">
      <c r="A270">
        <f>'Rules-Platform'!C271</f>
        <v>0</v>
      </c>
      <c r="B270" t="str">
        <f>'Rules-Platform'!D271</f>
        <v>AT-SE540L-52XSTm</v>
      </c>
      <c r="D270">
        <f>'Rules-Platform'!O271</f>
        <v>0</v>
      </c>
      <c r="E270">
        <f>'Rules-Platform'!P271</f>
        <v>0</v>
      </c>
      <c r="F270">
        <f>'Rules-Platform'!Q271</f>
        <v>0</v>
      </c>
      <c r="G270">
        <f>'Rules-Platform'!R271</f>
        <v>0</v>
      </c>
      <c r="H270">
        <f>'Rules-Platform'!S271</f>
        <v>0</v>
      </c>
      <c r="I270" t="str">
        <f>'Rules-Platform'!T271</f>
        <v>n</v>
      </c>
      <c r="J270" t="str">
        <f>'Rules-Platform'!U271</f>
        <v>n</v>
      </c>
      <c r="K270">
        <f>'Rules-Platform'!V271</f>
        <v>0</v>
      </c>
      <c r="L270" s="15" t="str">
        <f>'Rules-Platform'!W271</f>
        <v>n</v>
      </c>
      <c r="M270">
        <f>'Rules-Platform'!X271</f>
        <v>0</v>
      </c>
      <c r="N270">
        <f>'Rules-Platform'!Y271</f>
        <v>0</v>
      </c>
      <c r="O270">
        <f>'Rules-Platform'!Z271</f>
        <v>0</v>
      </c>
      <c r="P270">
        <f>'Rules-Platform'!AA271</f>
        <v>0</v>
      </c>
    </row>
    <row r="271" spans="1:16">
      <c r="A271">
        <f>'Rules-Platform'!C272</f>
        <v>0</v>
      </c>
      <c r="B271" t="str">
        <f>'Rules-Platform'!D272</f>
        <v>AT-x250-10XTm</v>
      </c>
      <c r="D271" t="str">
        <f>'Rules-Platform'!O272</f>
        <v>port1.0.9-1.0.10</v>
      </c>
      <c r="E271">
        <f>'Rules-Platform'!P272</f>
        <v>0</v>
      </c>
      <c r="F271" t="str">
        <f>'Rules-Platform'!Q272</f>
        <v>n</v>
      </c>
      <c r="G271" t="str">
        <f>'Rules-Platform'!R272</f>
        <v>n</v>
      </c>
      <c r="H271" t="str">
        <f>'Rules-Platform'!S272</f>
        <v>y</v>
      </c>
      <c r="I271" t="str">
        <f>'Rules-Platform'!T272</f>
        <v>n</v>
      </c>
      <c r="J271" t="str">
        <f>'Rules-Platform'!U272</f>
        <v>n</v>
      </c>
      <c r="K271" t="str">
        <f>'Rules-Platform'!V272</f>
        <v>y</v>
      </c>
      <c r="L271" s="15" t="str">
        <f>'Rules-Platform'!W272</f>
        <v>n</v>
      </c>
      <c r="M271" t="str">
        <f>'Rules-Platform'!X272</f>
        <v>n</v>
      </c>
      <c r="N271" t="str">
        <f>'Rules-Platform'!Y272</f>
        <v>n</v>
      </c>
      <c r="O271" t="str">
        <f>'Rules-Platform'!Z272</f>
        <v>n</v>
      </c>
      <c r="P271" t="str">
        <f>'Rules-Platform'!AA272</f>
        <v>n</v>
      </c>
    </row>
    <row r="272" spans="1:16">
      <c r="A272">
        <f>'Rules-Platform'!C273</f>
        <v>640</v>
      </c>
      <c r="B272" t="str">
        <f>'Rules-Platform'!D273</f>
        <v>AT-x250-18XTm</v>
      </c>
      <c r="D272" t="str">
        <f>'Rules-Platform'!O273</f>
        <v>port1.0.17-1.0.18</v>
      </c>
      <c r="E272" t="str">
        <f>'Rules-Platform'!P273</f>
        <v>10G Uplink</v>
      </c>
      <c r="F272" t="str">
        <f>'Rules-Platform'!Q273</f>
        <v>n</v>
      </c>
      <c r="G272" t="str">
        <f>'Rules-Platform'!R273</f>
        <v>n</v>
      </c>
      <c r="H272" t="str">
        <f>'Rules-Platform'!S273</f>
        <v>y</v>
      </c>
      <c r="I272" t="str">
        <f>'Rules-Platform'!T273</f>
        <v>n</v>
      </c>
      <c r="J272" t="str">
        <f>'Rules-Platform'!U273</f>
        <v>n</v>
      </c>
      <c r="K272" t="str">
        <f>'Rules-Platform'!V273</f>
        <v>y</v>
      </c>
      <c r="L272" s="15" t="str">
        <f>'Rules-Platform'!W273</f>
        <v>n</v>
      </c>
      <c r="M272" t="str">
        <f>'Rules-Platform'!X273</f>
        <v>n</v>
      </c>
      <c r="N272" t="str">
        <f>'Rules-Platform'!Y273</f>
        <v>n</v>
      </c>
      <c r="O272" t="str">
        <f>'Rules-Platform'!Z273</f>
        <v>n</v>
      </c>
      <c r="P272" t="str">
        <f>'Rules-Platform'!AA273</f>
        <v>n</v>
      </c>
    </row>
    <row r="273" spans="1:16">
      <c r="A273">
        <f>'Rules-Platform'!C274</f>
        <v>632</v>
      </c>
      <c r="B273" t="str">
        <f>'Rules-Platform'!D274</f>
        <v>AT-x250-28XTm</v>
      </c>
      <c r="D273" t="str">
        <f>'Rules-Platform'!O274</f>
        <v>port1.0.25-1.0.28</v>
      </c>
      <c r="E273" t="str">
        <f>'Rules-Platform'!P274</f>
        <v>10G Uplink</v>
      </c>
      <c r="F273" t="str">
        <f>'Rules-Platform'!Q274</f>
        <v>n</v>
      </c>
      <c r="G273" t="str">
        <f>'Rules-Platform'!R274</f>
        <v>n</v>
      </c>
      <c r="H273" t="str">
        <f>'Rules-Platform'!S274</f>
        <v>y</v>
      </c>
      <c r="I273" t="str">
        <f>'Rules-Platform'!T274</f>
        <v>n</v>
      </c>
      <c r="J273" t="str">
        <f>'Rules-Platform'!U274</f>
        <v>n</v>
      </c>
      <c r="K273" t="str">
        <f>'Rules-Platform'!V274</f>
        <v>y</v>
      </c>
      <c r="L273" s="15" t="str">
        <f>'Rules-Platform'!W274</f>
        <v>n</v>
      </c>
      <c r="M273" t="str">
        <f>'Rules-Platform'!X274</f>
        <v>n</v>
      </c>
      <c r="N273" t="str">
        <f>'Rules-Platform'!Y274</f>
        <v>n</v>
      </c>
      <c r="O273" t="str">
        <f>'Rules-Platform'!Z274</f>
        <v>n</v>
      </c>
      <c r="P273" t="str">
        <f>'Rules-Platform'!AA274</f>
        <v>n</v>
      </c>
    </row>
    <row r="274" spans="1:16">
      <c r="A274">
        <f>'Rules-Platform'!C275</f>
        <v>669</v>
      </c>
      <c r="B274" t="str">
        <f>'Rules-Platform'!D275</f>
        <v>AT-x250-52XTm</v>
      </c>
      <c r="D274" t="str">
        <f>'Rules-Platform'!O275</f>
        <v>port1.0.49-1.0.52</v>
      </c>
      <c r="E274" t="str">
        <f>'Rules-Platform'!P275</f>
        <v>10G Uplink</v>
      </c>
      <c r="F274" t="str">
        <f>'Rules-Platform'!Q275</f>
        <v>n</v>
      </c>
      <c r="G274" t="str">
        <f>'Rules-Platform'!R275</f>
        <v>n</v>
      </c>
      <c r="H274" t="str">
        <f>'Rules-Platform'!S275</f>
        <v>y</v>
      </c>
      <c r="I274" t="str">
        <f>'Rules-Platform'!T275</f>
        <v>y</v>
      </c>
      <c r="J274" t="str">
        <f>'Rules-Platform'!U275</f>
        <v>y</v>
      </c>
      <c r="K274" t="str">
        <f>'Rules-Platform'!V275</f>
        <v>y</v>
      </c>
      <c r="L274" s="15" t="str">
        <f>'Rules-Platform'!W275</f>
        <v>n</v>
      </c>
      <c r="M274" t="str">
        <f>'Rules-Platform'!X275</f>
        <v>n</v>
      </c>
      <c r="N274" t="str">
        <f>'Rules-Platform'!Y275</f>
        <v>n</v>
      </c>
      <c r="O274" t="str">
        <f>'Rules-Platform'!Z275</f>
        <v>n</v>
      </c>
      <c r="P274" t="str">
        <f>'Rules-Platform'!AA275</f>
        <v>n</v>
      </c>
    </row>
    <row r="275" spans="1:16">
      <c r="A275">
        <f>'Rules-Platform'!C276</f>
        <v>644</v>
      </c>
      <c r="B275" t="str">
        <f>'Rules-Platform'!D276</f>
        <v>AT-x250-18XS</v>
      </c>
      <c r="D275" t="str">
        <f>'Rules-Platform'!O276</f>
        <v>port1.0.1-1.0.18</v>
      </c>
      <c r="E275" t="str">
        <f>'Rules-Platform'!P276</f>
        <v>10G Uplink</v>
      </c>
      <c r="F275" t="str">
        <f>'Rules-Platform'!Q276</f>
        <v>n</v>
      </c>
      <c r="G275" t="str">
        <f>'Rules-Platform'!R276</f>
        <v>n</v>
      </c>
      <c r="H275" t="str">
        <f>'Rules-Platform'!S276</f>
        <v>y</v>
      </c>
      <c r="I275" t="str">
        <f>'Rules-Platform'!T276</f>
        <v>n</v>
      </c>
      <c r="J275" t="str">
        <f>'Rules-Platform'!U276</f>
        <v>n</v>
      </c>
      <c r="K275" t="str">
        <f>'Rules-Platform'!V276</f>
        <v>y</v>
      </c>
      <c r="L275" s="15" t="str">
        <f>'Rules-Platform'!W276</f>
        <v>n</v>
      </c>
      <c r="M275" t="str">
        <f>'Rules-Platform'!X276</f>
        <v>n</v>
      </c>
      <c r="N275" t="str">
        <f>'Rules-Platform'!Y276</f>
        <v>n</v>
      </c>
      <c r="O275" t="str">
        <f>'Rules-Platform'!Z276</f>
        <v>n</v>
      </c>
      <c r="P275" t="str">
        <f>'Rules-Platform'!AA276</f>
        <v>n</v>
      </c>
    </row>
    <row r="276" spans="1:16">
      <c r="A276">
        <f>'Rules-Platform'!C277</f>
        <v>650</v>
      </c>
      <c r="B276" t="str">
        <f>'Rules-Platform'!D277</f>
        <v>AT-x250-28XS</v>
      </c>
      <c r="D276" t="str">
        <f>'Rules-Platform'!O277</f>
        <v>port1.0.1-1.0.28</v>
      </c>
      <c r="E276" t="str">
        <f>'Rules-Platform'!P277</f>
        <v>10G Uplink</v>
      </c>
      <c r="F276" t="str">
        <f>'Rules-Platform'!Q277</f>
        <v>n</v>
      </c>
      <c r="G276" t="str">
        <f>'Rules-Platform'!R277</f>
        <v>n</v>
      </c>
      <c r="H276" t="str">
        <f>'Rules-Platform'!S277</f>
        <v>y</v>
      </c>
      <c r="I276" t="str">
        <f>'Rules-Platform'!T277</f>
        <v>n</v>
      </c>
      <c r="J276" t="str">
        <f>'Rules-Platform'!U277</f>
        <v>n</v>
      </c>
      <c r="K276" t="str">
        <f>'Rules-Platform'!V277</f>
        <v>y</v>
      </c>
      <c r="L276" s="15" t="str">
        <f>'Rules-Platform'!W277</f>
        <v>n</v>
      </c>
      <c r="M276" t="str">
        <f>'Rules-Platform'!X277</f>
        <v>n</v>
      </c>
      <c r="N276" t="str">
        <f>'Rules-Platform'!Y277</f>
        <v>n</v>
      </c>
      <c r="O276" t="str">
        <f>'Rules-Platform'!Z277</f>
        <v>n</v>
      </c>
      <c r="P276" t="str">
        <f>'Rules-Platform'!AA277</f>
        <v>n</v>
      </c>
    </row>
    <row r="277" spans="1:16">
      <c r="A277">
        <f>'Rules-Platform'!C278</f>
        <v>0</v>
      </c>
      <c r="B277" t="str">
        <f>'Rules-Platform'!D278</f>
        <v>AT-x250-52XSTm</v>
      </c>
      <c r="D277">
        <f>'Rules-Platform'!O278</f>
        <v>0</v>
      </c>
      <c r="E277">
        <f>'Rules-Platform'!P278</f>
        <v>0</v>
      </c>
      <c r="F277" t="str">
        <f>'Rules-Platform'!Q278</f>
        <v>n</v>
      </c>
      <c r="G277" t="str">
        <f>'Rules-Platform'!R278</f>
        <v>n</v>
      </c>
      <c r="H277" t="str">
        <f>'Rules-Platform'!S278</f>
        <v>y</v>
      </c>
      <c r="I277" t="str">
        <f>'Rules-Platform'!T278</f>
        <v>n</v>
      </c>
      <c r="J277" t="str">
        <f>'Rules-Platform'!U278</f>
        <v>n</v>
      </c>
      <c r="K277" t="str">
        <f>'Rules-Platform'!V278</f>
        <v>y</v>
      </c>
      <c r="L277" s="15" t="str">
        <f>'Rules-Platform'!W278</f>
        <v>n</v>
      </c>
      <c r="M277" t="str">
        <f>'Rules-Platform'!X278</f>
        <v>n</v>
      </c>
      <c r="N277" t="str">
        <f>'Rules-Platform'!Y278</f>
        <v>n</v>
      </c>
      <c r="O277" t="str">
        <f>'Rules-Platform'!Z278</f>
        <v>n</v>
      </c>
      <c r="P277" t="str">
        <f>'Rules-Platform'!AA278</f>
        <v>n</v>
      </c>
    </row>
    <row r="278" spans="1:16">
      <c r="A278">
        <f>'Rules-Platform'!C279</f>
        <v>663</v>
      </c>
      <c r="B278" t="str">
        <f>'Rules-Platform'!D279</f>
        <v>AT-x250-28XHm</v>
      </c>
      <c r="D278" t="str">
        <f>'Rules-Platform'!O279</f>
        <v>port1.0.1-1.0.28</v>
      </c>
      <c r="E278" t="str">
        <f>'Rules-Platform'!P279</f>
        <v>10G Uplink</v>
      </c>
      <c r="F278" t="str">
        <f>'Rules-Platform'!Q279</f>
        <v>n</v>
      </c>
      <c r="G278" t="str">
        <f>'Rules-Platform'!R279</f>
        <v>n</v>
      </c>
      <c r="H278" t="str">
        <f>'Rules-Platform'!S279</f>
        <v>y</v>
      </c>
      <c r="I278" t="str">
        <f>'Rules-Platform'!T279</f>
        <v>n</v>
      </c>
      <c r="J278" t="str">
        <f>'Rules-Platform'!U279</f>
        <v>n</v>
      </c>
      <c r="K278" t="str">
        <f>'Rules-Platform'!V279</f>
        <v>y</v>
      </c>
      <c r="L278" s="15" t="str">
        <f>'Rules-Platform'!W279</f>
        <v>n</v>
      </c>
      <c r="M278" t="str">
        <f>'Rules-Platform'!X279</f>
        <v>n</v>
      </c>
      <c r="N278" t="str">
        <f>'Rules-Platform'!Y279</f>
        <v>n</v>
      </c>
      <c r="O278" t="str">
        <f>'Rules-Platform'!Z279</f>
        <v>n</v>
      </c>
      <c r="P278" t="str">
        <f>'Rules-Platform'!AA279</f>
        <v>n</v>
      </c>
    </row>
    <row r="279" spans="1:16">
      <c r="A279">
        <f>'Rules-Platform'!C280</f>
        <v>673</v>
      </c>
      <c r="B279" t="str">
        <f>'Rules-Platform'!D280</f>
        <v>AT-x250-52XHm</v>
      </c>
      <c r="D279" t="str">
        <f>'Rules-Platform'!O280</f>
        <v>port1.0.49-1.0.52</v>
      </c>
      <c r="E279" t="str">
        <f>'Rules-Platform'!P280</f>
        <v>10G Uplink</v>
      </c>
      <c r="F279" t="str">
        <f>'Rules-Platform'!Q280</f>
        <v>n</v>
      </c>
      <c r="G279" t="str">
        <f>'Rules-Platform'!R280</f>
        <v>n</v>
      </c>
      <c r="H279" t="str">
        <f>'Rules-Platform'!S280</f>
        <v>y</v>
      </c>
      <c r="I279" t="str">
        <f>'Rules-Platform'!T280</f>
        <v>y</v>
      </c>
      <c r="J279" t="str">
        <f>'Rules-Platform'!U280</f>
        <v>y</v>
      </c>
      <c r="K279" t="str">
        <f>'Rules-Platform'!V280</f>
        <v>y</v>
      </c>
      <c r="L279" s="15" t="str">
        <f>'Rules-Platform'!W280</f>
        <v>n</v>
      </c>
      <c r="M279" t="str">
        <f>'Rules-Platform'!X280</f>
        <v>n</v>
      </c>
      <c r="N279" t="str">
        <f>'Rules-Platform'!Y280</f>
        <v>n</v>
      </c>
      <c r="O279" t="str">
        <f>'Rules-Platform'!Z280</f>
        <v>n</v>
      </c>
      <c r="P279" t="str">
        <f>'Rules-Platform'!AA280</f>
        <v>n</v>
      </c>
    </row>
    <row r="280" spans="1:16">
      <c r="A280">
        <f>'Rules-Platform'!C281</f>
        <v>0</v>
      </c>
      <c r="B280" t="str">
        <f>'Rules-Platform'!D281</f>
        <v>AT-SE250-10XTm</v>
      </c>
      <c r="D280">
        <f>'Rules-Platform'!O281</f>
        <v>0</v>
      </c>
      <c r="E280">
        <f>'Rules-Platform'!P281</f>
        <v>0</v>
      </c>
      <c r="F280" t="str">
        <f>'Rules-Platform'!Q281</f>
        <v>n</v>
      </c>
      <c r="G280" t="str">
        <f>'Rules-Platform'!R281</f>
        <v>n</v>
      </c>
      <c r="H280" t="str">
        <f>'Rules-Platform'!S281</f>
        <v>y</v>
      </c>
      <c r="I280" t="str">
        <f>'Rules-Platform'!T281</f>
        <v>n</v>
      </c>
      <c r="J280" t="str">
        <f>'Rules-Platform'!U281</f>
        <v>n</v>
      </c>
      <c r="K280" t="str">
        <f>'Rules-Platform'!V281</f>
        <v>y</v>
      </c>
      <c r="L280" s="15" t="str">
        <f>'Rules-Platform'!W281</f>
        <v>n</v>
      </c>
      <c r="M280" t="str">
        <f>'Rules-Platform'!X281</f>
        <v>n</v>
      </c>
      <c r="N280" t="str">
        <f>'Rules-Platform'!Y281</f>
        <v>n</v>
      </c>
      <c r="O280" t="str">
        <f>'Rules-Platform'!Z281</f>
        <v>n</v>
      </c>
      <c r="P280" t="str">
        <f>'Rules-Platform'!AA281</f>
        <v>n</v>
      </c>
    </row>
    <row r="281" spans="1:16">
      <c r="A281">
        <f>'Rules-Platform'!C282</f>
        <v>641</v>
      </c>
      <c r="B281" t="str">
        <f>'Rules-Platform'!D282</f>
        <v>AT-SE250-18XTm</v>
      </c>
      <c r="D281">
        <f>'Rules-Platform'!O282</f>
        <v>0</v>
      </c>
      <c r="E281">
        <f>'Rules-Platform'!P282</f>
        <v>0</v>
      </c>
      <c r="F281" t="str">
        <f>'Rules-Platform'!Q282</f>
        <v>n</v>
      </c>
      <c r="G281" t="str">
        <f>'Rules-Platform'!R282</f>
        <v>n</v>
      </c>
      <c r="H281" t="str">
        <f>'Rules-Platform'!S282</f>
        <v>y</v>
      </c>
      <c r="I281" t="str">
        <f>'Rules-Platform'!T282</f>
        <v>n</v>
      </c>
      <c r="J281" t="str">
        <f>'Rules-Platform'!U282</f>
        <v>n</v>
      </c>
      <c r="K281" t="str">
        <f>'Rules-Platform'!V282</f>
        <v>y</v>
      </c>
      <c r="L281" s="15" t="str">
        <f>'Rules-Platform'!W282</f>
        <v>n</v>
      </c>
      <c r="M281" t="str">
        <f>'Rules-Platform'!X282</f>
        <v>n</v>
      </c>
      <c r="N281" t="str">
        <f>'Rules-Platform'!Y282</f>
        <v>n</v>
      </c>
      <c r="O281" t="str">
        <f>'Rules-Platform'!Z282</f>
        <v>n</v>
      </c>
      <c r="P281" t="str">
        <f>'Rules-Platform'!AA282</f>
        <v>n</v>
      </c>
    </row>
    <row r="282" spans="1:16">
      <c r="A282">
        <f>'Rules-Platform'!C283</f>
        <v>633</v>
      </c>
      <c r="B282" t="str">
        <f>'Rules-Platform'!D283</f>
        <v>AT-SE250-28XTm</v>
      </c>
      <c r="D282" t="str">
        <f>'Rules-Platform'!O283</f>
        <v>port1.0.25-1.0.28</v>
      </c>
      <c r="E282" t="str">
        <f>'Rules-Platform'!P283</f>
        <v>10G Uplink</v>
      </c>
      <c r="F282" t="str">
        <f>'Rules-Platform'!Q283</f>
        <v>n</v>
      </c>
      <c r="G282" t="str">
        <f>'Rules-Platform'!R283</f>
        <v>n</v>
      </c>
      <c r="H282" t="str">
        <f>'Rules-Platform'!S283</f>
        <v>y</v>
      </c>
      <c r="I282" t="str">
        <f>'Rules-Platform'!T283</f>
        <v>n</v>
      </c>
      <c r="J282" t="str">
        <f>'Rules-Platform'!U283</f>
        <v>n</v>
      </c>
      <c r="K282" t="str">
        <f>'Rules-Platform'!V283</f>
        <v>y</v>
      </c>
      <c r="L282" s="15" t="str">
        <f>'Rules-Platform'!W283</f>
        <v>n</v>
      </c>
      <c r="M282" t="str">
        <f>'Rules-Platform'!X283</f>
        <v>n</v>
      </c>
      <c r="N282" t="str">
        <f>'Rules-Platform'!Y283</f>
        <v>n</v>
      </c>
      <c r="O282" t="str">
        <f>'Rules-Platform'!Z283</f>
        <v>n</v>
      </c>
      <c r="P282" t="str">
        <f>'Rules-Platform'!AA283</f>
        <v>n</v>
      </c>
    </row>
    <row r="283" spans="1:16">
      <c r="A283">
        <f>'Rules-Platform'!C284</f>
        <v>0</v>
      </c>
      <c r="B283" t="str">
        <f>'Rules-Platform'!D284</f>
        <v>AT-SE250-52XTm</v>
      </c>
      <c r="D283">
        <f>'Rules-Platform'!O284</f>
        <v>0</v>
      </c>
      <c r="E283">
        <f>'Rules-Platform'!P284</f>
        <v>0</v>
      </c>
      <c r="F283" t="str">
        <f>'Rules-Platform'!Q284</f>
        <v>n</v>
      </c>
      <c r="G283" t="str">
        <f>'Rules-Platform'!R284</f>
        <v>n</v>
      </c>
      <c r="H283" t="str">
        <f>'Rules-Platform'!S284</f>
        <v>y</v>
      </c>
      <c r="I283" t="str">
        <f>'Rules-Platform'!T284</f>
        <v>n</v>
      </c>
      <c r="J283" t="str">
        <f>'Rules-Platform'!U284</f>
        <v>n</v>
      </c>
      <c r="K283" t="str">
        <f>'Rules-Platform'!V284</f>
        <v>y</v>
      </c>
      <c r="L283" s="15" t="str">
        <f>'Rules-Platform'!W284</f>
        <v>n</v>
      </c>
      <c r="M283" t="str">
        <f>'Rules-Platform'!X284</f>
        <v>n</v>
      </c>
      <c r="N283" t="str">
        <f>'Rules-Platform'!Y284</f>
        <v>n</v>
      </c>
      <c r="O283" t="str">
        <f>'Rules-Platform'!Z284</f>
        <v>n</v>
      </c>
      <c r="P283" t="str">
        <f>'Rules-Platform'!AA284</f>
        <v>n</v>
      </c>
    </row>
    <row r="284" spans="1:16">
      <c r="A284">
        <f>'Rules-Platform'!C285</f>
        <v>645</v>
      </c>
      <c r="B284" t="str">
        <f>'Rules-Platform'!D285</f>
        <v>AT-SE250-18XS</v>
      </c>
      <c r="D284" t="str">
        <f>'Rules-Platform'!O285</f>
        <v>port1.0.1-1.0.18</v>
      </c>
      <c r="E284" t="str">
        <f>'Rules-Platform'!P285</f>
        <v>10G Uplink</v>
      </c>
      <c r="F284" t="str">
        <f>'Rules-Platform'!Q285</f>
        <v>n</v>
      </c>
      <c r="G284" t="str">
        <f>'Rules-Platform'!R285</f>
        <v>n</v>
      </c>
      <c r="H284" t="str">
        <f>'Rules-Platform'!S285</f>
        <v>y</v>
      </c>
      <c r="I284" t="str">
        <f>'Rules-Platform'!T285</f>
        <v>n</v>
      </c>
      <c r="J284" t="str">
        <f>'Rules-Platform'!U285</f>
        <v>n</v>
      </c>
      <c r="K284" t="str">
        <f>'Rules-Platform'!V285</f>
        <v>y</v>
      </c>
      <c r="L284" s="15" t="str">
        <f>'Rules-Platform'!W285</f>
        <v>n</v>
      </c>
      <c r="M284" t="str">
        <f>'Rules-Platform'!X285</f>
        <v>n</v>
      </c>
      <c r="N284" t="str">
        <f>'Rules-Platform'!Y285</f>
        <v>n</v>
      </c>
      <c r="O284" t="str">
        <f>'Rules-Platform'!Z285</f>
        <v>n</v>
      </c>
      <c r="P284" t="str">
        <f>'Rules-Platform'!AA285</f>
        <v>n</v>
      </c>
    </row>
    <row r="285" spans="1:16">
      <c r="A285">
        <f>'Rules-Platform'!C286</f>
        <v>651</v>
      </c>
      <c r="B285" t="str">
        <f>'Rules-Platform'!D286</f>
        <v>AT-SE250-28XS</v>
      </c>
      <c r="D285" t="str">
        <f>'Rules-Platform'!O286</f>
        <v>port1.0.1-1.0.28</v>
      </c>
      <c r="E285" t="str">
        <f>'Rules-Platform'!P286</f>
        <v>10G Uplink</v>
      </c>
      <c r="F285" t="str">
        <f>'Rules-Platform'!Q286</f>
        <v>n</v>
      </c>
      <c r="G285" t="str">
        <f>'Rules-Platform'!R286</f>
        <v>n</v>
      </c>
      <c r="H285" t="str">
        <f>'Rules-Platform'!S286</f>
        <v>y</v>
      </c>
      <c r="I285" t="str">
        <f>'Rules-Platform'!T286</f>
        <v>n</v>
      </c>
      <c r="J285" t="str">
        <f>'Rules-Platform'!U286</f>
        <v>n</v>
      </c>
      <c r="K285" t="str">
        <f>'Rules-Platform'!V286</f>
        <v>y</v>
      </c>
      <c r="L285" s="15" t="str">
        <f>'Rules-Platform'!W286</f>
        <v>n</v>
      </c>
      <c r="M285" t="str">
        <f>'Rules-Platform'!X286</f>
        <v>n</v>
      </c>
      <c r="N285" t="str">
        <f>'Rules-Platform'!Y286</f>
        <v>n</v>
      </c>
      <c r="O285" t="str">
        <f>'Rules-Platform'!Z286</f>
        <v>n</v>
      </c>
      <c r="P285" t="str">
        <f>'Rules-Platform'!AA286</f>
        <v>n</v>
      </c>
    </row>
    <row r="286" spans="1:16">
      <c r="A286">
        <f>'Rules-Platform'!C287</f>
        <v>0</v>
      </c>
      <c r="B286" t="str">
        <f>'Rules-Platform'!D287</f>
        <v>AT-SE250-52XSTm</v>
      </c>
      <c r="D286">
        <f>'Rules-Platform'!O287</f>
        <v>0</v>
      </c>
      <c r="E286">
        <f>'Rules-Platform'!P287</f>
        <v>0</v>
      </c>
      <c r="F286" t="str">
        <f>'Rules-Platform'!Q287</f>
        <v>n</v>
      </c>
      <c r="G286" t="str">
        <f>'Rules-Platform'!R287</f>
        <v>n</v>
      </c>
      <c r="H286" t="str">
        <f>'Rules-Platform'!S287</f>
        <v>y</v>
      </c>
      <c r="I286" t="str">
        <f>'Rules-Platform'!T287</f>
        <v>n</v>
      </c>
      <c r="J286" t="str">
        <f>'Rules-Platform'!U287</f>
        <v>n</v>
      </c>
      <c r="K286" t="str">
        <f>'Rules-Platform'!V287</f>
        <v>y</v>
      </c>
      <c r="L286" s="15" t="str">
        <f>'Rules-Platform'!W287</f>
        <v>n</v>
      </c>
      <c r="M286" t="str">
        <f>'Rules-Platform'!X287</f>
        <v>n</v>
      </c>
      <c r="N286" t="str">
        <f>'Rules-Platform'!Y287</f>
        <v>n</v>
      </c>
      <c r="O286" t="str">
        <f>'Rules-Platform'!Z287</f>
        <v>n</v>
      </c>
      <c r="P286" t="str">
        <f>'Rules-Platform'!AA287</f>
        <v>n</v>
      </c>
    </row>
    <row r="287" spans="1:16">
      <c r="A287">
        <f>'Rules-Platform'!C288</f>
        <v>664</v>
      </c>
      <c r="B287" t="str">
        <f>'Rules-Platform'!D288</f>
        <v>AT-SE250-28XHm</v>
      </c>
      <c r="D287" t="str">
        <f>'Rules-Platform'!O288</f>
        <v>port1.0.1-1.0.28</v>
      </c>
      <c r="E287" t="str">
        <f>'Rules-Platform'!P288</f>
        <v>10G Uplink</v>
      </c>
      <c r="F287" t="str">
        <f>'Rules-Platform'!Q288</f>
        <v>n</v>
      </c>
      <c r="G287" t="str">
        <f>'Rules-Platform'!R288</f>
        <v>n</v>
      </c>
      <c r="H287" t="str">
        <f>'Rules-Platform'!S288</f>
        <v>y</v>
      </c>
      <c r="I287" t="str">
        <f>'Rules-Platform'!T288</f>
        <v>n</v>
      </c>
      <c r="J287" t="str">
        <f>'Rules-Platform'!U288</f>
        <v>n</v>
      </c>
      <c r="K287" t="str">
        <f>'Rules-Platform'!V288</f>
        <v>y</v>
      </c>
      <c r="L287" s="15" t="str">
        <f>'Rules-Platform'!W288</f>
        <v>n</v>
      </c>
      <c r="M287" t="str">
        <f>'Rules-Platform'!X288</f>
        <v>n</v>
      </c>
      <c r="N287" t="str">
        <f>'Rules-Platform'!Y288</f>
        <v>n</v>
      </c>
      <c r="O287" t="str">
        <f>'Rules-Platform'!Z288</f>
        <v>n</v>
      </c>
      <c r="P287" t="str">
        <f>'Rules-Platform'!AA288</f>
        <v>n</v>
      </c>
    </row>
    <row r="288" spans="1:16">
      <c r="A288">
        <f>'Rules-Platform'!C289</f>
        <v>0</v>
      </c>
      <c r="B288" t="str">
        <f>'Rules-Platform'!D289</f>
        <v>AT-SE250-52XHm</v>
      </c>
      <c r="D288">
        <f>'Rules-Platform'!O289</f>
        <v>0</v>
      </c>
      <c r="E288">
        <f>'Rules-Platform'!P289</f>
        <v>0</v>
      </c>
      <c r="F288" t="str">
        <f>'Rules-Platform'!Q289</f>
        <v>n</v>
      </c>
      <c r="G288" t="str">
        <f>'Rules-Platform'!R289</f>
        <v>n</v>
      </c>
      <c r="H288" t="str">
        <f>'Rules-Platform'!S289</f>
        <v>y</v>
      </c>
      <c r="I288" t="str">
        <f>'Rules-Platform'!T289</f>
        <v>n</v>
      </c>
      <c r="J288" t="str">
        <f>'Rules-Platform'!U289</f>
        <v>n</v>
      </c>
      <c r="K288" t="str">
        <f>'Rules-Platform'!V289</f>
        <v>y</v>
      </c>
      <c r="L288" s="15" t="str">
        <f>'Rules-Platform'!W289</f>
        <v>n</v>
      </c>
      <c r="M288" t="str">
        <f>'Rules-Platform'!X289</f>
        <v>n</v>
      </c>
      <c r="N288" t="str">
        <f>'Rules-Platform'!Y289</f>
        <v>n</v>
      </c>
      <c r="O288" t="str">
        <f>'Rules-Platform'!Z289</f>
        <v>n</v>
      </c>
      <c r="P288" t="str">
        <f>'Rules-Platform'!AA289</f>
        <v>n</v>
      </c>
    </row>
    <row r="289" spans="1:16">
      <c r="A289">
        <f>'Rules-Platform'!C290</f>
        <v>630</v>
      </c>
      <c r="B289" t="str">
        <f>'Rules-Platform'!D290</f>
        <v>AT-IE360-12GHX</v>
      </c>
      <c r="D289" t="str">
        <f>'Rules-Platform'!O290</f>
        <v>port1.0.9-1.0.10</v>
      </c>
      <c r="E289" t="str">
        <f>'Rules-Platform'!P290</f>
        <v>1G Base</v>
      </c>
      <c r="F289" t="str">
        <f>'Rules-Platform'!Q290</f>
        <v>n</v>
      </c>
      <c r="G289" t="str">
        <f>'Rules-Platform'!R290</f>
        <v>y</v>
      </c>
      <c r="H289" t="str">
        <f>'Rules-Platform'!S290</f>
        <v>y</v>
      </c>
      <c r="I289" t="str">
        <f>'Rules-Platform'!T290</f>
        <v>n</v>
      </c>
      <c r="J289" t="str">
        <f>'Rules-Platform'!U290</f>
        <v>n</v>
      </c>
      <c r="K289" t="str">
        <f>'Rules-Platform'!V290</f>
        <v>n</v>
      </c>
      <c r="L289" s="15" t="str">
        <f>'Rules-Platform'!W290</f>
        <v>n</v>
      </c>
      <c r="M289" t="str">
        <f>'Rules-Platform'!X290</f>
        <v>n</v>
      </c>
      <c r="N289" t="str">
        <f>'Rules-Platform'!Y290</f>
        <v>n</v>
      </c>
      <c r="O289" t="str">
        <f>'Rules-Platform'!Z290</f>
        <v>n</v>
      </c>
      <c r="P289" t="str">
        <f>'Rules-Platform'!AA290</f>
        <v>n</v>
      </c>
    </row>
    <row r="290" spans="1:16">
      <c r="A290">
        <f>'Rules-Platform'!C291</f>
        <v>630</v>
      </c>
      <c r="B290" t="str">
        <f>'Rules-Platform'!D291</f>
        <v>AT-IE360-12GHX</v>
      </c>
      <c r="D290" t="str">
        <f>'Rules-Platform'!O291</f>
        <v>port1.0.11-1.0.12</v>
      </c>
      <c r="E290" t="str">
        <f>'Rules-Platform'!P291</f>
        <v>10G Uplink</v>
      </c>
      <c r="F290" t="str">
        <f>'Rules-Platform'!Q291</f>
        <v>n</v>
      </c>
      <c r="G290" t="str">
        <f>'Rules-Platform'!R291</f>
        <v>n</v>
      </c>
      <c r="H290" t="str">
        <f>'Rules-Platform'!S291</f>
        <v>y</v>
      </c>
      <c r="I290" t="str">
        <f>'Rules-Platform'!T291</f>
        <v>n</v>
      </c>
      <c r="J290" t="str">
        <f>'Rules-Platform'!U291</f>
        <v>n</v>
      </c>
      <c r="K290" t="str">
        <f>'Rules-Platform'!V291</f>
        <v>y</v>
      </c>
      <c r="L290" s="15" t="str">
        <f>'Rules-Platform'!W291</f>
        <v>n</v>
      </c>
      <c r="M290" t="str">
        <f>'Rules-Platform'!X291</f>
        <v>n</v>
      </c>
      <c r="N290" t="str">
        <f>'Rules-Platform'!Y291</f>
        <v>n</v>
      </c>
      <c r="O290" t="str">
        <f>'Rules-Platform'!Z291</f>
        <v>n</v>
      </c>
      <c r="P290" t="str">
        <f>'Rules-Platform'!AA291</f>
        <v>n</v>
      </c>
    </row>
    <row r="291" spans="1:16">
      <c r="A291" s="863">
        <f>'Rules-Platform'!C292</f>
        <v>631</v>
      </c>
      <c r="B291" t="str">
        <f>'Rules-Platform'!D292</f>
        <v>AT-IE360-12GTX</v>
      </c>
      <c r="D291" t="str">
        <f>'Rules-Platform'!O292</f>
        <v>port1.0.9-1.0.10</v>
      </c>
      <c r="E291" t="str">
        <f>'Rules-Platform'!P292</f>
        <v>1G Base</v>
      </c>
      <c r="F291" t="str">
        <f>'Rules-Platform'!Q292</f>
        <v>n</v>
      </c>
      <c r="G291" t="str">
        <f>'Rules-Platform'!R292</f>
        <v>y</v>
      </c>
      <c r="H291" t="str">
        <f>'Rules-Platform'!S292</f>
        <v>y</v>
      </c>
      <c r="I291" t="str">
        <f>'Rules-Platform'!T292</f>
        <v>n</v>
      </c>
      <c r="J291" t="str">
        <f>'Rules-Platform'!U292</f>
        <v>n</v>
      </c>
      <c r="K291" t="str">
        <f>'Rules-Platform'!V292</f>
        <v>n</v>
      </c>
      <c r="L291" s="15" t="str">
        <f>'Rules-Platform'!W292</f>
        <v>n</v>
      </c>
      <c r="M291" t="str">
        <f>'Rules-Platform'!X292</f>
        <v>n</v>
      </c>
      <c r="N291" t="str">
        <f>'Rules-Platform'!Y292</f>
        <v>n</v>
      </c>
      <c r="O291" t="str">
        <f>'Rules-Platform'!Z292</f>
        <v>n</v>
      </c>
      <c r="P291" t="str">
        <f>'Rules-Platform'!AA292</f>
        <v>n</v>
      </c>
    </row>
    <row r="292" spans="1:16">
      <c r="A292">
        <f>'Rules-Platform'!C293</f>
        <v>631</v>
      </c>
      <c r="B292" t="str">
        <f>'Rules-Platform'!D293</f>
        <v>AT-IE360-12GTX</v>
      </c>
      <c r="D292" t="str">
        <f>'Rules-Platform'!O293</f>
        <v>port1.0.11-1.0.12</v>
      </c>
      <c r="E292" t="str">
        <f>'Rules-Platform'!P293</f>
        <v>10G Uplink</v>
      </c>
      <c r="F292" t="str">
        <f>'Rules-Platform'!Q293</f>
        <v>n</v>
      </c>
      <c r="G292" t="str">
        <f>'Rules-Platform'!R293</f>
        <v>n</v>
      </c>
      <c r="H292" t="str">
        <f>'Rules-Platform'!S293</f>
        <v>y</v>
      </c>
      <c r="I292" t="str">
        <f>'Rules-Platform'!T293</f>
        <v>n</v>
      </c>
      <c r="J292" t="str">
        <f>'Rules-Platform'!U293</f>
        <v>n</v>
      </c>
      <c r="K292" t="str">
        <f>'Rules-Platform'!V293</f>
        <v>y</v>
      </c>
      <c r="L292" s="15" t="str">
        <f>'Rules-Platform'!W293</f>
        <v>n</v>
      </c>
      <c r="M292" t="str">
        <f>'Rules-Platform'!X293</f>
        <v>n</v>
      </c>
      <c r="N292" t="str">
        <f>'Rules-Platform'!Y293</f>
        <v>n</v>
      </c>
      <c r="O292" t="str">
        <f>'Rules-Platform'!Z293</f>
        <v>n</v>
      </c>
      <c r="P292" t="str">
        <f>'Rules-Platform'!AA293</f>
        <v>n</v>
      </c>
    </row>
    <row r="293" spans="1:16">
      <c r="A293">
        <f>'Rules-Platform'!C294</f>
        <v>654</v>
      </c>
      <c r="B293" t="str">
        <f>'Rules-Platform'!D294</f>
        <v>AT-IE560-12GSX</v>
      </c>
      <c r="D293" t="str">
        <f>'Rules-Platform'!O294</f>
        <v>port1.0.1-1.0.8</v>
      </c>
      <c r="E293" t="str">
        <f>'Rules-Platform'!P294</f>
        <v>1G Base</v>
      </c>
      <c r="F293" t="str">
        <f>'Rules-Platform'!Q294</f>
        <v>n</v>
      </c>
      <c r="G293" t="str">
        <f>'Rules-Platform'!R294</f>
        <v>y</v>
      </c>
      <c r="H293" t="str">
        <f>'Rules-Platform'!S294</f>
        <v>y</v>
      </c>
      <c r="I293" t="str">
        <f>'Rules-Platform'!T294</f>
        <v>n</v>
      </c>
      <c r="J293" t="str">
        <f>'Rules-Platform'!U294</f>
        <v>n</v>
      </c>
      <c r="K293" t="str">
        <f>'Rules-Platform'!V294</f>
        <v>n</v>
      </c>
      <c r="L293" s="15" t="str">
        <f>'Rules-Platform'!W294</f>
        <v>n</v>
      </c>
      <c r="M293" t="str">
        <f>'Rules-Platform'!X294</f>
        <v>n</v>
      </c>
      <c r="N293" t="str">
        <f>'Rules-Platform'!Y294</f>
        <v>n</v>
      </c>
      <c r="O293" t="str">
        <f>'Rules-Platform'!Z294</f>
        <v>n</v>
      </c>
      <c r="P293" t="str">
        <f>'Rules-Platform'!AA294</f>
        <v>n</v>
      </c>
    </row>
    <row r="294" spans="1:16">
      <c r="A294">
        <f>'Rules-Platform'!C295</f>
        <v>654</v>
      </c>
      <c r="B294" t="str">
        <f>'Rules-Platform'!D295</f>
        <v>AT-IE560-12GSX</v>
      </c>
      <c r="D294" t="str">
        <f>'Rules-Platform'!O295</f>
        <v>port1.0.9-1.0.12</v>
      </c>
      <c r="E294" t="str">
        <f>'Rules-Platform'!P295</f>
        <v>10G Uplink</v>
      </c>
      <c r="F294" t="str">
        <f>'Rules-Platform'!Q295</f>
        <v>n</v>
      </c>
      <c r="G294" t="str">
        <f>'Rules-Platform'!R295</f>
        <v>n</v>
      </c>
      <c r="H294" t="str">
        <f>'Rules-Platform'!S295</f>
        <v>y</v>
      </c>
      <c r="I294" t="str">
        <f>'Rules-Platform'!T295</f>
        <v>n</v>
      </c>
      <c r="J294" t="str">
        <f>'Rules-Platform'!U295</f>
        <v>n</v>
      </c>
      <c r="K294" t="str">
        <f>'Rules-Platform'!V295</f>
        <v>y</v>
      </c>
      <c r="L294" s="15" t="str">
        <f>'Rules-Platform'!W295</f>
        <v>n</v>
      </c>
      <c r="M294" t="str">
        <f>'Rules-Platform'!X295</f>
        <v>n</v>
      </c>
      <c r="N294" t="str">
        <f>'Rules-Platform'!Y295</f>
        <v>n</v>
      </c>
      <c r="O294" t="str">
        <f>'Rules-Platform'!Z295</f>
        <v>n</v>
      </c>
      <c r="P294" t="str">
        <f>'Rules-Platform'!AA295</f>
        <v>n</v>
      </c>
    </row>
    <row r="295" spans="1:16">
      <c r="A295">
        <f>'Rules-Platform'!C296</f>
        <v>612</v>
      </c>
      <c r="B295" t="str">
        <f>'Rules-Platform'!D296</f>
        <v>AT-SBx908 GEN3</v>
      </c>
      <c r="D295" t="str">
        <f>'Rules-Platform'!O296</f>
        <v>N/A</v>
      </c>
      <c r="E295" t="str">
        <f>'Rules-Platform'!P296</f>
        <v>-</v>
      </c>
      <c r="F295" t="str">
        <f>'Rules-Platform'!Q296</f>
        <v>n</v>
      </c>
      <c r="G295" t="str">
        <f>'Rules-Platform'!R296</f>
        <v>n</v>
      </c>
      <c r="H295" t="str">
        <f>'Rules-Platform'!S296</f>
        <v>n</v>
      </c>
      <c r="I295" t="str">
        <f>'Rules-Platform'!T296</f>
        <v>n</v>
      </c>
      <c r="J295" t="str">
        <f>'Rules-Platform'!U296</f>
        <v>n</v>
      </c>
      <c r="K295" t="str">
        <f>'Rules-Platform'!V296</f>
        <v>n</v>
      </c>
      <c r="L295" s="15" t="str">
        <f>'Rules-Platform'!W296</f>
        <v>n</v>
      </c>
      <c r="M295" t="str">
        <f>'Rules-Platform'!X296</f>
        <v>n</v>
      </c>
      <c r="N295" t="str">
        <f>'Rules-Platform'!Y296</f>
        <v>n</v>
      </c>
      <c r="O295" t="str">
        <f>'Rules-Platform'!Z296</f>
        <v>n</v>
      </c>
      <c r="P295" t="str">
        <f>'Rules-Platform'!AA296</f>
        <v>n</v>
      </c>
    </row>
    <row r="296" spans="1:16">
      <c r="A296">
        <f>'Rules-Platform'!C297</f>
        <v>617</v>
      </c>
      <c r="B296" t="str">
        <f>'Rules-Platform'!D297</f>
        <v>AT-XEM3-8CQ</v>
      </c>
      <c r="D296" t="str">
        <f>'Rules-Platform'!O297</f>
        <v>port1.{}.1-1.{}.29</v>
      </c>
      <c r="E296" t="str">
        <f>'Rules-Platform'!P297</f>
        <v>100G QSFP28</v>
      </c>
      <c r="F296" t="str">
        <f>'Rules-Platform'!Q297</f>
        <v>n</v>
      </c>
      <c r="G296" t="str">
        <f>'Rules-Platform'!R297</f>
        <v>n</v>
      </c>
      <c r="H296" t="str">
        <f>'Rules-Platform'!S297</f>
        <v>n</v>
      </c>
      <c r="I296" t="str">
        <f>'Rules-Platform'!T297</f>
        <v>n</v>
      </c>
      <c r="J296" t="str">
        <f>'Rules-Platform'!U297</f>
        <v>n</v>
      </c>
      <c r="K296" t="str">
        <f>'Rules-Platform'!V297</f>
        <v>n</v>
      </c>
      <c r="L296" s="15" t="str">
        <f>'Rules-Platform'!W297</f>
        <v>n</v>
      </c>
      <c r="M296" t="str">
        <f>'Rules-Platform'!X297</f>
        <v>y</v>
      </c>
      <c r="N296" t="str">
        <f>'Rules-Platform'!Y297</f>
        <v>n</v>
      </c>
      <c r="O296" t="str">
        <f>'Rules-Platform'!Z297</f>
        <v>y</v>
      </c>
      <c r="P296" t="str">
        <f>'Rules-Platform'!AA297</f>
        <v>n</v>
      </c>
    </row>
    <row r="297" spans="1:16">
      <c r="A297">
        <f>'Rules-Platform'!C298</f>
        <v>616</v>
      </c>
      <c r="B297" t="str">
        <f>'Rules-Platform'!D298</f>
        <v>AT-XEM3-12YS</v>
      </c>
      <c r="D297" t="str">
        <f>'Rules-Platform'!O298</f>
        <v>port1.{}.1-1.{}.12</v>
      </c>
      <c r="E297" t="str">
        <f>'Rules-Platform'!P298</f>
        <v>25G SFP+</v>
      </c>
      <c r="F297" t="str">
        <f>'Rules-Platform'!Q298</f>
        <v>n</v>
      </c>
      <c r="G297" t="str">
        <f>'Rules-Platform'!R298</f>
        <v>n</v>
      </c>
      <c r="H297" t="str">
        <f>'Rules-Platform'!S298</f>
        <v>y</v>
      </c>
      <c r="I297" t="str">
        <f>'Rules-Platform'!T298</f>
        <v>n</v>
      </c>
      <c r="J297" t="str">
        <f>'Rules-Platform'!U298</f>
        <v>n</v>
      </c>
      <c r="K297" t="str">
        <f>'Rules-Platform'!V298</f>
        <v>y</v>
      </c>
      <c r="L297" s="15" t="str">
        <f>'Rules-Platform'!W298</f>
        <v>y</v>
      </c>
      <c r="M297" t="str">
        <f>'Rules-Platform'!X298</f>
        <v>n</v>
      </c>
      <c r="N297" t="str">
        <f>'Rules-Platform'!Y298</f>
        <v>n</v>
      </c>
      <c r="O297" t="str">
        <f>'Rules-Platform'!Z298</f>
        <v>n</v>
      </c>
      <c r="P297" t="str">
        <f>'Rules-Platform'!AA298</f>
        <v>n</v>
      </c>
    </row>
    <row r="298" spans="1:16">
      <c r="A298">
        <f>'Rules-Platform'!C299</f>
        <v>618</v>
      </c>
      <c r="B298" t="str">
        <f>'Rules-Platform'!D299</f>
        <v>AT-XEM3-2DQ</v>
      </c>
      <c r="D298" t="str">
        <f>'Rules-Platform'!O299</f>
        <v>port1.{}.1-1.{}.9</v>
      </c>
      <c r="E298" t="str">
        <f>'Rules-Platform'!P299</f>
        <v>400G QSFPDD</v>
      </c>
      <c r="F298" t="str">
        <f>'Rules-Platform'!Q299</f>
        <v>n</v>
      </c>
      <c r="G298" t="str">
        <f>'Rules-Platform'!R299</f>
        <v>n</v>
      </c>
      <c r="H298" t="str">
        <f>'Rules-Platform'!S299</f>
        <v>n</v>
      </c>
      <c r="I298" t="str">
        <f>'Rules-Platform'!T299</f>
        <v>n</v>
      </c>
      <c r="J298" t="str">
        <f>'Rules-Platform'!U299</f>
        <v>n</v>
      </c>
      <c r="K298" t="str">
        <f>'Rules-Platform'!V299</f>
        <v>n</v>
      </c>
      <c r="L298" s="15" t="str">
        <f>'Rules-Platform'!W299</f>
        <v>n</v>
      </c>
      <c r="M298" t="str">
        <f>'Rules-Platform'!X299</f>
        <v>n</v>
      </c>
      <c r="N298" t="str">
        <f>'Rules-Platform'!Y299</f>
        <v>n</v>
      </c>
      <c r="O298" t="str">
        <f>'Rules-Platform'!Z299</f>
        <v>y</v>
      </c>
      <c r="P298" t="str">
        <f>'Rules-Platform'!AA299</f>
        <v>y</v>
      </c>
    </row>
    <row r="299" spans="1:16">
      <c r="A299">
        <f>'Rules-Platform'!C300</f>
        <v>680</v>
      </c>
      <c r="B299" t="str">
        <f>'Rules-Platform'!D300</f>
        <v>AT-x560-28YSQ</v>
      </c>
      <c r="D299" t="str">
        <f>'Rules-Platform'!O300</f>
        <v>port1.0.1-1.0.24</v>
      </c>
      <c r="E299" t="str">
        <f>'Rules-Platform'!P300</f>
        <v>25G BASE</v>
      </c>
      <c r="F299" t="str">
        <f>'Rules-Platform'!Q300</f>
        <v>n</v>
      </c>
      <c r="G299" t="str">
        <f>'Rules-Platform'!R300</f>
        <v>n</v>
      </c>
      <c r="H299" t="str">
        <f>'Rules-Platform'!S300</f>
        <v>y</v>
      </c>
      <c r="I299" t="str">
        <f>'Rules-Platform'!T300</f>
        <v>n</v>
      </c>
      <c r="J299" t="str">
        <f>'Rules-Platform'!U300</f>
        <v>n</v>
      </c>
      <c r="K299" t="str">
        <f>'Rules-Platform'!V300</f>
        <v>y</v>
      </c>
      <c r="L299" s="15" t="str">
        <f>'Rules-Platform'!W300</f>
        <v>y</v>
      </c>
      <c r="M299" t="str">
        <f>'Rules-Platform'!X300</f>
        <v>n</v>
      </c>
      <c r="N299" t="str">
        <f>'Rules-Platform'!Y300</f>
        <v>n</v>
      </c>
      <c r="O299" t="str">
        <f>'Rules-Platform'!Z300</f>
        <v>n</v>
      </c>
      <c r="P299" t="str">
        <f>'Rules-Platform'!AA300</f>
        <v>n</v>
      </c>
    </row>
    <row r="300" spans="1:16">
      <c r="A300">
        <f>'Rules-Platform'!C301</f>
        <v>680</v>
      </c>
      <c r="B300" t="str">
        <f>'Rules-Platform'!D301</f>
        <v>AT-x560-28YSQ</v>
      </c>
      <c r="D300" t="str">
        <f>'Rules-Platform'!O301</f>
        <v>port1.0.25-1.0.37</v>
      </c>
      <c r="E300" t="str">
        <f>'Rules-Platform'!P301</f>
        <v>100G Uplink</v>
      </c>
      <c r="F300" t="str">
        <f>'Rules-Platform'!Q301</f>
        <v>n</v>
      </c>
      <c r="G300" t="str">
        <f>'Rules-Platform'!R301</f>
        <v>n</v>
      </c>
      <c r="H300" t="str">
        <f>'Rules-Platform'!S301</f>
        <v>n</v>
      </c>
      <c r="I300" t="str">
        <f>'Rules-Platform'!T301</f>
        <v>n</v>
      </c>
      <c r="J300" t="str">
        <f>'Rules-Platform'!U301</f>
        <v>n</v>
      </c>
      <c r="K300" t="str">
        <f>'Rules-Platform'!V301</f>
        <v>n</v>
      </c>
      <c r="L300" s="15" t="str">
        <f>'Rules-Platform'!W301</f>
        <v>n</v>
      </c>
      <c r="M300" t="str">
        <f>'Rules-Platform'!X301</f>
        <v>y</v>
      </c>
      <c r="N300" t="str">
        <f>'Rules-Platform'!Y301</f>
        <v>n</v>
      </c>
      <c r="O300" t="str">
        <f>'Rules-Platform'!Z301</f>
        <v>y</v>
      </c>
      <c r="P300" t="str">
        <f>'Rules-Platform'!AA301</f>
        <v>n</v>
      </c>
    </row>
    <row r="301" spans="1:16">
      <c r="A301">
        <f>'Rules-Platform'!C302</f>
        <v>681</v>
      </c>
      <c r="B301" t="str">
        <f>'Rules-Platform'!D302</f>
        <v>AT-x980-32CQ</v>
      </c>
      <c r="D301" t="str">
        <f>'Rules-Platform'!O302</f>
        <v>port1.0.1-1.0.125</v>
      </c>
      <c r="E301" t="str">
        <f>'Rules-Platform'!P302</f>
        <v>100G QSFP28</v>
      </c>
      <c r="F301" t="str">
        <f>'Rules-Platform'!Q302</f>
        <v>n</v>
      </c>
      <c r="G301" t="str">
        <f>'Rules-Platform'!R302</f>
        <v>n</v>
      </c>
      <c r="H301" t="str">
        <f>'Rules-Platform'!S302</f>
        <v>n</v>
      </c>
      <c r="I301" t="str">
        <f>'Rules-Platform'!T302</f>
        <v>n</v>
      </c>
      <c r="J301" t="str">
        <f>'Rules-Platform'!U302</f>
        <v>n</v>
      </c>
      <c r="K301" t="str">
        <f>'Rules-Platform'!V302</f>
        <v>n</v>
      </c>
      <c r="L301" s="15" t="str">
        <f>'Rules-Platform'!W302</f>
        <v>n</v>
      </c>
      <c r="M301" t="str">
        <f>'Rules-Platform'!X302</f>
        <v>y</v>
      </c>
      <c r="N301" t="str">
        <f>'Rules-Platform'!Y302</f>
        <v>n</v>
      </c>
      <c r="O301" t="str">
        <f>'Rules-Platform'!Z302</f>
        <v>y</v>
      </c>
      <c r="P301" t="str">
        <f>'Rules-Platform'!AA302</f>
        <v>n</v>
      </c>
    </row>
    <row r="302" spans="1:16">
      <c r="A302">
        <f>'Rules-Platform'!C303</f>
        <v>687</v>
      </c>
      <c r="B302" t="str">
        <f>'Rules-Platform'!D303</f>
        <v>AT-x980-32DQ</v>
      </c>
      <c r="D302" t="str">
        <f>'Rules-Platform'!O303</f>
        <v>port1.0.1-1.0.249</v>
      </c>
      <c r="E302" t="str">
        <f>'Rules-Platform'!P303</f>
        <v>400G QSFPDD</v>
      </c>
      <c r="F302" t="str">
        <f>'Rules-Platform'!Q303</f>
        <v>n</v>
      </c>
      <c r="G302" t="str">
        <f>'Rules-Platform'!R303</f>
        <v>n</v>
      </c>
      <c r="H302" t="str">
        <f>'Rules-Platform'!S303</f>
        <v>n</v>
      </c>
      <c r="I302" t="str">
        <f>'Rules-Platform'!T303</f>
        <v>n</v>
      </c>
      <c r="J302" t="str">
        <f>'Rules-Platform'!U303</f>
        <v>n</v>
      </c>
      <c r="K302" t="str">
        <f>'Rules-Platform'!V303</f>
        <v>n</v>
      </c>
      <c r="L302" s="15" t="str">
        <f>'Rules-Platform'!W303</f>
        <v>n</v>
      </c>
      <c r="M302" t="str">
        <f>'Rules-Platform'!X303</f>
        <v>n</v>
      </c>
      <c r="N302" t="str">
        <f>'Rules-Platform'!Y303</f>
        <v>n</v>
      </c>
      <c r="O302" t="str">
        <f>'Rules-Platform'!Z303</f>
        <v>y</v>
      </c>
      <c r="P302" t="str">
        <f>'Rules-Platform'!AA303</f>
        <v>y</v>
      </c>
    </row>
    <row r="303" spans="1:16">
      <c r="A303">
        <f>'Rules-Platform'!C304</f>
        <v>687</v>
      </c>
      <c r="B303" t="str">
        <f>'Rules-Platform'!D304</f>
        <v>AT-x980-32DQ</v>
      </c>
      <c r="D303" t="str">
        <f>'Rules-Platform'!O304</f>
        <v>port1.0.257-1.0.258</v>
      </c>
      <c r="E303" t="str">
        <f>'Rules-Platform'!P304</f>
        <v>10G SFP+</v>
      </c>
      <c r="F303" t="str">
        <f>'Rules-Platform'!Q304</f>
        <v>n</v>
      </c>
      <c r="G303" t="str">
        <f>'Rules-Platform'!R304</f>
        <v>n</v>
      </c>
      <c r="H303" t="str">
        <f>'Rules-Platform'!S304</f>
        <v>n</v>
      </c>
      <c r="I303" t="str">
        <f>'Rules-Platform'!T304</f>
        <v>n</v>
      </c>
      <c r="J303" t="str">
        <f>'Rules-Platform'!U304</f>
        <v>n</v>
      </c>
      <c r="K303" t="str">
        <f>'Rules-Platform'!V304</f>
        <v>y</v>
      </c>
      <c r="L303" s="15" t="str">
        <f>'Rules-Platform'!W304</f>
        <v>n</v>
      </c>
      <c r="M303" t="str">
        <f>'Rules-Platform'!X304</f>
        <v>n</v>
      </c>
      <c r="N303" t="str">
        <f>'Rules-Platform'!Y304</f>
        <v>n</v>
      </c>
      <c r="O303" t="str">
        <f>'Rules-Platform'!Z304</f>
        <v>n</v>
      </c>
      <c r="P303" t="str">
        <f>'Rules-Platform'!AA304</f>
        <v>n</v>
      </c>
    </row>
    <row r="304" spans="1:16">
      <c r="A304">
        <f>'Rules-Platform'!C305</f>
        <v>689</v>
      </c>
      <c r="B304" t="str">
        <f>'Rules-Platform'!D305</f>
        <v>AT-x230-10GTv2</v>
      </c>
      <c r="D304" t="str">
        <f>'Rules-Platform'!O305</f>
        <v>port1.0.9-1.0.10</v>
      </c>
      <c r="E304" t="str">
        <f>'Rules-Platform'!P305</f>
        <v>1G SFP</v>
      </c>
      <c r="F304" t="str">
        <f>'Rules-Platform'!Q305</f>
        <v>n</v>
      </c>
      <c r="G304" t="str">
        <f>'Rules-Platform'!R305</f>
        <v>y</v>
      </c>
      <c r="H304" t="str">
        <f>'Rules-Platform'!S305</f>
        <v>y</v>
      </c>
      <c r="I304" t="str">
        <f>'Rules-Platform'!T305</f>
        <v>n</v>
      </c>
      <c r="J304" t="str">
        <f>'Rules-Platform'!U305</f>
        <v>n</v>
      </c>
      <c r="K304" t="str">
        <f>'Rules-Platform'!V305</f>
        <v>n</v>
      </c>
      <c r="L304" s="15" t="str">
        <f>'Rules-Platform'!W305</f>
        <v>n</v>
      </c>
      <c r="M304" t="str">
        <f>'Rules-Platform'!X305</f>
        <v>n</v>
      </c>
      <c r="N304" t="str">
        <f>'Rules-Platform'!Y305</f>
        <v>n</v>
      </c>
      <c r="O304" t="str">
        <f>'Rules-Platform'!Z305</f>
        <v>n</v>
      </c>
      <c r="P304" t="str">
        <f>'Rules-Platform'!AA305</f>
        <v>n</v>
      </c>
    </row>
    <row r="305" spans="1:16">
      <c r="A305">
        <f>'Rules-Platform'!C306</f>
        <v>695</v>
      </c>
      <c r="B305" t="str">
        <f>'Rules-Platform'!D306</f>
        <v>AT-x230-10GPv2</v>
      </c>
      <c r="D305" t="str">
        <f>'Rules-Platform'!O306</f>
        <v>port1.0.9-1.0.10</v>
      </c>
      <c r="E305" t="str">
        <f>'Rules-Platform'!P306</f>
        <v>1G SFP</v>
      </c>
      <c r="F305" t="str">
        <f>'Rules-Platform'!Q306</f>
        <v>n</v>
      </c>
      <c r="G305" t="str">
        <f>'Rules-Platform'!R306</f>
        <v>y</v>
      </c>
      <c r="H305" t="str">
        <f>'Rules-Platform'!S306</f>
        <v>y</v>
      </c>
      <c r="I305" t="str">
        <f>'Rules-Platform'!T306</f>
        <v>n</v>
      </c>
      <c r="J305" t="str">
        <f>'Rules-Platform'!U306</f>
        <v>n</v>
      </c>
      <c r="K305" t="str">
        <f>'Rules-Platform'!V306</f>
        <v>n</v>
      </c>
      <c r="L305" s="15" t="str">
        <f>'Rules-Platform'!W306</f>
        <v>n</v>
      </c>
      <c r="M305" t="str">
        <f>'Rules-Platform'!X306</f>
        <v>n</v>
      </c>
      <c r="N305" t="str">
        <f>'Rules-Platform'!Y306</f>
        <v>n</v>
      </c>
      <c r="O305" t="str">
        <f>'Rules-Platform'!Z306</f>
        <v>n</v>
      </c>
      <c r="P305" t="str">
        <f>'Rules-Platform'!AA306</f>
        <v>n</v>
      </c>
    </row>
    <row r="306" spans="1:16">
      <c r="A306">
        <f>'Rules-Platform'!C307</f>
        <v>690</v>
      </c>
      <c r="B306" t="str">
        <f>'Rules-Platform'!D307</f>
        <v>AT-x230L-17GTv2</v>
      </c>
      <c r="D306" t="str">
        <f>'Rules-Platform'!O307</f>
        <v>port1.0.17</v>
      </c>
      <c r="E306" t="str">
        <f>'Rules-Platform'!P307</f>
        <v>1G SFP</v>
      </c>
      <c r="F306" t="str">
        <f>'Rules-Platform'!Q307</f>
        <v>n</v>
      </c>
      <c r="G306" t="str">
        <f>'Rules-Platform'!R307</f>
        <v>y</v>
      </c>
      <c r="H306" t="str">
        <f>'Rules-Platform'!S307</f>
        <v>y</v>
      </c>
      <c r="I306" t="str">
        <f>'Rules-Platform'!T307</f>
        <v>n</v>
      </c>
      <c r="J306" t="str">
        <f>'Rules-Platform'!U307</f>
        <v>n</v>
      </c>
      <c r="K306" t="str">
        <f>'Rules-Platform'!V307</f>
        <v>n</v>
      </c>
      <c r="L306" s="15" t="str">
        <f>'Rules-Platform'!W307</f>
        <v>n</v>
      </c>
      <c r="M306" t="str">
        <f>'Rules-Platform'!X307</f>
        <v>n</v>
      </c>
      <c r="N306" t="str">
        <f>'Rules-Platform'!Y307</f>
        <v>n</v>
      </c>
      <c r="O306" t="str">
        <f>'Rules-Platform'!Z307</f>
        <v>n</v>
      </c>
      <c r="P306" t="str">
        <f>'Rules-Platform'!AA307</f>
        <v>n</v>
      </c>
    </row>
    <row r="307" spans="1:16">
      <c r="A307">
        <f>'Rules-Platform'!C308</f>
        <v>691</v>
      </c>
      <c r="B307" t="str">
        <f>'Rules-Platform'!D308</f>
        <v>AT-x230-18GTv2</v>
      </c>
      <c r="D307" t="str">
        <f>'Rules-Platform'!O308</f>
        <v>port1.0.17-1.0.18</v>
      </c>
      <c r="E307" t="str">
        <f>'Rules-Platform'!P308</f>
        <v>1G SFP</v>
      </c>
      <c r="F307" t="str">
        <f>'Rules-Platform'!Q308</f>
        <v>n</v>
      </c>
      <c r="G307" t="str">
        <f>'Rules-Platform'!R308</f>
        <v>y</v>
      </c>
      <c r="H307" t="str">
        <f>'Rules-Platform'!S308</f>
        <v>y</v>
      </c>
      <c r="I307" t="str">
        <f>'Rules-Platform'!T308</f>
        <v>n</v>
      </c>
      <c r="J307" t="str">
        <f>'Rules-Platform'!U308</f>
        <v>n</v>
      </c>
      <c r="K307" t="str">
        <f>'Rules-Platform'!V308</f>
        <v>n</v>
      </c>
      <c r="L307" s="15" t="str">
        <f>'Rules-Platform'!W308</f>
        <v>n</v>
      </c>
      <c r="M307" t="str">
        <f>'Rules-Platform'!X308</f>
        <v>n</v>
      </c>
      <c r="N307" t="str">
        <f>'Rules-Platform'!Y308</f>
        <v>n</v>
      </c>
      <c r="O307" t="str">
        <f>'Rules-Platform'!Z308</f>
        <v>n</v>
      </c>
      <c r="P307" t="str">
        <f>'Rules-Platform'!AA308</f>
        <v>n</v>
      </c>
    </row>
    <row r="308" spans="1:16">
      <c r="A308">
        <f>'Rules-Platform'!C309</f>
        <v>696</v>
      </c>
      <c r="B308" t="str">
        <f>'Rules-Platform'!D309</f>
        <v>AT-x230-18GPv2</v>
      </c>
      <c r="D308" t="str">
        <f>'Rules-Platform'!O309</f>
        <v>port1.0.17-1.0.18</v>
      </c>
      <c r="E308" t="str">
        <f>'Rules-Platform'!P309</f>
        <v>1G SFP</v>
      </c>
      <c r="F308" t="str">
        <f>'Rules-Platform'!Q309</f>
        <v>n</v>
      </c>
      <c r="G308" t="str">
        <f>'Rules-Platform'!R309</f>
        <v>y</v>
      </c>
      <c r="H308" t="str">
        <f>'Rules-Platform'!S309</f>
        <v>y</v>
      </c>
      <c r="I308" t="str">
        <f>'Rules-Platform'!T309</f>
        <v>n</v>
      </c>
      <c r="J308" t="str">
        <f>'Rules-Platform'!U309</f>
        <v>n</v>
      </c>
      <c r="K308" t="str">
        <f>'Rules-Platform'!V309</f>
        <v>n</v>
      </c>
      <c r="L308" s="15" t="str">
        <f>'Rules-Platform'!W309</f>
        <v>n</v>
      </c>
      <c r="M308" t="str">
        <f>'Rules-Platform'!X309</f>
        <v>n</v>
      </c>
      <c r="N308" t="str">
        <f>'Rules-Platform'!Y309</f>
        <v>n</v>
      </c>
      <c r="O308" t="str">
        <f>'Rules-Platform'!Z309</f>
        <v>n</v>
      </c>
      <c r="P308" t="str">
        <f>'Rules-Platform'!AA309</f>
        <v>n</v>
      </c>
    </row>
    <row r="309" spans="1:16">
      <c r="A309">
        <f>'Rules-Platform'!C310</f>
        <v>692</v>
      </c>
      <c r="B309" t="str">
        <f>'Rules-Platform'!D310</f>
        <v>AT-x230L-26GTv2</v>
      </c>
      <c r="D309" t="str">
        <f>'Rules-Platform'!O310</f>
        <v>port1.0.25-1.0.26</v>
      </c>
      <c r="E309" t="str">
        <f>'Rules-Platform'!P310</f>
        <v>1G SFP</v>
      </c>
      <c r="F309" t="str">
        <f>'Rules-Platform'!Q310</f>
        <v>n</v>
      </c>
      <c r="G309" t="str">
        <f>'Rules-Platform'!R310</f>
        <v>y</v>
      </c>
      <c r="H309" t="str">
        <f>'Rules-Platform'!S310</f>
        <v>y</v>
      </c>
      <c r="I309" t="str">
        <f>'Rules-Platform'!T310</f>
        <v>n</v>
      </c>
      <c r="J309" t="str">
        <f>'Rules-Platform'!U310</f>
        <v>n</v>
      </c>
      <c r="K309" t="str">
        <f>'Rules-Platform'!V310</f>
        <v>n</v>
      </c>
      <c r="L309" s="15" t="str">
        <f>'Rules-Platform'!W310</f>
        <v>n</v>
      </c>
      <c r="M309" t="str">
        <f>'Rules-Platform'!X310</f>
        <v>n</v>
      </c>
      <c r="N309" t="str">
        <f>'Rules-Platform'!Y310</f>
        <v>n</v>
      </c>
      <c r="O309" t="str">
        <f>'Rules-Platform'!Z310</f>
        <v>n</v>
      </c>
      <c r="P309" t="str">
        <f>'Rules-Platform'!AA310</f>
        <v>n</v>
      </c>
    </row>
    <row r="310" spans="1:16">
      <c r="A310">
        <f>'Rules-Platform'!C311</f>
        <v>693</v>
      </c>
      <c r="B310" t="str">
        <f>'Rules-Platform'!D311</f>
        <v>AT-x230-28GTv2</v>
      </c>
      <c r="D310" t="str">
        <f>'Rules-Platform'!O311</f>
        <v>port1.0.25-1.0.28</v>
      </c>
      <c r="E310" t="str">
        <f>'Rules-Platform'!P311</f>
        <v>1G SFP</v>
      </c>
      <c r="F310" t="str">
        <f>'Rules-Platform'!Q311</f>
        <v>n</v>
      </c>
      <c r="G310" t="str">
        <f>'Rules-Platform'!R311</f>
        <v>y</v>
      </c>
      <c r="H310" t="str">
        <f>'Rules-Platform'!S311</f>
        <v>y</v>
      </c>
      <c r="I310" t="str">
        <f>'Rules-Platform'!T311</f>
        <v>n</v>
      </c>
      <c r="J310" t="str">
        <f>'Rules-Platform'!U311</f>
        <v>n</v>
      </c>
      <c r="K310" t="str">
        <f>'Rules-Platform'!V311</f>
        <v>n</v>
      </c>
      <c r="L310" s="15" t="str">
        <f>'Rules-Platform'!W311</f>
        <v>n</v>
      </c>
      <c r="M310" t="str">
        <f>'Rules-Platform'!X311</f>
        <v>n</v>
      </c>
      <c r="N310" t="str">
        <f>'Rules-Platform'!Y311</f>
        <v>n</v>
      </c>
      <c r="O310" t="str">
        <f>'Rules-Platform'!Z311</f>
        <v>n</v>
      </c>
      <c r="P310" t="str">
        <f>'Rules-Platform'!AA311</f>
        <v>n</v>
      </c>
    </row>
    <row r="311" spans="1:16">
      <c r="A311">
        <f>'Rules-Platform'!C312</f>
        <v>679</v>
      </c>
      <c r="B311" t="str">
        <f>'Rules-Platform'!D312</f>
        <v>AT-x230-28GPv2</v>
      </c>
      <c r="D311" t="str">
        <f>'Rules-Platform'!O312</f>
        <v>port1.0.25-1.0.28</v>
      </c>
      <c r="E311" t="str">
        <f>'Rules-Platform'!P312</f>
        <v>1G SFP</v>
      </c>
      <c r="F311" t="str">
        <f>'Rules-Platform'!Q312</f>
        <v>n</v>
      </c>
      <c r="G311" t="str">
        <f>'Rules-Platform'!R312</f>
        <v>y</v>
      </c>
      <c r="H311" t="str">
        <f>'Rules-Platform'!S312</f>
        <v>y</v>
      </c>
      <c r="I311" t="str">
        <f>'Rules-Platform'!T312</f>
        <v>n</v>
      </c>
      <c r="J311" t="str">
        <f>'Rules-Platform'!U312</f>
        <v>n</v>
      </c>
      <c r="K311" t="str">
        <f>'Rules-Platform'!V312</f>
        <v>n</v>
      </c>
      <c r="L311" s="15" t="str">
        <f>'Rules-Platform'!W312</f>
        <v>n</v>
      </c>
      <c r="M311" t="str">
        <f>'Rules-Platform'!X312</f>
        <v>n</v>
      </c>
      <c r="N311" t="str">
        <f>'Rules-Platform'!Y312</f>
        <v>n</v>
      </c>
      <c r="O311" t="str">
        <f>'Rules-Platform'!Z312</f>
        <v>n</v>
      </c>
      <c r="P311" t="str">
        <f>'Rules-Platform'!AA312</f>
        <v>n</v>
      </c>
    </row>
  </sheetData>
  <autoFilter ref="A1:P311" xr:uid="{00000000-0009-0000-0000-00000D000000}"/>
  <phoneticPr fontId="64" type="noConversion"/>
  <pageMargins left="0.7" right="0.7" top="0.75" bottom="0.75" header="0.51180555555555496" footer="0.51180555555555496"/>
  <pageSetup paperSize="9" firstPageNumber="0"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7BC96-8B81-4DE2-979C-9BD05B1BB041}">
  <sheetPr codeName="Sheet1">
    <pageSetUpPr fitToPage="1"/>
  </sheetPr>
  <dimension ref="A1:R50"/>
  <sheetViews>
    <sheetView workbookViewId="0">
      <selection activeCell="M1" sqref="M1"/>
    </sheetView>
  </sheetViews>
  <sheetFormatPr defaultRowHeight="15"/>
  <cols>
    <col min="1" max="1" width="4" style="15" customWidth="1"/>
    <col min="2" max="2" width="6.85546875" style="15" customWidth="1"/>
    <col min="3" max="3" width="18.42578125" style="15" customWidth="1"/>
    <col min="4" max="10" width="12.28515625" bestFit="1" customWidth="1"/>
    <col min="11" max="11" width="13.7109375" bestFit="1" customWidth="1"/>
    <col min="12" max="13" width="12.28515625" bestFit="1" customWidth="1"/>
    <col min="14" max="14" width="10.42578125" style="15" customWidth="1"/>
    <col min="15" max="15" width="10.28515625" style="15" customWidth="1"/>
  </cols>
  <sheetData>
    <row r="1" spans="1:15" ht="36">
      <c r="A1" s="897" t="s">
        <v>2263</v>
      </c>
      <c r="B1" s="897" t="s">
        <v>2251</v>
      </c>
      <c r="C1" s="881" t="s">
        <v>2261</v>
      </c>
      <c r="D1" s="892" t="s">
        <v>2231</v>
      </c>
      <c r="E1" s="892" t="s">
        <v>2232</v>
      </c>
      <c r="F1" s="892" t="s">
        <v>2233</v>
      </c>
      <c r="G1" s="892" t="s">
        <v>2234</v>
      </c>
      <c r="H1" s="893" t="s">
        <v>2235</v>
      </c>
      <c r="I1" s="893" t="s">
        <v>2236</v>
      </c>
      <c r="J1" s="893" t="s">
        <v>2237</v>
      </c>
      <c r="K1" s="893" t="s">
        <v>2268</v>
      </c>
      <c r="L1" s="893" t="s">
        <v>2238</v>
      </c>
      <c r="M1" s="893" t="s">
        <v>2267</v>
      </c>
      <c r="N1" s="900" t="s">
        <v>2264</v>
      </c>
      <c r="O1" s="896" t="s">
        <v>2248</v>
      </c>
    </row>
    <row r="2" spans="1:15">
      <c r="A2" s="162">
        <v>1</v>
      </c>
      <c r="B2" s="162" t="s">
        <v>662</v>
      </c>
      <c r="C2" s="899" t="s">
        <v>1103</v>
      </c>
      <c r="D2" s="250" t="s">
        <v>1103</v>
      </c>
      <c r="E2" s="250" t="s">
        <v>1103</v>
      </c>
      <c r="F2" s="250" t="s">
        <v>1103</v>
      </c>
      <c r="G2" s="250" t="s">
        <v>1103</v>
      </c>
      <c r="H2" s="250" t="s">
        <v>1103</v>
      </c>
      <c r="I2" s="250" t="s">
        <v>1103</v>
      </c>
      <c r="J2" s="250" t="s">
        <v>1103</v>
      </c>
      <c r="K2" s="250" t="s">
        <v>1103</v>
      </c>
      <c r="L2" s="250" t="s">
        <v>1103</v>
      </c>
      <c r="M2" s="250" t="s">
        <v>1103</v>
      </c>
      <c r="N2" s="162"/>
      <c r="O2" s="162" t="s">
        <v>2255</v>
      </c>
    </row>
    <row r="3" spans="1:15">
      <c r="A3" s="162">
        <v>2</v>
      </c>
      <c r="B3" s="162" t="s">
        <v>2252</v>
      </c>
      <c r="C3" s="162" t="s">
        <v>1103</v>
      </c>
      <c r="D3" s="894"/>
      <c r="E3" s="894"/>
      <c r="F3" s="894"/>
      <c r="G3" s="250" t="s">
        <v>1090</v>
      </c>
      <c r="H3" s="250" t="s">
        <v>1090</v>
      </c>
      <c r="I3" s="250" t="s">
        <v>1090</v>
      </c>
      <c r="J3" s="250" t="s">
        <v>1090</v>
      </c>
      <c r="K3" s="250" t="s">
        <v>1090</v>
      </c>
      <c r="L3" s="250" t="s">
        <v>1090</v>
      </c>
      <c r="M3" s="250" t="s">
        <v>1090</v>
      </c>
      <c r="N3" s="162"/>
      <c r="O3" s="162" t="s">
        <v>2255</v>
      </c>
    </row>
    <row r="4" spans="1:15">
      <c r="A4" s="162">
        <v>3</v>
      </c>
      <c r="B4" s="162" t="s">
        <v>2252</v>
      </c>
      <c r="C4" s="162" t="s">
        <v>1103</v>
      </c>
      <c r="D4" s="250" t="s">
        <v>1094</v>
      </c>
      <c r="E4" s="250" t="s">
        <v>1094</v>
      </c>
      <c r="F4" s="250" t="s">
        <v>1094</v>
      </c>
      <c r="G4" s="250" t="s">
        <v>1094</v>
      </c>
      <c r="H4" s="250" t="s">
        <v>1094</v>
      </c>
      <c r="I4" s="250" t="s">
        <v>1094</v>
      </c>
      <c r="J4" s="250" t="s">
        <v>1094</v>
      </c>
      <c r="K4" s="250" t="s">
        <v>1094</v>
      </c>
      <c r="L4" s="895"/>
      <c r="M4" s="895"/>
      <c r="N4" s="162" t="s">
        <v>2239</v>
      </c>
      <c r="O4" s="162" t="s">
        <v>2255</v>
      </c>
    </row>
    <row r="5" spans="1:15">
      <c r="A5" s="162">
        <v>4</v>
      </c>
      <c r="B5" s="162" t="s">
        <v>2252</v>
      </c>
      <c r="C5" s="162" t="s">
        <v>1103</v>
      </c>
      <c r="D5" s="250" t="s">
        <v>1097</v>
      </c>
      <c r="E5" s="250" t="s">
        <v>1097</v>
      </c>
      <c r="F5" s="250" t="s">
        <v>1097</v>
      </c>
      <c r="G5" s="250" t="s">
        <v>1097</v>
      </c>
      <c r="H5" s="250" t="s">
        <v>1097</v>
      </c>
      <c r="I5" s="250" t="s">
        <v>1097</v>
      </c>
      <c r="J5" s="250" t="s">
        <v>1097</v>
      </c>
      <c r="K5" s="250" t="s">
        <v>1097</v>
      </c>
      <c r="L5" s="895"/>
      <c r="M5" s="895"/>
      <c r="N5" s="162" t="s">
        <v>2239</v>
      </c>
      <c r="O5" s="162" t="s">
        <v>2255</v>
      </c>
    </row>
    <row r="6" spans="1:15">
      <c r="A6" s="162">
        <v>5</v>
      </c>
      <c r="B6" s="162" t="s">
        <v>662</v>
      </c>
      <c r="C6" s="162" t="s">
        <v>1103</v>
      </c>
      <c r="D6" s="250" t="s">
        <v>1098</v>
      </c>
      <c r="E6" s="250" t="s">
        <v>1098</v>
      </c>
      <c r="F6" s="250" t="s">
        <v>1098</v>
      </c>
      <c r="G6" s="250" t="s">
        <v>1098</v>
      </c>
      <c r="H6" s="250" t="s">
        <v>1098</v>
      </c>
      <c r="I6" s="250" t="s">
        <v>1098</v>
      </c>
      <c r="J6" s="250" t="s">
        <v>1098</v>
      </c>
      <c r="K6" s="250" t="s">
        <v>1098</v>
      </c>
      <c r="L6" s="250" t="s">
        <v>1098</v>
      </c>
      <c r="M6" s="250" t="s">
        <v>1098</v>
      </c>
      <c r="N6" s="162"/>
      <c r="O6" s="162" t="s">
        <v>2255</v>
      </c>
    </row>
    <row r="7" spans="1:15">
      <c r="A7" s="162">
        <v>6</v>
      </c>
      <c r="B7" s="162" t="s">
        <v>662</v>
      </c>
      <c r="C7" s="899" t="s">
        <v>2258</v>
      </c>
      <c r="D7" s="250" t="s">
        <v>233</v>
      </c>
      <c r="E7" s="250" t="s">
        <v>233</v>
      </c>
      <c r="F7" s="250" t="s">
        <v>233</v>
      </c>
      <c r="G7" s="895"/>
      <c r="H7" s="895"/>
      <c r="I7" s="895"/>
      <c r="J7" s="895"/>
      <c r="K7" s="895"/>
      <c r="L7" s="895"/>
      <c r="M7" s="895"/>
      <c r="N7" s="162" t="s">
        <v>2240</v>
      </c>
      <c r="O7" s="162"/>
    </row>
    <row r="8" spans="1:15">
      <c r="A8" s="162">
        <v>7</v>
      </c>
      <c r="B8" s="162" t="s">
        <v>662</v>
      </c>
      <c r="C8" s="899" t="s">
        <v>2259</v>
      </c>
      <c r="D8" s="250" t="s">
        <v>234</v>
      </c>
      <c r="E8" s="250" t="s">
        <v>234</v>
      </c>
      <c r="F8" s="250" t="s">
        <v>234</v>
      </c>
      <c r="G8" s="250" t="s">
        <v>234</v>
      </c>
      <c r="H8" s="250" t="s">
        <v>234</v>
      </c>
      <c r="I8" s="250" t="s">
        <v>234</v>
      </c>
      <c r="J8" s="895"/>
      <c r="K8" s="895"/>
      <c r="L8" s="895"/>
      <c r="M8" s="895"/>
      <c r="N8" s="162" t="s">
        <v>2241</v>
      </c>
      <c r="O8" s="162"/>
    </row>
    <row r="9" spans="1:15">
      <c r="A9" s="162">
        <v>8</v>
      </c>
      <c r="B9" s="162" t="s">
        <v>662</v>
      </c>
      <c r="C9" s="162" t="s">
        <v>55</v>
      </c>
      <c r="D9" s="250" t="s">
        <v>111</v>
      </c>
      <c r="E9" s="250" t="s">
        <v>111</v>
      </c>
      <c r="F9" s="250" t="s">
        <v>111</v>
      </c>
      <c r="G9" s="250" t="s">
        <v>111</v>
      </c>
      <c r="H9" s="250" t="s">
        <v>111</v>
      </c>
      <c r="I9" s="250" t="s">
        <v>111</v>
      </c>
      <c r="J9" s="895"/>
      <c r="K9" s="895"/>
      <c r="L9" s="895"/>
      <c r="M9" s="895"/>
      <c r="N9" s="162" t="s">
        <v>2242</v>
      </c>
      <c r="O9" s="162"/>
    </row>
    <row r="10" spans="1:15">
      <c r="A10" s="162">
        <v>9</v>
      </c>
      <c r="B10" s="162" t="s">
        <v>662</v>
      </c>
      <c r="C10" s="899" t="s">
        <v>56</v>
      </c>
      <c r="D10" s="250" t="s">
        <v>56</v>
      </c>
      <c r="E10" s="250" t="s">
        <v>56</v>
      </c>
      <c r="F10" s="250" t="s">
        <v>56</v>
      </c>
      <c r="G10" s="250" t="s">
        <v>56</v>
      </c>
      <c r="H10" s="250" t="s">
        <v>56</v>
      </c>
      <c r="I10" s="250" t="s">
        <v>56</v>
      </c>
      <c r="J10" s="895"/>
      <c r="K10" s="895"/>
      <c r="L10" s="895"/>
      <c r="M10" s="895"/>
      <c r="N10" s="162" t="s">
        <v>2241</v>
      </c>
      <c r="O10" s="162"/>
    </row>
    <row r="11" spans="1:15">
      <c r="A11" s="162">
        <v>10</v>
      </c>
      <c r="B11" s="162" t="s">
        <v>662</v>
      </c>
      <c r="C11" s="899" t="s">
        <v>1541</v>
      </c>
      <c r="D11" s="894"/>
      <c r="E11" s="894"/>
      <c r="F11" s="894"/>
      <c r="G11" s="894"/>
      <c r="H11" s="894"/>
      <c r="I11" s="894"/>
      <c r="J11" s="894"/>
      <c r="K11" s="250" t="s">
        <v>1541</v>
      </c>
      <c r="L11" s="250" t="s">
        <v>1541</v>
      </c>
      <c r="M11" s="250" t="s">
        <v>1541</v>
      </c>
      <c r="N11" s="162"/>
      <c r="O11" s="162" t="s">
        <v>2253</v>
      </c>
    </row>
    <row r="12" spans="1:15">
      <c r="A12" s="162">
        <v>11</v>
      </c>
      <c r="B12" s="162" t="s">
        <v>662</v>
      </c>
      <c r="C12" s="899" t="s">
        <v>53</v>
      </c>
      <c r="D12" s="250" t="s">
        <v>53</v>
      </c>
      <c r="E12" s="250" t="s">
        <v>53</v>
      </c>
      <c r="F12" s="250" t="s">
        <v>53</v>
      </c>
      <c r="G12" s="250" t="s">
        <v>53</v>
      </c>
      <c r="H12" s="250" t="s">
        <v>53</v>
      </c>
      <c r="I12" s="250" t="s">
        <v>53</v>
      </c>
      <c r="J12" s="895"/>
      <c r="K12" s="895"/>
      <c r="L12" s="895"/>
      <c r="M12" s="895"/>
      <c r="N12" s="162" t="s">
        <v>2241</v>
      </c>
      <c r="O12" s="162"/>
    </row>
    <row r="13" spans="1:15">
      <c r="A13" s="162">
        <v>12</v>
      </c>
      <c r="B13" s="162" t="s">
        <v>662</v>
      </c>
      <c r="C13" s="899" t="s">
        <v>46</v>
      </c>
      <c r="D13" s="894"/>
      <c r="E13" s="894"/>
      <c r="F13" s="250" t="s">
        <v>46</v>
      </c>
      <c r="G13" s="250" t="s">
        <v>46</v>
      </c>
      <c r="H13" s="250" t="s">
        <v>46</v>
      </c>
      <c r="I13" s="250" t="s">
        <v>46</v>
      </c>
      <c r="J13" s="250" t="s">
        <v>46</v>
      </c>
      <c r="K13" s="250" t="s">
        <v>46</v>
      </c>
      <c r="L13" s="250" t="s">
        <v>46</v>
      </c>
      <c r="M13" s="250" t="s">
        <v>46</v>
      </c>
      <c r="N13" s="162"/>
      <c r="O13" s="162" t="s">
        <v>2253</v>
      </c>
    </row>
    <row r="14" spans="1:15">
      <c r="A14" s="162">
        <v>13</v>
      </c>
      <c r="B14" s="162" t="s">
        <v>662</v>
      </c>
      <c r="C14" s="899" t="s">
        <v>2194</v>
      </c>
      <c r="D14" s="894"/>
      <c r="E14" s="894"/>
      <c r="F14" s="894"/>
      <c r="G14" s="894"/>
      <c r="H14" s="894"/>
      <c r="I14" s="894"/>
      <c r="J14" s="894"/>
      <c r="K14" s="894"/>
      <c r="L14" s="250" t="s">
        <v>2194</v>
      </c>
      <c r="M14" s="250" t="s">
        <v>2194</v>
      </c>
      <c r="N14" s="162"/>
      <c r="O14" s="898" t="s">
        <v>598</v>
      </c>
    </row>
    <row r="15" spans="1:15">
      <c r="A15" s="162">
        <v>14</v>
      </c>
      <c r="B15" s="162" t="s">
        <v>662</v>
      </c>
      <c r="C15" s="162" t="s">
        <v>2266</v>
      </c>
      <c r="D15" s="894"/>
      <c r="E15" s="894"/>
      <c r="F15" s="894"/>
      <c r="G15" s="894"/>
      <c r="H15" s="894"/>
      <c r="I15" s="894"/>
      <c r="J15" s="894"/>
      <c r="K15" s="894"/>
      <c r="L15" s="894"/>
      <c r="M15" s="250" t="s">
        <v>2266</v>
      </c>
      <c r="N15" s="162"/>
      <c r="O15" s="898" t="s">
        <v>598</v>
      </c>
    </row>
    <row r="16" spans="1:15">
      <c r="A16" s="162">
        <v>15</v>
      </c>
      <c r="B16" s="162" t="s">
        <v>662</v>
      </c>
      <c r="C16" s="899" t="s">
        <v>744</v>
      </c>
      <c r="D16" s="250" t="s">
        <v>744</v>
      </c>
      <c r="E16" s="250" t="s">
        <v>744</v>
      </c>
      <c r="F16" s="250" t="s">
        <v>744</v>
      </c>
      <c r="G16" s="895"/>
      <c r="H16" s="895"/>
      <c r="I16" s="895"/>
      <c r="J16" s="895"/>
      <c r="K16" s="895"/>
      <c r="L16" s="895"/>
      <c r="M16" s="895"/>
      <c r="N16" s="162" t="s">
        <v>2245</v>
      </c>
      <c r="O16" s="162"/>
    </row>
    <row r="17" spans="1:18">
      <c r="A17" s="162">
        <v>16</v>
      </c>
      <c r="B17" s="162" t="s">
        <v>662</v>
      </c>
      <c r="C17" s="899" t="s">
        <v>106</v>
      </c>
      <c r="D17" s="250" t="s">
        <v>106</v>
      </c>
      <c r="E17" s="250" t="s">
        <v>106</v>
      </c>
      <c r="F17" s="250" t="s">
        <v>106</v>
      </c>
      <c r="G17" s="250" t="s">
        <v>106</v>
      </c>
      <c r="H17" s="250" t="s">
        <v>106</v>
      </c>
      <c r="I17" s="250" t="s">
        <v>106</v>
      </c>
      <c r="J17" s="250" t="s">
        <v>106</v>
      </c>
      <c r="K17" s="250" t="s">
        <v>106</v>
      </c>
      <c r="L17" s="250" t="s">
        <v>106</v>
      </c>
      <c r="M17" s="250" t="s">
        <v>106</v>
      </c>
      <c r="N17" s="162"/>
      <c r="O17" s="162" t="s">
        <v>2256</v>
      </c>
    </row>
    <row r="18" spans="1:18">
      <c r="A18" s="162">
        <v>17</v>
      </c>
      <c r="B18" s="162" t="s">
        <v>662</v>
      </c>
      <c r="C18" s="899" t="s">
        <v>2260</v>
      </c>
      <c r="D18" s="250" t="s">
        <v>61</v>
      </c>
      <c r="E18" s="250" t="s">
        <v>61</v>
      </c>
      <c r="F18" s="250" t="s">
        <v>61</v>
      </c>
      <c r="G18" s="895"/>
      <c r="H18" s="895"/>
      <c r="I18" s="895"/>
      <c r="J18" s="895"/>
      <c r="K18" s="895"/>
      <c r="L18" s="895"/>
      <c r="M18" s="895"/>
      <c r="N18" s="162" t="s">
        <v>2246</v>
      </c>
      <c r="O18" s="162"/>
      <c r="R18" s="250"/>
    </row>
    <row r="19" spans="1:18">
      <c r="A19" s="162">
        <v>18</v>
      </c>
      <c r="B19" s="162" t="s">
        <v>662</v>
      </c>
      <c r="C19" s="899" t="s">
        <v>848</v>
      </c>
      <c r="D19" s="894"/>
      <c r="E19" s="894"/>
      <c r="F19" s="250" t="s">
        <v>848</v>
      </c>
      <c r="G19" s="250" t="s">
        <v>848</v>
      </c>
      <c r="H19" s="250" t="s">
        <v>848</v>
      </c>
      <c r="I19" s="250" t="s">
        <v>848</v>
      </c>
      <c r="J19" s="250" t="s">
        <v>848</v>
      </c>
      <c r="K19" s="250" t="s">
        <v>848</v>
      </c>
      <c r="L19" s="250" t="s">
        <v>848</v>
      </c>
      <c r="M19" s="250" t="s">
        <v>848</v>
      </c>
      <c r="N19" s="162"/>
      <c r="O19" s="162" t="s">
        <v>2256</v>
      </c>
    </row>
    <row r="20" spans="1:18">
      <c r="A20" s="162">
        <v>19</v>
      </c>
      <c r="B20" s="162" t="s">
        <v>662</v>
      </c>
      <c r="C20" s="899" t="s">
        <v>1117</v>
      </c>
      <c r="D20" s="250" t="s">
        <v>1117</v>
      </c>
      <c r="E20" s="250" t="s">
        <v>1117</v>
      </c>
      <c r="F20" s="895"/>
      <c r="G20" s="895"/>
      <c r="H20" s="895"/>
      <c r="I20" s="895"/>
      <c r="J20" s="895"/>
      <c r="K20" s="895"/>
      <c r="L20" s="895"/>
      <c r="M20" s="895"/>
      <c r="N20" s="162" t="s">
        <v>2247</v>
      </c>
      <c r="O20" s="162"/>
    </row>
    <row r="21" spans="1:18">
      <c r="A21" s="162">
        <v>20</v>
      </c>
      <c r="B21" s="162" t="s">
        <v>662</v>
      </c>
      <c r="C21" s="899" t="s">
        <v>885</v>
      </c>
      <c r="D21" s="894"/>
      <c r="E21" s="894"/>
      <c r="F21" s="250" t="s">
        <v>885</v>
      </c>
      <c r="G21" s="250" t="s">
        <v>885</v>
      </c>
      <c r="H21" s="250" t="s">
        <v>885</v>
      </c>
      <c r="I21" s="250" t="s">
        <v>885</v>
      </c>
      <c r="J21" s="250" t="s">
        <v>885</v>
      </c>
      <c r="K21" s="250" t="s">
        <v>885</v>
      </c>
      <c r="L21" s="250" t="s">
        <v>885</v>
      </c>
      <c r="M21" s="250" t="s">
        <v>885</v>
      </c>
      <c r="N21" s="162"/>
      <c r="O21" s="162" t="s">
        <v>2256</v>
      </c>
    </row>
    <row r="22" spans="1:18">
      <c r="A22" s="162">
        <v>21</v>
      </c>
      <c r="B22" s="162" t="s">
        <v>662</v>
      </c>
      <c r="C22" s="162" t="s">
        <v>885</v>
      </c>
      <c r="D22" s="894"/>
      <c r="E22" s="894"/>
      <c r="F22" s="250" t="s">
        <v>905</v>
      </c>
      <c r="G22" s="250" t="s">
        <v>905</v>
      </c>
      <c r="H22" s="250" t="s">
        <v>905</v>
      </c>
      <c r="I22" s="250" t="s">
        <v>905</v>
      </c>
      <c r="J22" s="250" t="s">
        <v>905</v>
      </c>
      <c r="K22" s="250" t="s">
        <v>905</v>
      </c>
      <c r="L22" s="250" t="s">
        <v>905</v>
      </c>
      <c r="M22" s="250" t="s">
        <v>905</v>
      </c>
      <c r="N22" s="162"/>
      <c r="O22" s="162" t="s">
        <v>2254</v>
      </c>
    </row>
    <row r="23" spans="1:18">
      <c r="A23" s="162">
        <v>22</v>
      </c>
      <c r="B23" s="162" t="s">
        <v>662</v>
      </c>
      <c r="C23" s="899" t="s">
        <v>105</v>
      </c>
      <c r="D23" s="250" t="s">
        <v>105</v>
      </c>
      <c r="E23" s="250" t="s">
        <v>105</v>
      </c>
      <c r="F23" s="250" t="s">
        <v>105</v>
      </c>
      <c r="G23" s="250" t="s">
        <v>105</v>
      </c>
      <c r="H23" s="250" t="s">
        <v>105</v>
      </c>
      <c r="I23" s="250" t="s">
        <v>105</v>
      </c>
      <c r="J23" s="250" t="s">
        <v>105</v>
      </c>
      <c r="K23" s="250" t="s">
        <v>105</v>
      </c>
      <c r="L23" s="250" t="s">
        <v>105</v>
      </c>
      <c r="M23" s="250" t="s">
        <v>105</v>
      </c>
      <c r="N23" s="162"/>
      <c r="O23" s="162" t="s">
        <v>2256</v>
      </c>
    </row>
    <row r="24" spans="1:18">
      <c r="A24" s="162">
        <v>23</v>
      </c>
      <c r="B24" s="162" t="s">
        <v>662</v>
      </c>
      <c r="C24" s="162" t="s">
        <v>105</v>
      </c>
      <c r="D24" s="250" t="s">
        <v>940</v>
      </c>
      <c r="E24" s="250" t="s">
        <v>940</v>
      </c>
      <c r="F24" s="250" t="s">
        <v>940</v>
      </c>
      <c r="G24" s="250" t="s">
        <v>940</v>
      </c>
      <c r="H24" s="250" t="s">
        <v>940</v>
      </c>
      <c r="I24" s="250" t="s">
        <v>940</v>
      </c>
      <c r="J24" s="250" t="s">
        <v>940</v>
      </c>
      <c r="K24" s="250" t="s">
        <v>940</v>
      </c>
      <c r="L24" s="250" t="s">
        <v>940</v>
      </c>
      <c r="M24" s="250" t="s">
        <v>940</v>
      </c>
      <c r="N24" s="162"/>
      <c r="O24" s="162" t="s">
        <v>2254</v>
      </c>
    </row>
    <row r="25" spans="1:18">
      <c r="A25" s="162">
        <v>24</v>
      </c>
      <c r="B25" s="162" t="s">
        <v>662</v>
      </c>
      <c r="C25" s="162" t="s">
        <v>105</v>
      </c>
      <c r="D25" s="894"/>
      <c r="E25" s="894"/>
      <c r="F25" s="250" t="s">
        <v>45</v>
      </c>
      <c r="G25" s="250" t="s">
        <v>45</v>
      </c>
      <c r="H25" s="250" t="s">
        <v>45</v>
      </c>
      <c r="I25" s="250" t="s">
        <v>45</v>
      </c>
      <c r="J25" s="250" t="s">
        <v>45</v>
      </c>
      <c r="K25" s="250" t="s">
        <v>45</v>
      </c>
      <c r="L25" s="250" t="s">
        <v>45</v>
      </c>
      <c r="M25" s="250" t="s">
        <v>45</v>
      </c>
      <c r="N25" s="162"/>
      <c r="O25" s="162" t="s">
        <v>2253</v>
      </c>
    </row>
    <row r="26" spans="1:18">
      <c r="A26" s="162">
        <v>25</v>
      </c>
      <c r="B26" s="162" t="s">
        <v>662</v>
      </c>
      <c r="C26" s="162" t="s">
        <v>105</v>
      </c>
      <c r="D26" s="250" t="s">
        <v>932</v>
      </c>
      <c r="E26" s="250" t="s">
        <v>932</v>
      </c>
      <c r="F26" s="250" t="s">
        <v>932</v>
      </c>
      <c r="G26" s="250" t="s">
        <v>932</v>
      </c>
      <c r="H26" s="250" t="s">
        <v>932</v>
      </c>
      <c r="I26" s="250" t="s">
        <v>932</v>
      </c>
      <c r="J26" s="250" t="s">
        <v>932</v>
      </c>
      <c r="K26" s="250" t="s">
        <v>932</v>
      </c>
      <c r="L26" s="250" t="s">
        <v>932</v>
      </c>
      <c r="M26" s="250" t="s">
        <v>932</v>
      </c>
      <c r="N26" s="162"/>
      <c r="O26" s="162" t="s">
        <v>2254</v>
      </c>
    </row>
    <row r="27" spans="1:18">
      <c r="A27" s="162">
        <v>26</v>
      </c>
      <c r="B27" s="162" t="s">
        <v>662</v>
      </c>
      <c r="C27" s="899" t="s">
        <v>2062</v>
      </c>
      <c r="D27" s="894"/>
      <c r="E27" s="894"/>
      <c r="F27" s="894"/>
      <c r="G27" s="894"/>
      <c r="H27" s="894"/>
      <c r="I27" s="894"/>
      <c r="J27" s="894"/>
      <c r="K27" s="894"/>
      <c r="L27" s="250" t="s">
        <v>2062</v>
      </c>
      <c r="M27" s="250" t="s">
        <v>2062</v>
      </c>
      <c r="N27" s="162"/>
      <c r="O27" s="162" t="s">
        <v>2250</v>
      </c>
    </row>
    <row r="28" spans="1:18">
      <c r="A28" s="162">
        <v>27</v>
      </c>
      <c r="B28" s="162" t="s">
        <v>662</v>
      </c>
      <c r="C28" s="162" t="s">
        <v>2062</v>
      </c>
      <c r="D28" s="894"/>
      <c r="E28" s="894"/>
      <c r="F28" s="894"/>
      <c r="G28" s="894"/>
      <c r="H28" s="894"/>
      <c r="I28" s="894"/>
      <c r="J28" s="894"/>
      <c r="K28" s="894"/>
      <c r="L28" s="250" t="s">
        <v>2074</v>
      </c>
      <c r="M28" s="250" t="s">
        <v>2074</v>
      </c>
      <c r="N28" s="162"/>
      <c r="O28" s="162" t="s">
        <v>2250</v>
      </c>
    </row>
    <row r="29" spans="1:18">
      <c r="A29" s="162">
        <v>28</v>
      </c>
      <c r="B29" s="162" t="s">
        <v>662</v>
      </c>
      <c r="C29" s="899" t="s">
        <v>2105</v>
      </c>
      <c r="D29" s="894"/>
      <c r="E29" s="894"/>
      <c r="F29" s="894"/>
      <c r="G29" s="894"/>
      <c r="H29" s="894"/>
      <c r="I29" s="894"/>
      <c r="J29" s="894"/>
      <c r="K29" s="894"/>
      <c r="L29" s="250" t="s">
        <v>2105</v>
      </c>
      <c r="M29" s="250" t="s">
        <v>2105</v>
      </c>
      <c r="N29" s="162"/>
      <c r="O29" s="162" t="s">
        <v>2250</v>
      </c>
    </row>
    <row r="30" spans="1:18">
      <c r="A30" s="162">
        <v>29</v>
      </c>
      <c r="B30" s="162" t="s">
        <v>662</v>
      </c>
      <c r="C30" s="162" t="s">
        <v>2105</v>
      </c>
      <c r="D30" s="894"/>
      <c r="E30" s="894"/>
      <c r="F30" s="894"/>
      <c r="G30" s="894"/>
      <c r="H30" s="894"/>
      <c r="I30" s="894"/>
      <c r="J30" s="894"/>
      <c r="K30" s="894"/>
      <c r="L30" s="250" t="s">
        <v>2106</v>
      </c>
      <c r="M30" s="250" t="s">
        <v>2106</v>
      </c>
      <c r="N30" s="162"/>
      <c r="O30" s="162" t="s">
        <v>2250</v>
      </c>
    </row>
    <row r="31" spans="1:18">
      <c r="A31" s="162">
        <v>30</v>
      </c>
      <c r="B31" s="162" t="s">
        <v>662</v>
      </c>
      <c r="C31" s="899" t="s">
        <v>681</v>
      </c>
      <c r="D31" s="250" t="s">
        <v>681</v>
      </c>
      <c r="E31" s="250" t="s">
        <v>681</v>
      </c>
      <c r="F31" s="250" t="s">
        <v>681</v>
      </c>
      <c r="G31" s="250" t="s">
        <v>681</v>
      </c>
      <c r="H31" s="250" t="s">
        <v>681</v>
      </c>
      <c r="I31" s="250" t="s">
        <v>681</v>
      </c>
      <c r="J31" s="895"/>
      <c r="K31" s="895"/>
      <c r="L31" s="895"/>
      <c r="M31" s="895"/>
      <c r="N31" s="162" t="s">
        <v>2242</v>
      </c>
      <c r="O31" s="162"/>
    </row>
    <row r="32" spans="1:18">
      <c r="A32" s="162">
        <v>31</v>
      </c>
      <c r="B32" s="162" t="s">
        <v>662</v>
      </c>
      <c r="C32" s="162" t="s">
        <v>681</v>
      </c>
      <c r="D32" s="250" t="s">
        <v>959</v>
      </c>
      <c r="E32" s="250" t="s">
        <v>959</v>
      </c>
      <c r="F32" s="250" t="s">
        <v>959</v>
      </c>
      <c r="G32" s="250" t="s">
        <v>959</v>
      </c>
      <c r="H32" s="250" t="s">
        <v>959</v>
      </c>
      <c r="I32" s="250" t="s">
        <v>959</v>
      </c>
      <c r="J32" s="895"/>
      <c r="K32" s="895"/>
      <c r="L32" s="895"/>
      <c r="M32" s="895"/>
      <c r="N32" s="162" t="s">
        <v>2242</v>
      </c>
      <c r="O32" s="162"/>
    </row>
    <row r="33" spans="1:15">
      <c r="A33" s="162">
        <v>32</v>
      </c>
      <c r="B33" s="162" t="s">
        <v>662</v>
      </c>
      <c r="C33" s="899" t="s">
        <v>964</v>
      </c>
      <c r="D33" s="894"/>
      <c r="E33" s="894"/>
      <c r="F33" s="894"/>
      <c r="G33" s="250" t="s">
        <v>964</v>
      </c>
      <c r="H33" s="250" t="s">
        <v>964</v>
      </c>
      <c r="I33" s="250" t="s">
        <v>964</v>
      </c>
      <c r="J33" s="250" t="s">
        <v>964</v>
      </c>
      <c r="K33" s="250" t="s">
        <v>964</v>
      </c>
      <c r="L33" s="250" t="s">
        <v>964</v>
      </c>
      <c r="M33" s="250" t="s">
        <v>964</v>
      </c>
      <c r="N33" s="162"/>
      <c r="O33" s="162" t="s">
        <v>2254</v>
      </c>
    </row>
    <row r="34" spans="1:15">
      <c r="A34" s="162">
        <v>33</v>
      </c>
      <c r="B34" s="162" t="s">
        <v>662</v>
      </c>
      <c r="C34" s="162" t="s">
        <v>964</v>
      </c>
      <c r="D34" s="894"/>
      <c r="E34" s="894"/>
      <c r="F34" s="894"/>
      <c r="G34" s="250" t="s">
        <v>1424</v>
      </c>
      <c r="H34" s="250" t="s">
        <v>1424</v>
      </c>
      <c r="I34" s="250" t="s">
        <v>1424</v>
      </c>
      <c r="J34" s="250" t="s">
        <v>1424</v>
      </c>
      <c r="K34" s="250" t="s">
        <v>1424</v>
      </c>
      <c r="L34" s="250" t="s">
        <v>1424</v>
      </c>
      <c r="M34" s="250" t="s">
        <v>1424</v>
      </c>
      <c r="N34" s="162"/>
      <c r="O34" s="162" t="s">
        <v>2254</v>
      </c>
    </row>
    <row r="35" spans="1:15">
      <c r="A35" s="162">
        <v>34</v>
      </c>
      <c r="B35" s="162" t="s">
        <v>662</v>
      </c>
      <c r="C35" s="899" t="s">
        <v>1518</v>
      </c>
      <c r="D35" s="894"/>
      <c r="E35" s="894"/>
      <c r="F35" s="894"/>
      <c r="G35" s="894"/>
      <c r="H35" s="894"/>
      <c r="I35" s="250" t="s">
        <v>1518</v>
      </c>
      <c r="J35" s="250" t="s">
        <v>1518</v>
      </c>
      <c r="K35" s="250" t="s">
        <v>1518</v>
      </c>
      <c r="L35" s="250" t="s">
        <v>1518</v>
      </c>
      <c r="M35" s="250" t="s">
        <v>1518</v>
      </c>
      <c r="N35" s="162"/>
      <c r="O35" s="162" t="s">
        <v>2253</v>
      </c>
    </row>
    <row r="36" spans="1:15">
      <c r="A36" s="162">
        <v>35</v>
      </c>
      <c r="B36" s="162" t="s">
        <v>662</v>
      </c>
      <c r="C36" s="162" t="s">
        <v>1518</v>
      </c>
      <c r="D36" s="894"/>
      <c r="E36" s="894"/>
      <c r="F36" s="894"/>
      <c r="G36" s="894"/>
      <c r="H36" s="894"/>
      <c r="I36" s="894"/>
      <c r="J36" s="250" t="s">
        <v>2243</v>
      </c>
      <c r="K36" s="250" t="s">
        <v>2243</v>
      </c>
      <c r="L36" s="250" t="s">
        <v>2243</v>
      </c>
      <c r="M36" s="250" t="s">
        <v>2243</v>
      </c>
      <c r="N36" s="162"/>
      <c r="O36" s="162" t="s">
        <v>2253</v>
      </c>
    </row>
    <row r="37" spans="1:15">
      <c r="A37" s="162">
        <v>36</v>
      </c>
      <c r="B37" s="162" t="s">
        <v>662</v>
      </c>
      <c r="C37" s="899" t="s">
        <v>59</v>
      </c>
      <c r="D37" s="250" t="s">
        <v>59</v>
      </c>
      <c r="E37" s="250" t="s">
        <v>59</v>
      </c>
      <c r="F37" s="250" t="s">
        <v>59</v>
      </c>
      <c r="G37" s="250" t="s">
        <v>59</v>
      </c>
      <c r="H37" s="250" t="s">
        <v>59</v>
      </c>
      <c r="I37" s="250" t="s">
        <v>59</v>
      </c>
      <c r="J37" s="895"/>
      <c r="K37" s="895"/>
      <c r="L37" s="895"/>
      <c r="M37" s="895"/>
      <c r="N37" s="162" t="s">
        <v>2241</v>
      </c>
      <c r="O37" s="162"/>
    </row>
    <row r="38" spans="1:15">
      <c r="A38" s="162">
        <v>37</v>
      </c>
      <c r="B38" s="162" t="s">
        <v>662</v>
      </c>
      <c r="C38" s="162" t="s">
        <v>59</v>
      </c>
      <c r="D38" s="250" t="s">
        <v>57</v>
      </c>
      <c r="E38" s="250" t="s">
        <v>57</v>
      </c>
      <c r="F38" s="250" t="s">
        <v>57</v>
      </c>
      <c r="G38" s="250" t="s">
        <v>57</v>
      </c>
      <c r="H38" s="250" t="s">
        <v>57</v>
      </c>
      <c r="I38" s="250" t="s">
        <v>57</v>
      </c>
      <c r="J38" s="895"/>
      <c r="K38" s="895"/>
      <c r="L38" s="895"/>
      <c r="M38" s="895"/>
      <c r="N38" s="162" t="s">
        <v>2241</v>
      </c>
      <c r="O38" s="162"/>
    </row>
    <row r="39" spans="1:15">
      <c r="A39" s="162">
        <v>38</v>
      </c>
      <c r="B39" s="162" t="s">
        <v>662</v>
      </c>
      <c r="C39" s="162" t="s">
        <v>59</v>
      </c>
      <c r="D39" s="250" t="s">
        <v>2244</v>
      </c>
      <c r="E39" s="250" t="s">
        <v>2244</v>
      </c>
      <c r="F39" s="250" t="s">
        <v>2244</v>
      </c>
      <c r="G39" s="250" t="s">
        <v>2244</v>
      </c>
      <c r="H39" s="250" t="s">
        <v>2244</v>
      </c>
      <c r="I39" s="250" t="s">
        <v>2244</v>
      </c>
      <c r="J39" s="895"/>
      <c r="K39" s="895"/>
      <c r="L39" s="895"/>
      <c r="M39" s="895"/>
      <c r="N39" s="162" t="s">
        <v>2241</v>
      </c>
      <c r="O39" s="162"/>
    </row>
    <row r="40" spans="1:15">
      <c r="A40" s="162">
        <v>39</v>
      </c>
      <c r="B40" s="162" t="s">
        <v>662</v>
      </c>
      <c r="C40" s="162" t="s">
        <v>59</v>
      </c>
      <c r="D40" s="250" t="s">
        <v>999</v>
      </c>
      <c r="E40" s="250" t="s">
        <v>999</v>
      </c>
      <c r="F40" s="250" t="s">
        <v>999</v>
      </c>
      <c r="G40" s="250" t="s">
        <v>999</v>
      </c>
      <c r="H40" s="250" t="s">
        <v>999</v>
      </c>
      <c r="I40" s="250" t="s">
        <v>999</v>
      </c>
      <c r="J40" s="895"/>
      <c r="K40" s="895"/>
      <c r="L40" s="895"/>
      <c r="M40" s="895"/>
      <c r="N40" s="162" t="s">
        <v>2241</v>
      </c>
      <c r="O40" s="162"/>
    </row>
    <row r="41" spans="1:15">
      <c r="A41" s="162">
        <v>40</v>
      </c>
      <c r="B41" s="162" t="s">
        <v>662</v>
      </c>
      <c r="C41" s="899" t="s">
        <v>50</v>
      </c>
      <c r="D41" s="894"/>
      <c r="E41" s="894"/>
      <c r="F41" s="894"/>
      <c r="G41" s="894" t="s">
        <v>50</v>
      </c>
      <c r="H41" s="250" t="s">
        <v>50</v>
      </c>
      <c r="I41" s="250" t="s">
        <v>50</v>
      </c>
      <c r="J41" s="250" t="s">
        <v>50</v>
      </c>
      <c r="K41" s="250" t="s">
        <v>50</v>
      </c>
      <c r="L41" s="250" t="s">
        <v>50</v>
      </c>
      <c r="M41" s="250" t="s">
        <v>50</v>
      </c>
      <c r="N41" s="162"/>
      <c r="O41" s="162" t="s">
        <v>2253</v>
      </c>
    </row>
    <row r="42" spans="1:15">
      <c r="A42" s="162">
        <v>41</v>
      </c>
      <c r="B42" s="162" t="s">
        <v>662</v>
      </c>
      <c r="C42" s="162" t="s">
        <v>50</v>
      </c>
      <c r="D42" s="894"/>
      <c r="E42" s="894"/>
      <c r="F42" s="894"/>
      <c r="G42" s="250" t="s">
        <v>1032</v>
      </c>
      <c r="H42" s="250" t="s">
        <v>1032</v>
      </c>
      <c r="I42" s="250" t="s">
        <v>1032</v>
      </c>
      <c r="J42" s="250" t="s">
        <v>1032</v>
      </c>
      <c r="K42" s="250" t="s">
        <v>1032</v>
      </c>
      <c r="L42" s="250" t="s">
        <v>1032</v>
      </c>
      <c r="M42" s="250" t="s">
        <v>1032</v>
      </c>
      <c r="N42" s="162"/>
      <c r="O42" s="162" t="s">
        <v>2253</v>
      </c>
    </row>
    <row r="43" spans="1:15">
      <c r="A43" s="162">
        <v>42</v>
      </c>
      <c r="B43" s="162" t="s">
        <v>662</v>
      </c>
      <c r="C43" s="899" t="s">
        <v>2104</v>
      </c>
      <c r="D43" s="894"/>
      <c r="E43" s="894"/>
      <c r="F43" s="894"/>
      <c r="G43" s="894"/>
      <c r="H43" s="894"/>
      <c r="I43" s="894"/>
      <c r="J43" s="894"/>
      <c r="K43" s="894"/>
      <c r="L43" s="250" t="s">
        <v>2104</v>
      </c>
      <c r="M43" s="250" t="s">
        <v>2104</v>
      </c>
      <c r="N43" s="162"/>
      <c r="O43" s="162" t="s">
        <v>2250</v>
      </c>
    </row>
    <row r="44" spans="1:15">
      <c r="A44" s="162">
        <v>43</v>
      </c>
      <c r="B44" s="162" t="s">
        <v>662</v>
      </c>
      <c r="C44" s="162" t="s">
        <v>2104</v>
      </c>
      <c r="D44" s="894"/>
      <c r="E44" s="894"/>
      <c r="F44" s="894"/>
      <c r="G44" s="894"/>
      <c r="H44" s="894"/>
      <c r="I44" s="894"/>
      <c r="J44" s="894"/>
      <c r="K44" s="894"/>
      <c r="L44" s="250" t="s">
        <v>2087</v>
      </c>
      <c r="M44" s="250" t="s">
        <v>2087</v>
      </c>
      <c r="N44" s="162"/>
      <c r="O44" s="162" t="s">
        <v>2249</v>
      </c>
    </row>
    <row r="45" spans="1:15">
      <c r="A45" s="162">
        <v>44</v>
      </c>
      <c r="B45" s="162" t="s">
        <v>662</v>
      </c>
      <c r="C45" s="899" t="s">
        <v>191</v>
      </c>
      <c r="D45" s="894"/>
      <c r="E45" s="894"/>
      <c r="F45" s="250" t="s">
        <v>191</v>
      </c>
      <c r="G45" s="250" t="s">
        <v>191</v>
      </c>
      <c r="H45" s="250" t="s">
        <v>191</v>
      </c>
      <c r="I45" s="250" t="s">
        <v>191</v>
      </c>
      <c r="J45" s="250" t="s">
        <v>191</v>
      </c>
      <c r="K45" s="250" t="s">
        <v>191</v>
      </c>
      <c r="L45" s="250" t="s">
        <v>191</v>
      </c>
      <c r="M45" s="250" t="s">
        <v>191</v>
      </c>
      <c r="N45" s="162"/>
      <c r="O45" s="162" t="s">
        <v>2256</v>
      </c>
    </row>
    <row r="46" spans="1:15">
      <c r="A46" s="162">
        <v>45</v>
      </c>
      <c r="B46" s="162" t="s">
        <v>662</v>
      </c>
      <c r="C46" s="899" t="s">
        <v>62</v>
      </c>
      <c r="D46" s="250" t="s">
        <v>62</v>
      </c>
      <c r="E46" s="250" t="s">
        <v>62</v>
      </c>
      <c r="F46" s="895"/>
      <c r="G46" s="895"/>
      <c r="H46" s="895"/>
      <c r="I46" s="895"/>
      <c r="J46" s="895"/>
      <c r="K46" s="895"/>
      <c r="L46" s="895"/>
      <c r="M46" s="895"/>
      <c r="N46" s="162" t="s">
        <v>2247</v>
      </c>
      <c r="O46" s="162"/>
    </row>
    <row r="47" spans="1:15">
      <c r="A47" s="162">
        <v>46</v>
      </c>
      <c r="B47" s="162" t="s">
        <v>662</v>
      </c>
      <c r="C47" s="899" t="s">
        <v>2265</v>
      </c>
      <c r="D47" s="894"/>
      <c r="E47" s="894"/>
      <c r="F47" s="894"/>
      <c r="G47" s="894"/>
      <c r="H47" s="894"/>
      <c r="I47" s="894"/>
      <c r="J47" s="894"/>
      <c r="K47" s="894"/>
      <c r="L47" s="250" t="s">
        <v>2265</v>
      </c>
      <c r="M47" s="250" t="s">
        <v>2265</v>
      </c>
      <c r="N47" s="162"/>
      <c r="O47" s="898" t="s">
        <v>598</v>
      </c>
    </row>
    <row r="48" spans="1:15">
      <c r="A48" s="162">
        <v>47</v>
      </c>
      <c r="B48" s="162" t="s">
        <v>662</v>
      </c>
      <c r="C48" s="899" t="s">
        <v>51</v>
      </c>
      <c r="D48" s="250" t="s">
        <v>51</v>
      </c>
      <c r="E48" s="250" t="s">
        <v>51</v>
      </c>
      <c r="F48" s="250" t="s">
        <v>51</v>
      </c>
      <c r="G48" s="250" t="s">
        <v>51</v>
      </c>
      <c r="H48" s="250" t="s">
        <v>51</v>
      </c>
      <c r="I48" s="250" t="s">
        <v>51</v>
      </c>
      <c r="J48" s="250" t="s">
        <v>51</v>
      </c>
      <c r="K48" s="250" t="s">
        <v>51</v>
      </c>
      <c r="L48" s="250" t="s">
        <v>51</v>
      </c>
      <c r="M48" s="250" t="s">
        <v>51</v>
      </c>
      <c r="N48" s="162"/>
      <c r="O48" s="162" t="s">
        <v>2257</v>
      </c>
    </row>
    <row r="49" spans="1:15">
      <c r="A49" s="162">
        <v>48</v>
      </c>
      <c r="B49" s="162" t="s">
        <v>662</v>
      </c>
      <c r="C49" s="899" t="s">
        <v>192</v>
      </c>
      <c r="D49" s="894"/>
      <c r="E49" s="894"/>
      <c r="F49" s="894"/>
      <c r="G49" s="250" t="s">
        <v>192</v>
      </c>
      <c r="H49" s="250" t="s">
        <v>192</v>
      </c>
      <c r="I49" s="250" t="s">
        <v>192</v>
      </c>
      <c r="J49" s="250" t="s">
        <v>192</v>
      </c>
      <c r="K49" s="250" t="s">
        <v>192</v>
      </c>
      <c r="L49" s="250" t="s">
        <v>192</v>
      </c>
      <c r="M49" s="250" t="s">
        <v>192</v>
      </c>
      <c r="N49" s="162"/>
      <c r="O49" s="162" t="s">
        <v>2256</v>
      </c>
    </row>
    <row r="50" spans="1:15">
      <c r="A50" s="162">
        <v>49</v>
      </c>
      <c r="B50" s="162" t="s">
        <v>662</v>
      </c>
      <c r="C50" s="899" t="s">
        <v>2262</v>
      </c>
      <c r="D50" s="250" t="s">
        <v>227</v>
      </c>
      <c r="E50" s="250" t="s">
        <v>227</v>
      </c>
      <c r="F50" s="250" t="s">
        <v>227</v>
      </c>
      <c r="G50" s="250" t="s">
        <v>227</v>
      </c>
      <c r="H50" s="250" t="s">
        <v>227</v>
      </c>
      <c r="I50" s="250" t="s">
        <v>227</v>
      </c>
      <c r="J50" s="250" t="s">
        <v>227</v>
      </c>
      <c r="K50" s="250" t="s">
        <v>227</v>
      </c>
      <c r="L50" s="250" t="s">
        <v>227</v>
      </c>
      <c r="M50" s="250" t="s">
        <v>227</v>
      </c>
      <c r="N50" s="162"/>
      <c r="O50" s="162" t="s">
        <v>2254</v>
      </c>
    </row>
  </sheetData>
  <autoFilter ref="A1:O50" xr:uid="{B817BC96-8B81-4DE2-979C-9BD05B1BB041}"/>
  <sortState xmlns:xlrd2="http://schemas.microsoft.com/office/spreadsheetml/2017/richdata2" ref="A2:O54">
    <sortCondition ref="C2:C54"/>
  </sortState>
  <phoneticPr fontId="64" type="noConversion"/>
  <pageMargins left="0.23622047244094491" right="0.23622047244094491" top="0.19685039370078741" bottom="0.55118110236220474" header="0.31496062992125984" footer="0.31496062992125984"/>
  <pageSetup paperSize="9" scale="10" orientation="landscape" r:id="rId1"/>
  <headerFooter>
    <oddFooter>&amp;L&amp;Z&amp;F  &amp;C&amp;A&amp;R&amp;D&amp;T</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FF9900"/>
  </sheetPr>
  <dimension ref="A1:A11"/>
  <sheetViews>
    <sheetView zoomScaleNormal="100" workbookViewId="0"/>
  </sheetViews>
  <sheetFormatPr defaultColWidth="9" defaultRowHeight="15"/>
  <cols>
    <col min="1" max="1" width="163.7109375" customWidth="1"/>
  </cols>
  <sheetData>
    <row r="1" spans="1:1" ht="35.25" customHeight="1">
      <c r="A1" s="607" t="s">
        <v>1658</v>
      </c>
    </row>
    <row r="3" spans="1:1" ht="35.25" customHeight="1">
      <c r="A3" s="608" t="s">
        <v>1659</v>
      </c>
    </row>
    <row r="4" spans="1:1" ht="35.25" customHeight="1">
      <c r="A4" s="609" t="s">
        <v>1660</v>
      </c>
    </row>
    <row r="5" spans="1:1" ht="35.25" customHeight="1">
      <c r="A5" s="609" t="s">
        <v>1661</v>
      </c>
    </row>
    <row r="6" spans="1:1" ht="35.25" customHeight="1">
      <c r="A6" s="609" t="s">
        <v>1662</v>
      </c>
    </row>
    <row r="7" spans="1:1" ht="35.25" customHeight="1">
      <c r="A7" s="609" t="s">
        <v>1663</v>
      </c>
    </row>
    <row r="8" spans="1:1" ht="35.25" customHeight="1">
      <c r="A8" s="609" t="s">
        <v>1664</v>
      </c>
    </row>
    <row r="9" spans="1:1" ht="35.25" customHeight="1">
      <c r="A9" s="609" t="s">
        <v>1665</v>
      </c>
    </row>
    <row r="10" spans="1:1" ht="35.25" customHeight="1">
      <c r="A10" s="609" t="s">
        <v>1666</v>
      </c>
    </row>
    <row r="11" spans="1:1" ht="35.25" customHeight="1">
      <c r="A11" s="609" t="s">
        <v>1667</v>
      </c>
    </row>
  </sheetData>
  <pageMargins left="0.7" right="0.7" top="0.75" bottom="0.75" header="0.51180555555555496" footer="0.51180555555555496"/>
  <pageSetup paperSize="9" firstPageNumber="0" orientation="portrait" horizontalDpi="300" verticalDpi="3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2">
    <tabColor rgb="FFFF6600"/>
    <pageSetUpPr fitToPage="1"/>
  </sheetPr>
  <dimension ref="A1:AC25"/>
  <sheetViews>
    <sheetView zoomScale="90" zoomScaleNormal="90" workbookViewId="0">
      <pane xSplit="2" ySplit="4" topLeftCell="K5" activePane="bottomRight" state="frozen"/>
      <selection pane="topRight" activeCell="K1" sqref="K1"/>
      <selection pane="bottomLeft" activeCell="A5" sqref="A5"/>
      <selection pane="bottomRight"/>
    </sheetView>
  </sheetViews>
  <sheetFormatPr defaultColWidth="9.140625" defaultRowHeight="15" outlineLevelRow="1" outlineLevelCol="1"/>
  <cols>
    <col min="1" max="1" width="18.7109375" customWidth="1"/>
    <col min="2" max="2" width="19.5703125" style="15" customWidth="1"/>
    <col min="3" max="3" width="7.42578125" style="15" customWidth="1"/>
    <col min="4" max="4" width="7.42578125" customWidth="1"/>
    <col min="5" max="5" width="24.28515625" customWidth="1"/>
    <col min="6" max="6" width="14.7109375" customWidth="1"/>
    <col min="7" max="7" width="14.42578125" style="15" customWidth="1"/>
    <col min="8" max="8" width="8.42578125" customWidth="1"/>
    <col min="9" max="9" width="25" style="610" customWidth="1"/>
    <col min="10" max="11" width="10.7109375" customWidth="1"/>
    <col min="12" max="12" width="18" customWidth="1"/>
    <col min="13" max="13" width="9.42578125" customWidth="1"/>
    <col min="14" max="14" width="20.140625" customWidth="1"/>
    <col min="15" max="17" width="9" hidden="1" customWidth="1" outlineLevel="1"/>
    <col min="18" max="18" width="4" customWidth="1" collapsed="1"/>
    <col min="19" max="20" width="6.85546875" customWidth="1"/>
    <col min="21" max="21" width="13.28515625" style="15" customWidth="1"/>
    <col min="22" max="22" width="12.42578125" customWidth="1"/>
    <col min="23" max="23" width="12.85546875" customWidth="1"/>
    <col min="24" max="24" width="12" style="15" customWidth="1"/>
    <col min="25" max="25" width="12.28515625" style="15" customWidth="1"/>
    <col min="26" max="26" width="10.7109375" style="15" customWidth="1"/>
    <col min="27" max="27" width="9" hidden="1" customWidth="1" outlineLevel="1"/>
    <col min="28" max="28" width="9" style="15" hidden="1" customWidth="1" outlineLevel="1"/>
    <col min="29" max="29" width="9" hidden="1" customWidth="1" outlineLevel="1"/>
    <col min="31" max="45" width="8.85546875" customWidth="1"/>
  </cols>
  <sheetData>
    <row r="1" spans="1:29" ht="18">
      <c r="A1" s="611" t="s">
        <v>1668</v>
      </c>
    </row>
    <row r="2" spans="1:29" ht="18.75" customHeight="1">
      <c r="A2" s="1028" t="s">
        <v>1669</v>
      </c>
      <c r="B2" s="1028"/>
      <c r="C2" s="612"/>
      <c r="U2" s="1029" t="s">
        <v>1670</v>
      </c>
      <c r="V2" s="1029"/>
      <c r="W2" s="1029"/>
      <c r="X2" s="1029"/>
      <c r="Y2" s="1029"/>
      <c r="Z2" s="613"/>
      <c r="AA2" s="614" t="s">
        <v>1671</v>
      </c>
      <c r="AB2" s="614"/>
      <c r="AC2" s="614"/>
    </row>
    <row r="3" spans="1:29" ht="20.25">
      <c r="A3" s="1030" t="s">
        <v>1672</v>
      </c>
      <c r="B3" s="1030"/>
      <c r="C3" s="1030"/>
      <c r="D3" s="1030"/>
      <c r="E3" s="1030"/>
      <c r="F3" s="1030"/>
      <c r="G3" s="1030"/>
      <c r="H3" s="1030"/>
      <c r="I3" s="1030"/>
      <c r="J3" s="1030"/>
      <c r="K3" s="1030"/>
      <c r="L3" s="1030"/>
      <c r="M3" s="1030"/>
      <c r="N3" s="616"/>
      <c r="O3" s="616"/>
      <c r="P3" s="616"/>
      <c r="Q3" s="616"/>
      <c r="R3" s="616"/>
      <c r="S3" s="616"/>
      <c r="T3" s="615"/>
      <c r="U3" s="616"/>
      <c r="V3" s="616"/>
      <c r="W3" s="616"/>
      <c r="X3" s="616"/>
      <c r="Y3" s="616"/>
      <c r="Z3" s="617"/>
      <c r="AA3" s="616"/>
      <c r="AB3" s="616"/>
      <c r="AC3" s="616"/>
    </row>
    <row r="4" spans="1:29" s="635" customFormat="1" ht="50.25" customHeight="1">
      <c r="A4" s="618" t="s">
        <v>14</v>
      </c>
      <c r="B4" s="619" t="s">
        <v>1673</v>
      </c>
      <c r="C4" s="620" t="s">
        <v>1674</v>
      </c>
      <c r="D4" s="620" t="s">
        <v>1675</v>
      </c>
      <c r="E4" s="621" t="s">
        <v>6</v>
      </c>
      <c r="F4" s="621" t="s">
        <v>21</v>
      </c>
      <c r="G4" s="622" t="s">
        <v>11</v>
      </c>
      <c r="H4" s="623" t="s">
        <v>1676</v>
      </c>
      <c r="I4" s="624" t="s">
        <v>19</v>
      </c>
      <c r="J4" s="625" t="s">
        <v>1677</v>
      </c>
      <c r="K4" s="625" t="s">
        <v>1678</v>
      </c>
      <c r="L4" s="626" t="s">
        <v>29</v>
      </c>
      <c r="M4" s="627" t="s">
        <v>1679</v>
      </c>
      <c r="N4" s="627" t="s">
        <v>1680</v>
      </c>
      <c r="O4" s="627" t="s">
        <v>1681</v>
      </c>
      <c r="P4" s="627" t="s">
        <v>1682</v>
      </c>
      <c r="Q4" s="628" t="s">
        <v>1683</v>
      </c>
      <c r="R4" s="629" t="s">
        <v>1684</v>
      </c>
      <c r="S4" s="627" t="s">
        <v>1685</v>
      </c>
      <c r="T4" s="627" t="s">
        <v>1686</v>
      </c>
      <c r="U4" s="630" t="s">
        <v>1687</v>
      </c>
      <c r="V4" s="630" t="s">
        <v>1688</v>
      </c>
      <c r="W4" s="631" t="s">
        <v>1689</v>
      </c>
      <c r="X4" s="631" t="s">
        <v>838</v>
      </c>
      <c r="Y4" s="632" t="s">
        <v>1690</v>
      </c>
      <c r="Z4" s="633" t="s">
        <v>807</v>
      </c>
      <c r="AA4" s="634" t="s">
        <v>1691</v>
      </c>
      <c r="AB4" s="632" t="s">
        <v>1692</v>
      </c>
      <c r="AC4" s="630" t="s">
        <v>1693</v>
      </c>
    </row>
    <row r="5" spans="1:29" ht="25.5">
      <c r="A5" s="636" t="s">
        <v>1694</v>
      </c>
      <c r="B5" s="637" t="s">
        <v>1695</v>
      </c>
      <c r="C5" s="638" t="s">
        <v>161</v>
      </c>
      <c r="D5" s="638"/>
      <c r="E5" s="639" t="s">
        <v>1696</v>
      </c>
      <c r="F5" s="640" t="s">
        <v>1697</v>
      </c>
      <c r="G5" s="641" t="s">
        <v>1552</v>
      </c>
      <c r="H5" s="642" t="s">
        <v>423</v>
      </c>
      <c r="I5" s="643" t="s">
        <v>1698</v>
      </c>
      <c r="J5" s="644">
        <f>2/2</f>
        <v>1</v>
      </c>
      <c r="K5" s="644">
        <f>0/2</f>
        <v>0</v>
      </c>
      <c r="L5" s="645" t="s">
        <v>1699</v>
      </c>
      <c r="M5" s="646"/>
      <c r="N5" s="638" t="s">
        <v>1700</v>
      </c>
      <c r="O5" s="646"/>
      <c r="P5" s="646"/>
      <c r="Q5" s="646"/>
      <c r="R5" s="647" t="s">
        <v>1701</v>
      </c>
      <c r="S5" s="646"/>
      <c r="T5" s="641"/>
      <c r="U5" s="168" t="s">
        <v>1702</v>
      </c>
      <c r="V5" s="648" t="s">
        <v>1703</v>
      </c>
      <c r="W5" s="168" t="s">
        <v>1702</v>
      </c>
      <c r="X5" s="168" t="s">
        <v>1702</v>
      </c>
      <c r="Y5" s="168" t="s">
        <v>1704</v>
      </c>
      <c r="Z5" s="644" t="s">
        <v>615</v>
      </c>
      <c r="AA5" s="649" t="s">
        <v>176</v>
      </c>
      <c r="AB5" s="650" t="s">
        <v>1703</v>
      </c>
      <c r="AC5" s="163" t="s">
        <v>176</v>
      </c>
    </row>
    <row r="6" spans="1:29">
      <c r="A6" s="636" t="s">
        <v>1694</v>
      </c>
      <c r="B6" s="637" t="s">
        <v>1705</v>
      </c>
      <c r="C6" s="638" t="s">
        <v>352</v>
      </c>
      <c r="D6" s="638"/>
      <c r="E6" s="639" t="s">
        <v>1706</v>
      </c>
      <c r="F6" s="640" t="s">
        <v>1707</v>
      </c>
      <c r="G6" s="641" t="s">
        <v>1552</v>
      </c>
      <c r="H6" s="642" t="s">
        <v>423</v>
      </c>
      <c r="I6" s="645" t="s">
        <v>1708</v>
      </c>
      <c r="J6" s="644">
        <f>2/2</f>
        <v>1</v>
      </c>
      <c r="K6" s="644">
        <f>1/2</f>
        <v>0.5</v>
      </c>
      <c r="L6" s="645" t="s">
        <v>1709</v>
      </c>
      <c r="M6" s="642"/>
      <c r="N6" s="638" t="s">
        <v>1710</v>
      </c>
      <c r="O6" s="642"/>
      <c r="P6" s="642"/>
      <c r="Q6" s="642"/>
      <c r="R6" s="638" t="s">
        <v>1711</v>
      </c>
      <c r="S6" s="642"/>
      <c r="T6" s="641"/>
      <c r="U6" s="168" t="s">
        <v>1712</v>
      </c>
      <c r="V6" s="648" t="s">
        <v>1703</v>
      </c>
      <c r="W6" s="168" t="s">
        <v>1712</v>
      </c>
      <c r="X6" s="168" t="s">
        <v>1712</v>
      </c>
      <c r="Y6" s="168" t="s">
        <v>1712</v>
      </c>
      <c r="Z6" s="644" t="s">
        <v>615</v>
      </c>
      <c r="AA6" s="651" t="s">
        <v>1713</v>
      </c>
      <c r="AB6" s="163" t="s">
        <v>1713</v>
      </c>
      <c r="AC6" s="163" t="s">
        <v>1713</v>
      </c>
    </row>
    <row r="7" spans="1:29" ht="18" customHeight="1">
      <c r="A7" s="484" t="s">
        <v>1714</v>
      </c>
      <c r="B7" s="652" t="s">
        <v>1715</v>
      </c>
      <c r="C7" s="653"/>
      <c r="D7" s="653"/>
      <c r="E7" s="652"/>
      <c r="F7" s="654" t="s">
        <v>1716</v>
      </c>
      <c r="G7" s="652" t="s">
        <v>1717</v>
      </c>
      <c r="H7" s="655" t="s">
        <v>423</v>
      </c>
      <c r="I7" s="656" t="s">
        <v>1718</v>
      </c>
      <c r="J7" s="657">
        <v>0</v>
      </c>
      <c r="K7" s="658"/>
      <c r="L7" s="659" t="s">
        <v>1719</v>
      </c>
      <c r="M7" s="655" t="s">
        <v>1720</v>
      </c>
      <c r="N7" s="655"/>
      <c r="O7" s="655"/>
      <c r="P7" s="655"/>
      <c r="Q7" s="655"/>
      <c r="R7" s="660"/>
      <c r="S7" s="655"/>
      <c r="T7" s="661"/>
      <c r="U7" s="662"/>
      <c r="V7" s="663"/>
      <c r="W7" s="664" t="s">
        <v>153</v>
      </c>
      <c r="X7" s="664" t="s">
        <v>1721</v>
      </c>
      <c r="Y7" s="664" t="s">
        <v>153</v>
      </c>
      <c r="Z7" s="665"/>
      <c r="AA7" s="666"/>
      <c r="AB7" s="663"/>
      <c r="AC7" s="667" t="s">
        <v>423</v>
      </c>
    </row>
    <row r="8" spans="1:29" s="683" customFormat="1" ht="25.5">
      <c r="A8" s="668" t="s">
        <v>1714</v>
      </c>
      <c r="B8" s="669" t="s">
        <v>1722</v>
      </c>
      <c r="C8" s="670"/>
      <c r="D8" s="670"/>
      <c r="E8" s="669"/>
      <c r="F8" s="671" t="s">
        <v>1723</v>
      </c>
      <c r="G8" s="669" t="s">
        <v>1717</v>
      </c>
      <c r="H8" s="672" t="s">
        <v>423</v>
      </c>
      <c r="I8" s="673" t="s">
        <v>1724</v>
      </c>
      <c r="J8" s="674">
        <v>0</v>
      </c>
      <c r="K8" s="675"/>
      <c r="L8" s="676" t="s">
        <v>1725</v>
      </c>
      <c r="M8" s="677"/>
      <c r="N8" s="677"/>
      <c r="O8" s="677"/>
      <c r="P8" s="677"/>
      <c r="Q8" s="677"/>
      <c r="R8" s="678"/>
      <c r="S8" s="677"/>
      <c r="T8" s="668"/>
      <c r="U8" s="664" t="s">
        <v>1702</v>
      </c>
      <c r="V8" s="679" t="s">
        <v>1703</v>
      </c>
      <c r="W8" s="664" t="s">
        <v>1702</v>
      </c>
      <c r="X8" s="664" t="s">
        <v>1702</v>
      </c>
      <c r="Y8" s="664" t="s">
        <v>1702</v>
      </c>
      <c r="Z8" s="680"/>
      <c r="AA8" s="681" t="s">
        <v>176</v>
      </c>
      <c r="AB8" s="679" t="s">
        <v>1703</v>
      </c>
      <c r="AC8" s="682" t="s">
        <v>176</v>
      </c>
    </row>
    <row r="9" spans="1:29" ht="15" customHeight="1">
      <c r="A9" s="684" t="s">
        <v>1726</v>
      </c>
      <c r="B9" s="259" t="s">
        <v>1727</v>
      </c>
      <c r="C9" s="259"/>
      <c r="D9" s="259"/>
      <c r="E9" s="259"/>
      <c r="F9" s="259" t="s">
        <v>1728</v>
      </c>
      <c r="G9" s="259" t="s">
        <v>1649</v>
      </c>
      <c r="H9" s="685"/>
      <c r="I9" s="686" t="s">
        <v>1729</v>
      </c>
      <c r="J9" s="685">
        <v>0</v>
      </c>
      <c r="K9" s="685"/>
      <c r="L9" s="687"/>
      <c r="M9" s="267"/>
      <c r="N9" s="267"/>
      <c r="O9" s="267"/>
      <c r="P9" s="267"/>
      <c r="Q9" s="267"/>
      <c r="R9" s="267"/>
      <c r="S9" s="267"/>
      <c r="T9" s="688"/>
      <c r="U9" s="271"/>
      <c r="V9" s="271"/>
      <c r="W9" s="271"/>
      <c r="X9" s="271"/>
      <c r="Y9" s="271"/>
      <c r="Z9" s="271"/>
      <c r="AA9" s="271"/>
      <c r="AB9" s="689"/>
      <c r="AC9" s="689"/>
    </row>
    <row r="10" spans="1:29" ht="15" customHeight="1">
      <c r="A10" s="684" t="s">
        <v>1726</v>
      </c>
      <c r="B10" s="259" t="s">
        <v>1730</v>
      </c>
      <c r="C10" s="259"/>
      <c r="D10" s="259"/>
      <c r="E10" s="259"/>
      <c r="F10" s="259" t="s">
        <v>1731</v>
      </c>
      <c r="G10" s="259" t="s">
        <v>1717</v>
      </c>
      <c r="H10" s="685"/>
      <c r="I10" s="686" t="s">
        <v>1732</v>
      </c>
      <c r="J10" s="685">
        <v>0</v>
      </c>
      <c r="K10" s="685"/>
      <c r="L10" s="687"/>
      <c r="M10" s="267"/>
      <c r="N10" s="267"/>
      <c r="O10" s="267"/>
      <c r="P10" s="267"/>
      <c r="Q10" s="267"/>
      <c r="R10" s="267"/>
      <c r="S10" s="267"/>
      <c r="T10" s="688"/>
      <c r="U10" s="271"/>
      <c r="V10" s="271"/>
      <c r="W10" s="271"/>
      <c r="X10" s="271"/>
      <c r="Y10" s="271"/>
      <c r="Z10" s="271"/>
      <c r="AA10" s="271"/>
      <c r="AB10" s="689"/>
      <c r="AC10" s="689"/>
    </row>
    <row r="11" spans="1:29" ht="15" customHeight="1">
      <c r="A11" s="684" t="s">
        <v>1726</v>
      </c>
      <c r="B11" s="259" t="s">
        <v>1733</v>
      </c>
      <c r="C11" s="259"/>
      <c r="D11" s="259"/>
      <c r="E11" s="259"/>
      <c r="F11" s="259" t="s">
        <v>1734</v>
      </c>
      <c r="G11" s="259" t="s">
        <v>1735</v>
      </c>
      <c r="H11" s="685"/>
      <c r="I11" s="686" t="s">
        <v>1736</v>
      </c>
      <c r="J11" s="685">
        <v>0</v>
      </c>
      <c r="K11" s="685"/>
      <c r="L11" s="687"/>
      <c r="M11" s="687" t="s">
        <v>1737</v>
      </c>
      <c r="N11" s="687"/>
      <c r="O11" s="687"/>
      <c r="P11" s="687"/>
      <c r="Q11" s="687"/>
      <c r="R11" s="687"/>
      <c r="S11" s="687"/>
      <c r="T11" s="688"/>
      <c r="U11" s="271"/>
      <c r="V11" s="271"/>
      <c r="W11" s="271"/>
      <c r="X11" s="271"/>
      <c r="Y11" s="271"/>
      <c r="Z11" s="271"/>
      <c r="AA11" s="271"/>
      <c r="AB11" s="689"/>
      <c r="AC11" s="689"/>
    </row>
    <row r="12" spans="1:29" ht="15" customHeight="1">
      <c r="A12" s="684" t="s">
        <v>1726</v>
      </c>
      <c r="B12" s="259" t="s">
        <v>1695</v>
      </c>
      <c r="C12" s="259"/>
      <c r="D12" s="259"/>
      <c r="E12" s="259"/>
      <c r="F12" s="259" t="s">
        <v>1738</v>
      </c>
      <c r="G12" s="259" t="s">
        <v>1608</v>
      </c>
      <c r="H12" s="685"/>
      <c r="I12" s="686" t="s">
        <v>1698</v>
      </c>
      <c r="J12" s="685">
        <v>0</v>
      </c>
      <c r="K12" s="685"/>
      <c r="L12" s="687"/>
      <c r="M12" s="687" t="s">
        <v>1739</v>
      </c>
      <c r="N12" s="687"/>
      <c r="O12" s="687"/>
      <c r="P12" s="687"/>
      <c r="Q12" s="687"/>
      <c r="R12" s="687"/>
      <c r="S12" s="687"/>
      <c r="T12" s="688"/>
      <c r="U12" s="271"/>
      <c r="V12" s="271"/>
      <c r="W12" s="690"/>
      <c r="X12" s="690"/>
      <c r="Y12" s="691"/>
      <c r="Z12" s="691"/>
      <c r="AA12" s="271"/>
      <c r="AB12" s="689"/>
      <c r="AC12" s="689"/>
    </row>
    <row r="13" spans="1:29" hidden="1" outlineLevel="1">
      <c r="A13" s="126" t="s">
        <v>764</v>
      </c>
      <c r="B13" s="692" t="s">
        <v>1740</v>
      </c>
      <c r="C13" s="692" t="s">
        <v>307</v>
      </c>
      <c r="D13" s="692"/>
      <c r="E13" s="692" t="s">
        <v>1706</v>
      </c>
      <c r="F13" s="693" t="s">
        <v>1707</v>
      </c>
      <c r="G13" s="693" t="s">
        <v>1552</v>
      </c>
      <c r="H13" s="694" t="s">
        <v>423</v>
      </c>
      <c r="I13" s="695" t="s">
        <v>1741</v>
      </c>
      <c r="J13" s="116">
        <v>2</v>
      </c>
      <c r="K13" s="116"/>
      <c r="L13" s="116" t="s">
        <v>1709</v>
      </c>
      <c r="M13" s="696" t="s">
        <v>1720</v>
      </c>
      <c r="N13" s="696" t="s">
        <v>1710</v>
      </c>
      <c r="O13" s="696"/>
      <c r="P13" s="696"/>
      <c r="Q13" s="696"/>
      <c r="R13" s="696" t="s">
        <v>1711</v>
      </c>
      <c r="S13" s="696"/>
      <c r="T13" s="697"/>
      <c r="U13" s="326"/>
      <c r="V13" s="698" t="s">
        <v>1742</v>
      </c>
      <c r="W13" s="699" t="s">
        <v>423</v>
      </c>
      <c r="X13" s="699"/>
      <c r="Y13" s="700" t="s">
        <v>1742</v>
      </c>
      <c r="Z13" s="701"/>
      <c r="AA13" s="702"/>
      <c r="AB13" s="703"/>
      <c r="AC13" s="703" t="s">
        <v>423</v>
      </c>
    </row>
    <row r="14" spans="1:29" hidden="1" outlineLevel="1">
      <c r="A14" s="126" t="s">
        <v>764</v>
      </c>
      <c r="B14" s="692" t="s">
        <v>1722</v>
      </c>
      <c r="C14" s="692"/>
      <c r="D14" s="692"/>
      <c r="E14" s="692"/>
      <c r="F14" s="693" t="s">
        <v>1723</v>
      </c>
      <c r="G14" s="693" t="s">
        <v>1717</v>
      </c>
      <c r="H14" s="694" t="s">
        <v>423</v>
      </c>
      <c r="I14" s="695" t="s">
        <v>1743</v>
      </c>
      <c r="J14" s="116">
        <v>0</v>
      </c>
      <c r="K14" s="116"/>
      <c r="L14" s="116" t="s">
        <v>1725</v>
      </c>
      <c r="M14" s="696"/>
      <c r="N14" s="696"/>
      <c r="O14" s="696"/>
      <c r="P14" s="696"/>
      <c r="Q14" s="696"/>
      <c r="R14" s="696"/>
      <c r="S14" s="696"/>
      <c r="T14" s="697"/>
      <c r="U14" s="326"/>
      <c r="V14" s="698"/>
      <c r="W14" s="699" t="s">
        <v>159</v>
      </c>
      <c r="X14" s="699" t="s">
        <v>1721</v>
      </c>
      <c r="Y14" s="700"/>
      <c r="Z14" s="701"/>
      <c r="AA14" s="702" t="s">
        <v>423</v>
      </c>
      <c r="AB14" s="703" t="s">
        <v>423</v>
      </c>
      <c r="AC14" s="703" t="s">
        <v>423</v>
      </c>
    </row>
    <row r="15" spans="1:29" hidden="1" outlineLevel="1">
      <c r="A15" s="126" t="s">
        <v>764</v>
      </c>
      <c r="B15" s="692" t="s">
        <v>1695</v>
      </c>
      <c r="C15" s="692"/>
      <c r="D15" s="692"/>
      <c r="E15" s="692"/>
      <c r="F15" s="693" t="s">
        <v>1744</v>
      </c>
      <c r="G15" s="693" t="s">
        <v>1745</v>
      </c>
      <c r="H15" s="694"/>
      <c r="I15" s="695" t="s">
        <v>1746</v>
      </c>
      <c r="J15" s="116">
        <v>1</v>
      </c>
      <c r="K15" s="116"/>
      <c r="L15" s="116" t="s">
        <v>159</v>
      </c>
      <c r="M15" s="696"/>
      <c r="N15" s="696"/>
      <c r="O15" s="696"/>
      <c r="P15" s="696"/>
      <c r="Q15" s="696"/>
      <c r="R15" s="696"/>
      <c r="S15" s="696"/>
      <c r="T15" s="697"/>
      <c r="U15" s="326"/>
      <c r="V15" s="698"/>
      <c r="W15" s="699" t="s">
        <v>423</v>
      </c>
      <c r="X15" s="699"/>
      <c r="Y15" s="700" t="s">
        <v>1742</v>
      </c>
      <c r="Z15" s="701"/>
      <c r="AA15" s="702"/>
      <c r="AB15" s="703"/>
      <c r="AC15" s="703"/>
    </row>
    <row r="16" spans="1:29" hidden="1" outlineLevel="1">
      <c r="A16" s="126" t="s">
        <v>764</v>
      </c>
      <c r="B16" s="693" t="s">
        <v>1705</v>
      </c>
      <c r="C16" s="693"/>
      <c r="D16" s="693"/>
      <c r="E16" s="693"/>
      <c r="F16" s="693"/>
      <c r="G16" s="317" t="s">
        <v>1552</v>
      </c>
      <c r="H16" s="329"/>
      <c r="I16" s="704" t="s">
        <v>1747</v>
      </c>
      <c r="J16" s="116">
        <v>0</v>
      </c>
      <c r="K16" s="116"/>
      <c r="L16" s="116" t="s">
        <v>159</v>
      </c>
      <c r="M16" s="308" t="s">
        <v>1720</v>
      </c>
      <c r="N16" s="308"/>
      <c r="O16" s="308"/>
      <c r="P16" s="308"/>
      <c r="Q16" s="308"/>
      <c r="R16" s="308"/>
      <c r="S16" s="308"/>
      <c r="T16" s="697"/>
      <c r="U16" s="326"/>
      <c r="V16" s="698"/>
      <c r="W16" s="699" t="s">
        <v>1748</v>
      </c>
      <c r="X16" s="703"/>
      <c r="Y16" s="703"/>
      <c r="Z16" s="705"/>
      <c r="AA16" s="706" t="s">
        <v>423</v>
      </c>
      <c r="AB16" s="706" t="s">
        <v>423</v>
      </c>
      <c r="AC16" s="707" t="s">
        <v>423</v>
      </c>
    </row>
    <row r="17" spans="1:29" hidden="1" outlineLevel="1">
      <c r="A17" s="126" t="s">
        <v>764</v>
      </c>
      <c r="B17" s="126"/>
      <c r="C17" s="126"/>
      <c r="D17" s="126"/>
      <c r="E17" s="126"/>
      <c r="F17" s="126"/>
      <c r="G17" s="693" t="s">
        <v>1649</v>
      </c>
      <c r="H17" s="694"/>
      <c r="I17" s="708" t="s">
        <v>1749</v>
      </c>
      <c r="J17" s="116">
        <v>0</v>
      </c>
      <c r="K17" s="116"/>
      <c r="L17" s="116" t="s">
        <v>159</v>
      </c>
      <c r="M17" s="696"/>
      <c r="N17" s="696"/>
      <c r="O17" s="696"/>
      <c r="P17" s="696"/>
      <c r="Q17" s="696"/>
      <c r="R17" s="696"/>
      <c r="S17" s="696"/>
      <c r="T17" s="126"/>
      <c r="U17" s="119"/>
      <c r="V17" s="703"/>
      <c r="W17" s="703"/>
      <c r="X17" s="703"/>
      <c r="Y17" s="703"/>
      <c r="Z17" s="703"/>
      <c r="AA17" s="706" t="s">
        <v>423</v>
      </c>
      <c r="AB17" s="706" t="s">
        <v>423</v>
      </c>
      <c r="AC17" s="703"/>
    </row>
    <row r="18" spans="1:29" ht="15" hidden="1" customHeight="1" outlineLevel="1">
      <c r="A18" s="126" t="s">
        <v>764</v>
      </c>
      <c r="B18" s="692" t="s">
        <v>1715</v>
      </c>
      <c r="C18" s="692"/>
      <c r="D18" s="692"/>
      <c r="E18" s="692"/>
      <c r="F18" s="693"/>
      <c r="G18" s="693" t="s">
        <v>1717</v>
      </c>
      <c r="H18" s="694"/>
      <c r="I18" s="695" t="s">
        <v>1750</v>
      </c>
      <c r="J18" s="116">
        <v>2</v>
      </c>
      <c r="K18" s="116"/>
      <c r="L18" s="116" t="s">
        <v>159</v>
      </c>
      <c r="M18" s="696"/>
      <c r="N18" s="696"/>
      <c r="O18" s="696"/>
      <c r="P18" s="696"/>
      <c r="Q18" s="696"/>
      <c r="R18" s="696"/>
      <c r="S18" s="696"/>
      <c r="T18" s="709"/>
      <c r="U18" s="119"/>
      <c r="V18" s="703"/>
      <c r="W18" s="699" t="s">
        <v>423</v>
      </c>
      <c r="X18" s="699"/>
      <c r="Y18" s="700" t="s">
        <v>1742</v>
      </c>
      <c r="Z18" s="700"/>
      <c r="AA18" s="706" t="s">
        <v>423</v>
      </c>
      <c r="AB18" s="706" t="s">
        <v>423</v>
      </c>
      <c r="AC18" s="703"/>
    </row>
    <row r="19" spans="1:29" hidden="1" outlineLevel="1">
      <c r="A19" s="126" t="s">
        <v>764</v>
      </c>
      <c r="B19" s="279"/>
      <c r="C19" s="279"/>
      <c r="D19" s="279"/>
      <c r="E19" s="279"/>
      <c r="F19" s="279"/>
      <c r="G19" s="693" t="s">
        <v>1717</v>
      </c>
      <c r="H19" s="694"/>
      <c r="I19" s="695" t="s">
        <v>1751</v>
      </c>
      <c r="J19" s="116">
        <v>0</v>
      </c>
      <c r="K19" s="116"/>
      <c r="L19" s="116" t="s">
        <v>159</v>
      </c>
      <c r="M19" s="696"/>
      <c r="N19" s="696"/>
      <c r="O19" s="696"/>
      <c r="P19" s="696"/>
      <c r="Q19" s="696"/>
      <c r="R19" s="696"/>
      <c r="S19" s="696"/>
      <c r="T19" s="697"/>
      <c r="U19" s="119"/>
      <c r="V19" s="703"/>
      <c r="W19" s="703"/>
      <c r="X19" s="703"/>
      <c r="Y19" s="703"/>
      <c r="Z19" s="703"/>
      <c r="AA19" s="706" t="s">
        <v>423</v>
      </c>
      <c r="AB19" s="706" t="s">
        <v>423</v>
      </c>
      <c r="AC19" s="703"/>
    </row>
    <row r="20" spans="1:29" hidden="1" outlineLevel="1">
      <c r="A20" s="126" t="s">
        <v>764</v>
      </c>
      <c r="B20" s="279"/>
      <c r="C20" s="279"/>
      <c r="D20" s="279"/>
      <c r="E20" s="279"/>
      <c r="F20" s="279"/>
      <c r="G20" s="279" t="s">
        <v>1752</v>
      </c>
      <c r="H20" s="116"/>
      <c r="I20" s="126" t="s">
        <v>1753</v>
      </c>
      <c r="J20" s="116">
        <v>0</v>
      </c>
      <c r="K20" s="116"/>
      <c r="L20" s="116" t="s">
        <v>159</v>
      </c>
      <c r="M20" s="696"/>
      <c r="N20" s="696"/>
      <c r="O20" s="696"/>
      <c r="P20" s="696"/>
      <c r="Q20" s="696"/>
      <c r="R20" s="696"/>
      <c r="S20" s="696"/>
      <c r="T20" s="696"/>
      <c r="U20" s="116"/>
      <c r="V20" s="116"/>
      <c r="W20" s="116"/>
      <c r="X20" s="116"/>
      <c r="Y20" s="116"/>
      <c r="Z20" s="116"/>
      <c r="AA20" s="116"/>
      <c r="AB20" s="116"/>
      <c r="AC20" s="710" t="s">
        <v>423</v>
      </c>
    </row>
    <row r="21" spans="1:29" hidden="1" outlineLevel="1">
      <c r="A21" s="126" t="s">
        <v>764</v>
      </c>
      <c r="B21" s="279"/>
      <c r="C21" s="279"/>
      <c r="D21" s="279"/>
      <c r="E21" s="279"/>
      <c r="F21" s="279"/>
      <c r="G21" s="279" t="s">
        <v>1754</v>
      </c>
      <c r="H21" s="116"/>
      <c r="I21" s="126" t="s">
        <v>1755</v>
      </c>
      <c r="J21" s="116">
        <v>1</v>
      </c>
      <c r="K21" s="116"/>
      <c r="L21" s="116" t="s">
        <v>159</v>
      </c>
      <c r="M21" s="696"/>
      <c r="N21" s="696"/>
      <c r="O21" s="696"/>
      <c r="P21" s="696"/>
      <c r="Q21" s="696"/>
      <c r="R21" s="696"/>
      <c r="S21" s="696"/>
      <c r="T21" s="711"/>
      <c r="U21" s="116"/>
      <c r="V21" s="116"/>
      <c r="W21" s="116"/>
      <c r="X21" s="116"/>
      <c r="Y21" s="116"/>
      <c r="Z21" s="116"/>
      <c r="AA21" s="116"/>
      <c r="AB21" s="116"/>
      <c r="AC21" s="710" t="s">
        <v>423</v>
      </c>
    </row>
    <row r="22" spans="1:29" hidden="1" outlineLevel="1">
      <c r="A22" s="126" t="s">
        <v>764</v>
      </c>
      <c r="B22" s="712" t="s">
        <v>1705</v>
      </c>
      <c r="C22" s="712"/>
      <c r="D22" s="712"/>
      <c r="E22" s="712"/>
      <c r="F22" s="279" t="s">
        <v>1756</v>
      </c>
      <c r="G22" s="279" t="s">
        <v>1649</v>
      </c>
      <c r="H22" s="116"/>
      <c r="I22" s="713" t="s">
        <v>1757</v>
      </c>
      <c r="J22" s="116">
        <v>1</v>
      </c>
      <c r="K22" s="116"/>
      <c r="L22" s="116" t="s">
        <v>159</v>
      </c>
      <c r="M22" s="696"/>
      <c r="N22" s="696"/>
      <c r="O22" s="696"/>
      <c r="P22" s="696"/>
      <c r="Q22" s="696"/>
      <c r="R22" s="696"/>
      <c r="S22" s="696"/>
      <c r="T22" s="696"/>
      <c r="U22" s="116"/>
      <c r="V22" s="116"/>
      <c r="W22" s="707" t="s">
        <v>423</v>
      </c>
      <c r="X22" s="707"/>
      <c r="Y22" s="714" t="s">
        <v>1742</v>
      </c>
      <c r="Z22" s="714"/>
      <c r="AA22" s="116"/>
      <c r="AB22" s="116"/>
      <c r="AC22" s="710" t="s">
        <v>423</v>
      </c>
    </row>
    <row r="23" spans="1:29" hidden="1" outlineLevel="1">
      <c r="A23" s="126" t="s">
        <v>764</v>
      </c>
      <c r="B23" s="279" t="s">
        <v>1695</v>
      </c>
      <c r="C23" s="279"/>
      <c r="D23" s="279"/>
      <c r="E23" s="279"/>
      <c r="F23" s="279"/>
      <c r="G23" s="279" t="s">
        <v>1758</v>
      </c>
      <c r="H23" s="116"/>
      <c r="I23" s="713" t="s">
        <v>1736</v>
      </c>
      <c r="J23" s="116">
        <v>1</v>
      </c>
      <c r="K23" s="116"/>
      <c r="L23" s="116" t="s">
        <v>159</v>
      </c>
      <c r="M23" s="696"/>
      <c r="N23" s="696"/>
      <c r="O23" s="696"/>
      <c r="P23" s="696"/>
      <c r="Q23" s="696"/>
      <c r="R23" s="696"/>
      <c r="S23" s="696"/>
      <c r="T23" s="711"/>
      <c r="U23" s="116"/>
      <c r="V23" s="116"/>
      <c r="W23" s="116"/>
      <c r="X23" s="116"/>
      <c r="Y23" s="116"/>
      <c r="Z23" s="116"/>
      <c r="AA23" s="116"/>
      <c r="AB23" s="116"/>
      <c r="AC23" s="710" t="s">
        <v>423</v>
      </c>
    </row>
    <row r="24" spans="1:29" hidden="1" outlineLevel="1">
      <c r="A24" s="126" t="s">
        <v>764</v>
      </c>
      <c r="B24" s="279" t="s">
        <v>1695</v>
      </c>
      <c r="C24" s="279" t="s">
        <v>163</v>
      </c>
      <c r="D24" s="279"/>
      <c r="E24" s="279" t="s">
        <v>1696</v>
      </c>
      <c r="F24" s="279" t="s">
        <v>1697</v>
      </c>
      <c r="G24" s="279" t="s">
        <v>1552</v>
      </c>
      <c r="H24" s="116" t="s">
        <v>423</v>
      </c>
      <c r="I24" s="713" t="s">
        <v>1698</v>
      </c>
      <c r="J24" s="116">
        <v>2</v>
      </c>
      <c r="K24" s="116"/>
      <c r="L24" s="116" t="s">
        <v>1759</v>
      </c>
      <c r="M24" s="696"/>
      <c r="N24" s="696" t="s">
        <v>1700</v>
      </c>
      <c r="O24" s="696"/>
      <c r="P24" s="696"/>
      <c r="Q24" s="696"/>
      <c r="R24" s="696" t="s">
        <v>1701</v>
      </c>
      <c r="S24" s="696"/>
      <c r="T24" s="711"/>
      <c r="U24" s="116" t="s">
        <v>1742</v>
      </c>
      <c r="V24" s="116" t="s">
        <v>1742</v>
      </c>
      <c r="W24" s="116" t="s">
        <v>423</v>
      </c>
      <c r="X24" s="116"/>
      <c r="Y24" s="116" t="s">
        <v>1742</v>
      </c>
      <c r="Z24" s="116"/>
      <c r="AA24" s="116" t="s">
        <v>423</v>
      </c>
      <c r="AB24" s="116" t="s">
        <v>423</v>
      </c>
      <c r="AC24" s="710" t="s">
        <v>423</v>
      </c>
    </row>
    <row r="25" spans="1:29" ht="25.5" hidden="1" outlineLevel="1">
      <c r="A25" s="126" t="s">
        <v>1760</v>
      </c>
      <c r="B25" s="279" t="s">
        <v>1715</v>
      </c>
      <c r="C25" s="279"/>
      <c r="D25" s="279"/>
      <c r="E25" s="279"/>
      <c r="F25" s="279" t="s">
        <v>1716</v>
      </c>
      <c r="G25" s="279" t="s">
        <v>1552</v>
      </c>
      <c r="H25" s="116" t="s">
        <v>423</v>
      </c>
      <c r="I25" s="713" t="s">
        <v>1761</v>
      </c>
      <c r="J25" s="116">
        <v>0</v>
      </c>
      <c r="K25" s="116"/>
      <c r="L25" s="116"/>
      <c r="M25" s="696"/>
      <c r="N25" s="696"/>
      <c r="O25" s="696"/>
      <c r="P25" s="696"/>
      <c r="Q25" s="696"/>
      <c r="R25" s="696"/>
      <c r="S25" s="696"/>
      <c r="T25" s="711"/>
      <c r="U25" s="116" t="s">
        <v>1762</v>
      </c>
      <c r="V25" s="116" t="s">
        <v>1703</v>
      </c>
      <c r="W25" s="116" t="s">
        <v>1762</v>
      </c>
      <c r="X25" s="116" t="s">
        <v>1762</v>
      </c>
      <c r="Y25" s="116" t="s">
        <v>1762</v>
      </c>
      <c r="Z25" s="116"/>
      <c r="AA25" s="116" t="s">
        <v>1762</v>
      </c>
      <c r="AB25" s="116" t="s">
        <v>1703</v>
      </c>
      <c r="AC25" s="710" t="s">
        <v>1762</v>
      </c>
    </row>
  </sheetData>
  <mergeCells count="3">
    <mergeCell ref="A2:B2"/>
    <mergeCell ref="U2:Y2"/>
    <mergeCell ref="A3:M3"/>
  </mergeCells>
  <conditionalFormatting sqref="J5:K6">
    <cfRule type="cellIs" dxfId="16" priority="2" operator="lessThan">
      <formula>1</formula>
    </cfRule>
  </conditionalFormatting>
  <hyperlinks>
    <hyperlink ref="H4" r:id="rId1" xr:uid="{00000000-0004-0000-0F00-000000000000}"/>
    <hyperlink ref="J4" location="'SFP Inventory'!A1" display="SET1" xr:uid="{00000000-0004-0000-0F00-000001000000}"/>
    <hyperlink ref="K4" location="'SFP Inventory'!A1" display="SET2" xr:uid="{00000000-0004-0000-0F00-000002000000}"/>
    <hyperlink ref="L4" r:id="rId2" xr:uid="{00000000-0004-0000-0F00-000003000000}"/>
    <hyperlink ref="U4" r:id="rId3" xr:uid="{00000000-0004-0000-0F00-000004000000}"/>
    <hyperlink ref="V4" r:id="rId4" xr:uid="{00000000-0004-0000-0F00-000005000000}"/>
    <hyperlink ref="W4" r:id="rId5" xr:uid="{00000000-0004-0000-0F00-000006000000}"/>
    <hyperlink ref="X4" r:id="rId6" xr:uid="{00000000-0004-0000-0F00-000007000000}"/>
    <hyperlink ref="AC4" r:id="rId7" xr:uid="{00000000-0004-0000-0F00-000008000000}"/>
    <hyperlink ref="A5" location="'XFP 10G  AT-XPSR Delta'!A1" display="Fully Supported" xr:uid="{00000000-0004-0000-0F00-000009000000}"/>
    <hyperlink ref="B5" r:id="rId8" xr:uid="{00000000-0004-0000-0F00-00000A000000}"/>
    <hyperlink ref="H5" r:id="rId9" xr:uid="{00000000-0004-0000-0F00-00000B000000}"/>
    <hyperlink ref="I5" r:id="rId10" xr:uid="{00000000-0004-0000-0F00-00000C000000}"/>
    <hyperlink ref="L5" r:id="rId11" xr:uid="{00000000-0004-0000-0F00-00000D000000}"/>
    <hyperlink ref="U5" r:id="rId12" xr:uid="{00000000-0004-0000-0F00-00000E000000}"/>
    <hyperlink ref="W5" r:id="rId13" xr:uid="{00000000-0004-0000-0F00-00000F000000}"/>
    <hyperlink ref="X5" r:id="rId14" xr:uid="{00000000-0004-0000-0F00-000010000000}"/>
    <hyperlink ref="Y5" r:id="rId15" xr:uid="{00000000-0004-0000-0F00-000011000000}"/>
    <hyperlink ref="AA5" r:id="rId16" xr:uid="{00000000-0004-0000-0F00-000012000000}"/>
    <hyperlink ref="AC5" r:id="rId17" xr:uid="{00000000-0004-0000-0F00-000013000000}"/>
    <hyperlink ref="A6" location="'XFP 10G  AT-XPLR Delta'!A1" display="Fully Supported" xr:uid="{00000000-0004-0000-0F00-000014000000}"/>
    <hyperlink ref="B6" r:id="rId18" xr:uid="{00000000-0004-0000-0F00-000015000000}"/>
    <hyperlink ref="H6" r:id="rId19" xr:uid="{00000000-0004-0000-0F00-000016000000}"/>
    <hyperlink ref="L6" r:id="rId20" xr:uid="{00000000-0004-0000-0F00-000017000000}"/>
    <hyperlink ref="U6" r:id="rId21" xr:uid="{00000000-0004-0000-0F00-000018000000}"/>
    <hyperlink ref="W6" r:id="rId22" xr:uid="{00000000-0004-0000-0F00-000019000000}"/>
    <hyperlink ref="X6" r:id="rId23" xr:uid="{00000000-0004-0000-0F00-00001A000000}"/>
    <hyperlink ref="Y6" r:id="rId24" xr:uid="{00000000-0004-0000-0F00-00001B000000}"/>
    <hyperlink ref="AA6" r:id="rId25" xr:uid="{00000000-0004-0000-0F00-00001C000000}"/>
    <hyperlink ref="AB6" r:id="rId26" xr:uid="{00000000-0004-0000-0F00-00001D000000}"/>
    <hyperlink ref="AC6" r:id="rId27" xr:uid="{00000000-0004-0000-0F00-00001E000000}"/>
    <hyperlink ref="H7" r:id="rId28" xr:uid="{00000000-0004-0000-0F00-00001F000000}"/>
    <hyperlink ref="I7" r:id="rId29" xr:uid="{00000000-0004-0000-0F00-000020000000}"/>
    <hyperlink ref="L7" r:id="rId30" xr:uid="{00000000-0004-0000-0F00-000021000000}"/>
    <hyperlink ref="M7" r:id="rId31" xr:uid="{00000000-0004-0000-0F00-000022000000}"/>
    <hyperlink ref="W7" r:id="rId32" xr:uid="{00000000-0004-0000-0F00-000023000000}"/>
    <hyperlink ref="Y7" r:id="rId33" xr:uid="{00000000-0004-0000-0F00-000024000000}"/>
    <hyperlink ref="H8" r:id="rId34" xr:uid="{00000000-0004-0000-0F00-000025000000}"/>
    <hyperlink ref="I8" r:id="rId35" xr:uid="{00000000-0004-0000-0F00-000026000000}"/>
    <hyperlink ref="L8" r:id="rId36" xr:uid="{00000000-0004-0000-0F00-000027000000}"/>
    <hyperlink ref="U8" r:id="rId37" xr:uid="{00000000-0004-0000-0F00-000028000000}"/>
    <hyperlink ref="W8" r:id="rId38" xr:uid="{00000000-0004-0000-0F00-000029000000}"/>
    <hyperlink ref="X8" r:id="rId39" xr:uid="{00000000-0004-0000-0F00-00002A000000}"/>
    <hyperlink ref="Y8" r:id="rId40" xr:uid="{00000000-0004-0000-0F00-00002B000000}"/>
    <hyperlink ref="AA8" r:id="rId41" xr:uid="{00000000-0004-0000-0F00-00002C000000}"/>
    <hyperlink ref="AC8" r:id="rId42" xr:uid="{00000000-0004-0000-0F00-00002D000000}"/>
    <hyperlink ref="H13" r:id="rId43" xr:uid="{00000000-0004-0000-0F00-00002E000000}"/>
    <hyperlink ref="I13" r:id="rId44" xr:uid="{00000000-0004-0000-0F00-00002F000000}"/>
    <hyperlink ref="L13" r:id="rId45" xr:uid="{00000000-0004-0000-0F00-000030000000}"/>
    <hyperlink ref="M13" r:id="rId46" xr:uid="{00000000-0004-0000-0F00-000031000000}"/>
    <hyperlink ref="V13" r:id="rId47" xr:uid="{00000000-0004-0000-0F00-000032000000}"/>
    <hyperlink ref="W13" r:id="rId48" xr:uid="{00000000-0004-0000-0F00-000033000000}"/>
    <hyperlink ref="Y13" r:id="rId49" xr:uid="{00000000-0004-0000-0F00-000034000000}"/>
    <hyperlink ref="AC13" r:id="rId50" xr:uid="{00000000-0004-0000-0F00-000035000000}"/>
    <hyperlink ref="H14" r:id="rId51" xr:uid="{00000000-0004-0000-0F00-000036000000}"/>
    <hyperlink ref="I14" r:id="rId52" xr:uid="{00000000-0004-0000-0F00-000037000000}"/>
    <hyperlink ref="L14" r:id="rId53" xr:uid="{00000000-0004-0000-0F00-000038000000}"/>
    <hyperlink ref="AA14" r:id="rId54" xr:uid="{00000000-0004-0000-0F00-000039000000}"/>
    <hyperlink ref="AB14" r:id="rId55" xr:uid="{00000000-0004-0000-0F00-00003A000000}"/>
    <hyperlink ref="AC14" r:id="rId56" xr:uid="{00000000-0004-0000-0F00-00003B000000}"/>
    <hyperlink ref="B15" r:id="rId57" xr:uid="{00000000-0004-0000-0F00-00003C000000}"/>
    <hyperlink ref="I15" r:id="rId58" xr:uid="{00000000-0004-0000-0F00-00003D000000}"/>
    <hyperlink ref="W15" r:id="rId59" xr:uid="{00000000-0004-0000-0F00-00003E000000}"/>
    <hyperlink ref="Y15" r:id="rId60" xr:uid="{00000000-0004-0000-0F00-00003F000000}"/>
    <hyperlink ref="M16" r:id="rId61" xr:uid="{00000000-0004-0000-0F00-000040000000}"/>
    <hyperlink ref="W16" r:id="rId62" xr:uid="{00000000-0004-0000-0F00-000041000000}"/>
    <hyperlink ref="AA17" r:id="rId63" xr:uid="{00000000-0004-0000-0F00-000042000000}"/>
    <hyperlink ref="AB17" r:id="rId64" xr:uid="{00000000-0004-0000-0F00-000043000000}"/>
    <hyperlink ref="B18" r:id="rId65" xr:uid="{00000000-0004-0000-0F00-000044000000}"/>
    <hyperlink ref="I18" r:id="rId66" xr:uid="{00000000-0004-0000-0F00-000045000000}"/>
    <hyperlink ref="W18" r:id="rId67" xr:uid="{00000000-0004-0000-0F00-000046000000}"/>
    <hyperlink ref="Y18" r:id="rId68" xr:uid="{00000000-0004-0000-0F00-000047000000}"/>
    <hyperlink ref="AA18" r:id="rId69" xr:uid="{00000000-0004-0000-0F00-000048000000}"/>
    <hyperlink ref="AB18" r:id="rId70" xr:uid="{00000000-0004-0000-0F00-000049000000}"/>
    <hyperlink ref="I19" r:id="rId71" xr:uid="{00000000-0004-0000-0F00-00004A000000}"/>
    <hyperlink ref="AA19" r:id="rId72" xr:uid="{00000000-0004-0000-0F00-00004B000000}"/>
    <hyperlink ref="AB19" r:id="rId73" xr:uid="{00000000-0004-0000-0F00-00004C000000}"/>
    <hyperlink ref="AC20" r:id="rId74" xr:uid="{00000000-0004-0000-0F00-00004D000000}"/>
    <hyperlink ref="AC21" r:id="rId75" xr:uid="{00000000-0004-0000-0F00-00004E000000}"/>
    <hyperlink ref="B22" r:id="rId76" xr:uid="{00000000-0004-0000-0F00-00004F000000}"/>
    <hyperlink ref="I22" r:id="rId77" xr:uid="{00000000-0004-0000-0F00-000050000000}"/>
    <hyperlink ref="W22" r:id="rId78" xr:uid="{00000000-0004-0000-0F00-000051000000}"/>
    <hyperlink ref="Y22" r:id="rId79" xr:uid="{00000000-0004-0000-0F00-000052000000}"/>
    <hyperlink ref="AC22" r:id="rId80" xr:uid="{00000000-0004-0000-0F00-000053000000}"/>
    <hyperlink ref="I23" r:id="rId81" xr:uid="{00000000-0004-0000-0F00-000054000000}"/>
    <hyperlink ref="AC23" r:id="rId82" xr:uid="{00000000-0004-0000-0F00-000055000000}"/>
    <hyperlink ref="B24" r:id="rId83" xr:uid="{00000000-0004-0000-0F00-000056000000}"/>
    <hyperlink ref="H24" r:id="rId84" xr:uid="{00000000-0004-0000-0F00-000057000000}"/>
    <hyperlink ref="I24" r:id="rId85" xr:uid="{00000000-0004-0000-0F00-000058000000}"/>
    <hyperlink ref="L24" r:id="rId86" xr:uid="{00000000-0004-0000-0F00-000059000000}"/>
    <hyperlink ref="U24" r:id="rId87" xr:uid="{00000000-0004-0000-0F00-00005A000000}"/>
    <hyperlink ref="V24" r:id="rId88" xr:uid="{00000000-0004-0000-0F00-00005B000000}"/>
    <hyperlink ref="W24" r:id="rId89" xr:uid="{00000000-0004-0000-0F00-00005C000000}"/>
    <hyperlink ref="Y24" r:id="rId90" xr:uid="{00000000-0004-0000-0F00-00005D000000}"/>
    <hyperlink ref="H25" r:id="rId91" xr:uid="{00000000-0004-0000-0F00-00005E000000}"/>
    <hyperlink ref="U25" r:id="rId92" xr:uid="{00000000-0004-0000-0F00-00005F000000}"/>
    <hyperlink ref="W25" r:id="rId93" xr:uid="{00000000-0004-0000-0F00-000060000000}"/>
    <hyperlink ref="X25" r:id="rId94" xr:uid="{00000000-0004-0000-0F00-000061000000}"/>
    <hyperlink ref="Y25" r:id="rId95" xr:uid="{00000000-0004-0000-0F00-000062000000}"/>
    <hyperlink ref="AA25" r:id="rId96" xr:uid="{00000000-0004-0000-0F00-000063000000}"/>
    <hyperlink ref="AC25" r:id="rId97" xr:uid="{00000000-0004-0000-0F00-000064000000}"/>
  </hyperlinks>
  <pageMargins left="0.70833333333333304" right="0.70833333333333304" top="0.74791666666666701" bottom="0.74791666666666701" header="0.51180555555555496" footer="0.51180555555555496"/>
  <pageSetup paperSize="8" scale="64" firstPageNumber="0" orientation="landscape" horizontalDpi="300" verticalDpi="300" r:id="rId98"/>
  <legacyDrawing r:id="rId9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tabColor rgb="FFFF6600"/>
    <pageSetUpPr fitToPage="1"/>
  </sheetPr>
  <dimension ref="A1:H242"/>
  <sheetViews>
    <sheetView topLeftCell="A66" zoomScaleNormal="100" workbookViewId="0">
      <selection activeCell="X4" sqref="X4"/>
    </sheetView>
  </sheetViews>
  <sheetFormatPr defaultColWidth="9" defaultRowHeight="15" outlineLevelRow="1"/>
  <cols>
    <col min="1" max="1" width="15.5703125" customWidth="1"/>
    <col min="2" max="2" width="29.28515625" customWidth="1"/>
    <col min="3" max="3" width="19.140625" customWidth="1"/>
    <col min="4" max="4" width="31.5703125" customWidth="1"/>
    <col min="5" max="5" width="18.7109375" customWidth="1"/>
    <col min="6" max="6" width="15" customWidth="1"/>
    <col min="7" max="7" width="13" customWidth="1"/>
    <col min="8" max="8" width="18.7109375" customWidth="1"/>
  </cols>
  <sheetData>
    <row r="1" spans="2:8">
      <c r="B1" s="715" t="s">
        <v>1659</v>
      </c>
    </row>
    <row r="2" spans="2:8">
      <c r="B2" s="716"/>
    </row>
    <row r="3" spans="2:8">
      <c r="B3" s="716" t="s">
        <v>1660</v>
      </c>
    </row>
    <row r="4" spans="2:8">
      <c r="B4" s="716" t="s">
        <v>1661</v>
      </c>
    </row>
    <row r="5" spans="2:8">
      <c r="B5" s="716" t="s">
        <v>1662</v>
      </c>
    </row>
    <row r="6" spans="2:8">
      <c r="B6" s="716" t="s">
        <v>1663</v>
      </c>
    </row>
    <row r="7" spans="2:8">
      <c r="B7" s="716" t="s">
        <v>1664</v>
      </c>
    </row>
    <row r="8" spans="2:8">
      <c r="B8" s="716" t="s">
        <v>1665</v>
      </c>
    </row>
    <row r="9" spans="2:8">
      <c r="B9" s="716" t="s">
        <v>1666</v>
      </c>
    </row>
    <row r="10" spans="2:8">
      <c r="B10" s="716" t="s">
        <v>1667</v>
      </c>
    </row>
    <row r="12" spans="2:8" ht="15.75">
      <c r="B12" s="717" t="s">
        <v>1763</v>
      </c>
      <c r="C12" t="s">
        <v>1764</v>
      </c>
    </row>
    <row r="13" spans="2:8">
      <c r="B13" s="718"/>
    </row>
    <row r="14" spans="2:8">
      <c r="B14" s="719"/>
      <c r="C14" s="720" t="s">
        <v>1765</v>
      </c>
      <c r="D14" s="720" t="s">
        <v>1766</v>
      </c>
      <c r="E14" s="720" t="s">
        <v>1767</v>
      </c>
      <c r="F14" s="720" t="s">
        <v>1768</v>
      </c>
      <c r="G14" s="720" t="s">
        <v>1769</v>
      </c>
      <c r="H14" s="720"/>
    </row>
    <row r="15" spans="2:8">
      <c r="B15" s="721" t="s">
        <v>1770</v>
      </c>
      <c r="C15" s="722"/>
      <c r="D15" s="722"/>
      <c r="E15" s="722"/>
      <c r="F15" s="722"/>
      <c r="G15" s="722"/>
      <c r="H15" s="722" t="s">
        <v>1110</v>
      </c>
    </row>
    <row r="16" spans="2:8">
      <c r="B16" s="721" t="s">
        <v>101</v>
      </c>
      <c r="C16" s="722" t="s">
        <v>1771</v>
      </c>
      <c r="D16" s="722"/>
      <c r="E16" s="722" t="s">
        <v>1772</v>
      </c>
      <c r="F16" s="722"/>
      <c r="G16" s="722"/>
      <c r="H16" s="722" t="s">
        <v>1110</v>
      </c>
    </row>
    <row r="17" spans="1:8">
      <c r="B17" s="723" t="s">
        <v>1773</v>
      </c>
      <c r="C17" s="724"/>
      <c r="D17" s="724"/>
      <c r="E17" s="724"/>
      <c r="F17" s="724"/>
      <c r="G17" s="724"/>
      <c r="H17" s="724"/>
    </row>
    <row r="18" spans="1:8">
      <c r="B18" s="723" t="s">
        <v>106</v>
      </c>
      <c r="C18" s="724" t="s">
        <v>1774</v>
      </c>
      <c r="D18" s="724"/>
      <c r="E18" s="724"/>
      <c r="F18" s="724"/>
      <c r="G18" s="724" t="s">
        <v>1775</v>
      </c>
      <c r="H18" s="724"/>
    </row>
    <row r="19" spans="1:8">
      <c r="B19" s="723" t="s">
        <v>1776</v>
      </c>
      <c r="C19" s="724" t="s">
        <v>1777</v>
      </c>
      <c r="D19" s="724"/>
      <c r="E19" s="725" t="s">
        <v>767</v>
      </c>
      <c r="F19" s="724"/>
      <c r="G19" s="724"/>
      <c r="H19" s="724"/>
    </row>
    <row r="20" spans="1:8">
      <c r="B20" s="723" t="s">
        <v>798</v>
      </c>
      <c r="C20" s="724" t="s">
        <v>745</v>
      </c>
      <c r="D20" s="724"/>
      <c r="E20" s="724"/>
      <c r="F20" s="724"/>
      <c r="G20" s="724" t="s">
        <v>1778</v>
      </c>
      <c r="H20" s="724"/>
    </row>
    <row r="21" spans="1:8">
      <c r="B21" s="723" t="s">
        <v>1779</v>
      </c>
      <c r="C21" s="724"/>
      <c r="D21" s="724"/>
      <c r="E21" s="724"/>
      <c r="F21" s="724"/>
      <c r="G21" s="724"/>
      <c r="H21" s="724"/>
    </row>
    <row r="22" spans="1:8">
      <c r="B22" s="718"/>
      <c r="C22" s="718" t="s">
        <v>1780</v>
      </c>
      <c r="D22" s="718" t="s">
        <v>798</v>
      </c>
    </row>
    <row r="23" spans="1:8">
      <c r="C23" s="718" t="s">
        <v>1781</v>
      </c>
      <c r="D23" s="726" t="s">
        <v>1782</v>
      </c>
    </row>
    <row r="24" spans="1:8">
      <c r="B24" s="727" t="s">
        <v>1783</v>
      </c>
    </row>
    <row r="25" spans="1:8" ht="15.75">
      <c r="B25" s="717" t="s">
        <v>1784</v>
      </c>
      <c r="C25" t="s">
        <v>1764</v>
      </c>
    </row>
    <row r="26" spans="1:8" ht="15.75">
      <c r="B26" s="717"/>
    </row>
    <row r="27" spans="1:8">
      <c r="B27" s="728" t="s">
        <v>1785</v>
      </c>
    </row>
    <row r="28" spans="1:8">
      <c r="A28" t="s">
        <v>1785</v>
      </c>
      <c r="B28" s="729"/>
      <c r="C28" s="720" t="s">
        <v>1765</v>
      </c>
      <c r="D28" s="720" t="s">
        <v>671</v>
      </c>
      <c r="E28" s="720" t="s">
        <v>740</v>
      </c>
      <c r="F28" s="720" t="s">
        <v>790</v>
      </c>
    </row>
    <row r="29" spans="1:8">
      <c r="A29" t="s">
        <v>1785</v>
      </c>
      <c r="B29" s="730"/>
      <c r="C29" s="724" t="s">
        <v>1786</v>
      </c>
      <c r="D29" s="724"/>
      <c r="E29" s="724"/>
      <c r="F29" s="724"/>
    </row>
    <row r="30" spans="1:8" ht="15.75">
      <c r="B30" s="717"/>
    </row>
    <row r="31" spans="1:8" ht="15.75">
      <c r="B31" s="717"/>
    </row>
    <row r="32" spans="1:8">
      <c r="B32" s="728" t="s">
        <v>1787</v>
      </c>
    </row>
    <row r="33" spans="1:6">
      <c r="B33" s="729"/>
      <c r="C33" s="720" t="s">
        <v>1765</v>
      </c>
      <c r="D33" s="720" t="s">
        <v>671</v>
      </c>
      <c r="E33" s="720" t="s">
        <v>740</v>
      </c>
      <c r="F33" s="720" t="s">
        <v>790</v>
      </c>
    </row>
    <row r="34" spans="1:6">
      <c r="A34" s="728" t="s">
        <v>1787</v>
      </c>
      <c r="B34" s="730" t="s">
        <v>1053</v>
      </c>
      <c r="C34" s="724" t="s">
        <v>1788</v>
      </c>
      <c r="D34" s="724"/>
      <c r="E34" s="724" t="s">
        <v>1789</v>
      </c>
      <c r="F34" s="724" t="s">
        <v>1790</v>
      </c>
    </row>
    <row r="35" spans="1:6" ht="15.75">
      <c r="B35" s="717"/>
    </row>
    <row r="36" spans="1:6">
      <c r="B36" s="728" t="s">
        <v>234</v>
      </c>
    </row>
    <row r="37" spans="1:6">
      <c r="B37" s="729"/>
      <c r="C37" s="720" t="s">
        <v>1765</v>
      </c>
      <c r="D37" s="720" t="s">
        <v>671</v>
      </c>
      <c r="E37" s="720" t="s">
        <v>655</v>
      </c>
      <c r="F37" s="720" t="s">
        <v>790</v>
      </c>
    </row>
    <row r="38" spans="1:6">
      <c r="B38" s="730" t="s">
        <v>1791</v>
      </c>
      <c r="C38" s="724" t="s">
        <v>653</v>
      </c>
      <c r="D38" s="724"/>
      <c r="E38" s="725" t="s">
        <v>654</v>
      </c>
      <c r="F38" s="724"/>
    </row>
    <row r="39" spans="1:6">
      <c r="B39" s="730" t="s">
        <v>1792</v>
      </c>
      <c r="C39" s="724" t="s">
        <v>667</v>
      </c>
      <c r="D39" s="724"/>
      <c r="E39" s="724" t="s">
        <v>654</v>
      </c>
      <c r="F39" s="724"/>
    </row>
    <row r="40" spans="1:6">
      <c r="B40" s="730" t="s">
        <v>1793</v>
      </c>
      <c r="C40" s="724" t="s">
        <v>670</v>
      </c>
      <c r="D40" s="724" t="s">
        <v>654</v>
      </c>
      <c r="E40" s="724"/>
      <c r="F40" s="724"/>
    </row>
    <row r="41" spans="1:6">
      <c r="B41" s="730" t="s">
        <v>1794</v>
      </c>
      <c r="C41" s="724" t="s">
        <v>670</v>
      </c>
      <c r="D41" s="724" t="s">
        <v>654</v>
      </c>
      <c r="E41" s="724"/>
      <c r="F41" s="724"/>
    </row>
    <row r="42" spans="1:6">
      <c r="B42" s="718"/>
    </row>
    <row r="43" spans="1:6">
      <c r="B43" s="728" t="s">
        <v>940</v>
      </c>
    </row>
    <row r="44" spans="1:6">
      <c r="B44" s="731" t="s">
        <v>940</v>
      </c>
      <c r="C44" s="732" t="s">
        <v>1795</v>
      </c>
      <c r="D44" s="733" t="s">
        <v>1796</v>
      </c>
    </row>
    <row r="45" spans="1:6">
      <c r="B45" s="734" t="s">
        <v>1315</v>
      </c>
      <c r="C45" s="735" t="s">
        <v>931</v>
      </c>
      <c r="D45" s="736" t="s">
        <v>1797</v>
      </c>
    </row>
    <row r="46" spans="1:6">
      <c r="B46" s="734" t="s">
        <v>1317</v>
      </c>
      <c r="C46" s="735" t="s">
        <v>925</v>
      </c>
      <c r="D46" s="736" t="s">
        <v>1798</v>
      </c>
    </row>
    <row r="47" spans="1:6">
      <c r="B47" s="734" t="s">
        <v>1319</v>
      </c>
      <c r="C47" s="735" t="s">
        <v>920</v>
      </c>
      <c r="D47" s="736" t="s">
        <v>1799</v>
      </c>
    </row>
    <row r="48" spans="1:6">
      <c r="B48" s="734" t="s">
        <v>1136</v>
      </c>
      <c r="C48" s="735" t="s">
        <v>1304</v>
      </c>
      <c r="D48" s="736" t="s">
        <v>1800</v>
      </c>
    </row>
    <row r="49" spans="2:4">
      <c r="B49" s="734" t="s">
        <v>1135</v>
      </c>
      <c r="C49" s="735" t="s">
        <v>1301</v>
      </c>
      <c r="D49" s="736" t="s">
        <v>1801</v>
      </c>
    </row>
    <row r="50" spans="2:4">
      <c r="B50" s="737" t="s">
        <v>1134</v>
      </c>
      <c r="C50" s="738" t="s">
        <v>1299</v>
      </c>
      <c r="D50" s="739" t="s">
        <v>1802</v>
      </c>
    </row>
    <row r="51" spans="2:4">
      <c r="B51" s="718"/>
    </row>
    <row r="52" spans="2:4">
      <c r="B52" s="728" t="s">
        <v>905</v>
      </c>
      <c r="C52" t="s">
        <v>1764</v>
      </c>
    </row>
    <row r="53" spans="2:4">
      <c r="B53" s="731" t="s">
        <v>940</v>
      </c>
      <c r="C53" s="732" t="s">
        <v>1795</v>
      </c>
      <c r="D53" s="733" t="s">
        <v>1796</v>
      </c>
    </row>
    <row r="54" spans="2:4">
      <c r="B54" s="724" t="s">
        <v>1803</v>
      </c>
      <c r="C54" s="724" t="s">
        <v>1804</v>
      </c>
      <c r="D54" s="724"/>
    </row>
    <row r="55" spans="2:4">
      <c r="B55" s="724" t="s">
        <v>1805</v>
      </c>
      <c r="C55" s="724" t="s">
        <v>1806</v>
      </c>
      <c r="D55" s="724"/>
    </row>
    <row r="56" spans="2:4">
      <c r="B56" s="724" t="s">
        <v>1807</v>
      </c>
      <c r="C56" s="724" t="s">
        <v>1808</v>
      </c>
      <c r="D56" s="724"/>
    </row>
    <row r="57" spans="2:4">
      <c r="B57" s="724" t="s">
        <v>1809</v>
      </c>
      <c r="C57" s="724" t="s">
        <v>1810</v>
      </c>
      <c r="D57" s="724"/>
    </row>
    <row r="58" spans="2:4">
      <c r="B58" s="724" t="s">
        <v>906</v>
      </c>
      <c r="C58" s="724" t="s">
        <v>886</v>
      </c>
      <c r="D58" s="724"/>
    </row>
    <row r="59" spans="2:4">
      <c r="B59" s="724" t="s">
        <v>909</v>
      </c>
      <c r="C59" s="724" t="s">
        <v>890</v>
      </c>
      <c r="D59" s="724"/>
    </row>
    <row r="60" spans="2:4">
      <c r="B60" s="724" t="s">
        <v>911</v>
      </c>
      <c r="C60" s="724" t="s">
        <v>900</v>
      </c>
      <c r="D60" s="724"/>
    </row>
    <row r="61" spans="2:4">
      <c r="B61" s="724" t="s">
        <v>913</v>
      </c>
      <c r="C61" s="724" t="s">
        <v>903</v>
      </c>
      <c r="D61" s="724"/>
    </row>
    <row r="62" spans="2:4">
      <c r="B62" s="718"/>
    </row>
    <row r="63" spans="2:4">
      <c r="B63" s="728" t="s">
        <v>56</v>
      </c>
    </row>
    <row r="64" spans="2:4">
      <c r="B64" s="729"/>
      <c r="C64" s="720" t="s">
        <v>1765</v>
      </c>
      <c r="D64" s="720" t="s">
        <v>1811</v>
      </c>
    </row>
    <row r="65" spans="2:8">
      <c r="B65" s="730"/>
      <c r="C65" s="724" t="s">
        <v>694</v>
      </c>
      <c r="D65" s="724" t="s">
        <v>695</v>
      </c>
    </row>
    <row r="66" spans="2:8">
      <c r="C66" s="740" t="s">
        <v>1244</v>
      </c>
      <c r="D66" s="740" t="s">
        <v>1812</v>
      </c>
    </row>
    <row r="67" spans="2:8">
      <c r="C67" s="740"/>
      <c r="D67" s="740"/>
      <c r="F67" s="741"/>
      <c r="G67" s="742"/>
      <c r="H67" s="742"/>
    </row>
    <row r="68" spans="2:8">
      <c r="B68" s="728" t="s">
        <v>45</v>
      </c>
      <c r="F68" s="741"/>
      <c r="G68" s="742"/>
      <c r="H68" s="742"/>
    </row>
    <row r="69" spans="2:8">
      <c r="B69" s="743"/>
      <c r="C69" s="743" t="s">
        <v>1765</v>
      </c>
      <c r="D69" s="743" t="s">
        <v>1811</v>
      </c>
      <c r="F69" s="741"/>
      <c r="G69" s="742"/>
      <c r="H69" s="742"/>
    </row>
    <row r="70" spans="2:8">
      <c r="B70" s="743" t="s">
        <v>710</v>
      </c>
      <c r="C70" s="744" t="s">
        <v>711</v>
      </c>
      <c r="D70" s="744" t="s">
        <v>712</v>
      </c>
      <c r="F70" s="741"/>
      <c r="G70" s="742"/>
      <c r="H70" s="742"/>
    </row>
    <row r="71" spans="2:8">
      <c r="B71" s="743" t="s">
        <v>715</v>
      </c>
      <c r="C71" s="744" t="s">
        <v>711</v>
      </c>
      <c r="D71" s="744" t="s">
        <v>712</v>
      </c>
      <c r="F71" s="741"/>
      <c r="G71" s="742"/>
      <c r="H71" s="742"/>
    </row>
    <row r="72" spans="2:8">
      <c r="C72" s="740" t="s">
        <v>1244</v>
      </c>
      <c r="D72" s="740" t="s">
        <v>713</v>
      </c>
      <c r="F72" s="741"/>
      <c r="G72" s="742"/>
      <c r="H72" s="742"/>
    </row>
    <row r="73" spans="2:8">
      <c r="C73" s="740"/>
      <c r="D73" s="740"/>
    </row>
    <row r="74" spans="2:8">
      <c r="B74" s="728" t="s">
        <v>53</v>
      </c>
    </row>
    <row r="75" spans="2:8">
      <c r="B75" s="729"/>
      <c r="C75" s="720" t="s">
        <v>1765</v>
      </c>
      <c r="D75" s="720" t="s">
        <v>1811</v>
      </c>
    </row>
    <row r="76" spans="2:8">
      <c r="B76" s="730"/>
      <c r="C76" s="724" t="s">
        <v>1813</v>
      </c>
      <c r="D76" s="724" t="s">
        <v>718</v>
      </c>
    </row>
    <row r="77" spans="2:8">
      <c r="C77" s="740" t="s">
        <v>1244</v>
      </c>
      <c r="D77" s="740" t="s">
        <v>1814</v>
      </c>
    </row>
    <row r="78" spans="2:8">
      <c r="C78" s="740"/>
      <c r="D78" s="740"/>
    </row>
    <row r="79" spans="2:8">
      <c r="B79" s="728" t="s">
        <v>57</v>
      </c>
    </row>
    <row r="80" spans="2:8">
      <c r="B80" s="729"/>
      <c r="C80" s="720" t="s">
        <v>1765</v>
      </c>
      <c r="D80" s="720" t="s">
        <v>1815</v>
      </c>
      <c r="E80" s="720" t="s">
        <v>1816</v>
      </c>
    </row>
    <row r="81" spans="2:8">
      <c r="B81" s="730"/>
      <c r="C81" s="724" t="s">
        <v>976</v>
      </c>
      <c r="D81" s="724" t="s">
        <v>1817</v>
      </c>
      <c r="E81" s="724" t="s">
        <v>1818</v>
      </c>
    </row>
    <row r="82" spans="2:8" ht="15.75">
      <c r="B82" s="717"/>
    </row>
    <row r="83" spans="2:8">
      <c r="B83" s="728" t="s">
        <v>1819</v>
      </c>
      <c r="C83" t="s">
        <v>1764</v>
      </c>
    </row>
    <row r="84" spans="2:8">
      <c r="B84" s="729"/>
      <c r="C84" s="720" t="s">
        <v>1765</v>
      </c>
      <c r="D84" s="720" t="s">
        <v>671</v>
      </c>
      <c r="E84" s="720" t="s">
        <v>740</v>
      </c>
      <c r="F84" s="720" t="s">
        <v>790</v>
      </c>
      <c r="G84" s="745"/>
      <c r="H84" s="741"/>
    </row>
    <row r="85" spans="2:8">
      <c r="B85" s="730" t="s">
        <v>1053</v>
      </c>
      <c r="C85" s="724" t="s">
        <v>1054</v>
      </c>
      <c r="D85" s="724"/>
      <c r="E85" s="724" t="s">
        <v>1820</v>
      </c>
      <c r="F85" s="724"/>
      <c r="G85" s="745"/>
      <c r="H85" s="741"/>
    </row>
    <row r="86" spans="2:8">
      <c r="B86" s="730" t="s">
        <v>1056</v>
      </c>
      <c r="C86" s="724" t="s">
        <v>1054</v>
      </c>
      <c r="D86" s="724"/>
      <c r="E86" s="724" t="s">
        <v>1820</v>
      </c>
      <c r="F86" s="724"/>
      <c r="G86" s="745"/>
      <c r="H86" s="741"/>
    </row>
    <row r="87" spans="2:8">
      <c r="B87" s="730" t="s">
        <v>1057</v>
      </c>
      <c r="C87" s="724" t="s">
        <v>1058</v>
      </c>
      <c r="D87" s="724"/>
      <c r="E87" s="724" t="s">
        <v>1820</v>
      </c>
      <c r="F87" s="724"/>
      <c r="G87" s="745"/>
      <c r="H87" s="741"/>
    </row>
    <row r="88" spans="2:8">
      <c r="B88" s="730" t="s">
        <v>1059</v>
      </c>
      <c r="C88" s="724" t="s">
        <v>1058</v>
      </c>
      <c r="D88" s="724"/>
      <c r="E88" s="724" t="s">
        <v>1820</v>
      </c>
      <c r="F88" s="724"/>
      <c r="G88" s="745"/>
      <c r="H88" s="741"/>
    </row>
    <row r="89" spans="2:8">
      <c r="B89" s="730" t="s">
        <v>1060</v>
      </c>
      <c r="C89" s="724" t="s">
        <v>1054</v>
      </c>
      <c r="D89" s="724" t="s">
        <v>1061</v>
      </c>
      <c r="E89" s="724" t="s">
        <v>1820</v>
      </c>
      <c r="F89" s="724"/>
      <c r="G89" s="745"/>
      <c r="H89" s="741"/>
    </row>
    <row r="90" spans="2:8">
      <c r="B90" s="730" t="s">
        <v>1065</v>
      </c>
      <c r="C90" s="724"/>
      <c r="D90" s="724"/>
      <c r="E90" s="724"/>
      <c r="F90" s="724" t="s">
        <v>1820</v>
      </c>
      <c r="G90" s="745"/>
      <c r="H90" s="741"/>
    </row>
    <row r="91" spans="2:8">
      <c r="B91" s="746" t="s">
        <v>1821</v>
      </c>
      <c r="C91" s="741"/>
      <c r="D91" s="741"/>
      <c r="E91" s="741"/>
      <c r="F91" s="741"/>
      <c r="G91" s="741"/>
      <c r="H91" s="741"/>
    </row>
    <row r="92" spans="2:8">
      <c r="B92" s="741"/>
      <c r="C92" s="740" t="s">
        <v>1244</v>
      </c>
      <c r="D92" s="740" t="s">
        <v>1060</v>
      </c>
      <c r="E92" s="741"/>
      <c r="F92" s="741"/>
      <c r="G92" s="741"/>
      <c r="H92" s="741"/>
    </row>
    <row r="93" spans="2:8">
      <c r="B93" s="741"/>
      <c r="C93" s="740" t="s">
        <v>1247</v>
      </c>
      <c r="D93" s="747" t="s">
        <v>1822</v>
      </c>
      <c r="E93" s="741"/>
      <c r="F93" s="741"/>
      <c r="G93" s="741"/>
      <c r="H93" s="741"/>
    </row>
    <row r="94" spans="2:8">
      <c r="B94" s="741"/>
      <c r="C94" s="740" t="s">
        <v>1273</v>
      </c>
      <c r="D94" s="747" t="s">
        <v>1822</v>
      </c>
      <c r="E94" s="741"/>
      <c r="F94" s="741"/>
      <c r="G94" s="741"/>
      <c r="H94" s="741"/>
    </row>
    <row r="95" spans="2:8">
      <c r="B95" s="741"/>
      <c r="C95" s="741"/>
      <c r="D95" s="741"/>
      <c r="E95" s="741"/>
      <c r="F95" s="741"/>
      <c r="G95" s="741"/>
      <c r="H95" s="741"/>
    </row>
    <row r="96" spans="2:8" ht="15.75">
      <c r="B96" s="717"/>
    </row>
    <row r="97" spans="2:7">
      <c r="B97" s="728" t="s">
        <v>1823</v>
      </c>
      <c r="C97" t="s">
        <v>1764</v>
      </c>
    </row>
    <row r="98" spans="2:7">
      <c r="B98" s="729"/>
      <c r="C98" s="720" t="s">
        <v>1765</v>
      </c>
      <c r="D98" s="720" t="s">
        <v>1824</v>
      </c>
      <c r="E98" s="720" t="s">
        <v>1769</v>
      </c>
    </row>
    <row r="99" spans="2:7">
      <c r="B99" s="730" t="s">
        <v>1825</v>
      </c>
      <c r="C99" s="724" t="s">
        <v>1826</v>
      </c>
      <c r="D99" s="724"/>
      <c r="E99" s="724"/>
    </row>
    <row r="100" spans="2:7">
      <c r="B100" s="730" t="s">
        <v>1827</v>
      </c>
      <c r="C100" s="724" t="s">
        <v>1828</v>
      </c>
      <c r="D100" s="724" t="s">
        <v>1124</v>
      </c>
      <c r="E100" s="724"/>
    </row>
    <row r="101" spans="2:7">
      <c r="B101" s="730" t="s">
        <v>1829</v>
      </c>
      <c r="C101" s="724" t="s">
        <v>1830</v>
      </c>
      <c r="D101" s="724" t="s">
        <v>1124</v>
      </c>
      <c r="E101" s="724"/>
    </row>
    <row r="102" spans="2:7">
      <c r="B102" s="727" t="s">
        <v>1831</v>
      </c>
      <c r="C102" s="718" t="s">
        <v>1781</v>
      </c>
      <c r="D102" t="s">
        <v>1832</v>
      </c>
    </row>
    <row r="103" spans="2:7">
      <c r="B103" s="727" t="s">
        <v>1125</v>
      </c>
      <c r="C103" s="718" t="s">
        <v>1781</v>
      </c>
      <c r="D103" t="s">
        <v>1833</v>
      </c>
    </row>
    <row r="104" spans="2:7">
      <c r="B104" s="727"/>
      <c r="C104" s="718"/>
    </row>
    <row r="105" spans="2:7">
      <c r="B105" s="728" t="s">
        <v>1834</v>
      </c>
      <c r="C105" t="s">
        <v>1764</v>
      </c>
    </row>
    <row r="106" spans="2:7" outlineLevel="1">
      <c r="B106" s="729"/>
      <c r="C106" s="720" t="s">
        <v>1765</v>
      </c>
      <c r="D106" s="720" t="s">
        <v>1824</v>
      </c>
      <c r="E106" s="720" t="s">
        <v>1835</v>
      </c>
      <c r="F106" s="720" t="s">
        <v>1769</v>
      </c>
      <c r="G106" s="720" t="s">
        <v>790</v>
      </c>
    </row>
    <row r="107" spans="2:7" outlineLevel="1">
      <c r="B107" s="724" t="s">
        <v>1836</v>
      </c>
      <c r="C107" s="724" t="s">
        <v>1837</v>
      </c>
      <c r="D107" s="724"/>
      <c r="E107" s="724" t="s">
        <v>654</v>
      </c>
      <c r="F107" s="724"/>
      <c r="G107" s="724"/>
    </row>
    <row r="108" spans="2:7" outlineLevel="1">
      <c r="B108" s="724" t="s">
        <v>1838</v>
      </c>
      <c r="C108" s="724" t="s">
        <v>1837</v>
      </c>
      <c r="D108" s="724"/>
      <c r="E108" s="724" t="s">
        <v>654</v>
      </c>
      <c r="F108" s="724"/>
      <c r="G108" s="724"/>
    </row>
    <row r="109" spans="2:7" outlineLevel="1">
      <c r="B109" s="724" t="s">
        <v>1839</v>
      </c>
      <c r="C109" s="724"/>
      <c r="D109" s="724"/>
      <c r="E109" s="724"/>
      <c r="F109" s="724"/>
      <c r="G109" s="724"/>
    </row>
    <row r="110" spans="2:7" outlineLevel="1">
      <c r="B110" s="724" t="s">
        <v>1840</v>
      </c>
      <c r="C110" s="724" t="s">
        <v>1841</v>
      </c>
      <c r="D110" s="724"/>
      <c r="E110" s="724" t="s">
        <v>654</v>
      </c>
      <c r="F110" s="724"/>
      <c r="G110" s="724"/>
    </row>
    <row r="111" spans="2:7" outlineLevel="1">
      <c r="B111" s="724" t="s">
        <v>1842</v>
      </c>
      <c r="C111" s="724" t="s">
        <v>1841</v>
      </c>
      <c r="D111" s="724"/>
      <c r="E111" s="724" t="s">
        <v>654</v>
      </c>
      <c r="F111" s="724"/>
      <c r="G111" s="724"/>
    </row>
    <row r="112" spans="2:7" outlineLevel="1">
      <c r="B112" s="724" t="s">
        <v>1843</v>
      </c>
      <c r="C112" s="724" t="s">
        <v>1844</v>
      </c>
      <c r="D112" s="724"/>
      <c r="E112" s="724" t="s">
        <v>654</v>
      </c>
      <c r="F112" s="724"/>
      <c r="G112" s="724"/>
    </row>
    <row r="113" spans="2:7" outlineLevel="1">
      <c r="B113" s="724" t="s">
        <v>1845</v>
      </c>
      <c r="C113" s="724" t="s">
        <v>1844</v>
      </c>
      <c r="D113" s="724"/>
      <c r="E113" s="724" t="s">
        <v>654</v>
      </c>
      <c r="F113" s="724"/>
      <c r="G113" s="724"/>
    </row>
    <row r="114" spans="2:7" outlineLevel="1">
      <c r="B114" s="724" t="s">
        <v>892</v>
      </c>
      <c r="C114" s="724" t="s">
        <v>1844</v>
      </c>
      <c r="D114" s="724" t="s">
        <v>1846</v>
      </c>
      <c r="E114" s="724" t="s">
        <v>654</v>
      </c>
      <c r="F114" s="724"/>
      <c r="G114" s="724"/>
    </row>
    <row r="115" spans="2:7" outlineLevel="1">
      <c r="B115" s="724" t="s">
        <v>1847</v>
      </c>
      <c r="C115" s="724" t="s">
        <v>1848</v>
      </c>
      <c r="D115" s="724"/>
      <c r="E115" s="724" t="s">
        <v>654</v>
      </c>
      <c r="F115" s="724"/>
      <c r="G115" s="724"/>
    </row>
    <row r="116" spans="2:7" outlineLevel="1">
      <c r="B116" s="724" t="s">
        <v>1849</v>
      </c>
      <c r="C116" s="724" t="s">
        <v>1848</v>
      </c>
      <c r="D116" s="724"/>
      <c r="E116" s="724" t="s">
        <v>654</v>
      </c>
      <c r="F116" s="724"/>
      <c r="G116" s="724"/>
    </row>
    <row r="117" spans="2:7">
      <c r="B117" s="727" t="s">
        <v>1850</v>
      </c>
      <c r="C117" s="718" t="s">
        <v>1781</v>
      </c>
      <c r="D117" t="s">
        <v>892</v>
      </c>
    </row>
    <row r="118" spans="2:7">
      <c r="B118" s="727" t="s">
        <v>1851</v>
      </c>
      <c r="C118" s="718" t="s">
        <v>1781</v>
      </c>
      <c r="D118" t="s">
        <v>1852</v>
      </c>
    </row>
    <row r="119" spans="2:7">
      <c r="B119" s="727"/>
      <c r="C119" s="718"/>
    </row>
    <row r="120" spans="2:7">
      <c r="B120" s="728" t="s">
        <v>1853</v>
      </c>
      <c r="C120" t="s">
        <v>1764</v>
      </c>
    </row>
    <row r="121" spans="2:7" ht="39" customHeight="1">
      <c r="B121" s="729"/>
      <c r="C121" s="720" t="s">
        <v>1765</v>
      </c>
      <c r="D121" s="720" t="s">
        <v>1854</v>
      </c>
      <c r="E121" s="720" t="s">
        <v>1769</v>
      </c>
    </row>
    <row r="122" spans="2:7">
      <c r="B122" s="730" t="s">
        <v>1855</v>
      </c>
      <c r="C122" s="724" t="s">
        <v>1856</v>
      </c>
      <c r="D122" s="724" t="s">
        <v>1857</v>
      </c>
      <c r="E122" s="724"/>
    </row>
    <row r="123" spans="2:7">
      <c r="B123" s="748" t="s">
        <v>1858</v>
      </c>
      <c r="C123" s="749" t="s">
        <v>1856</v>
      </c>
      <c r="D123" s="749" t="s">
        <v>1859</v>
      </c>
      <c r="E123" s="749"/>
    </row>
    <row r="124" spans="2:7">
      <c r="B124" s="730" t="s">
        <v>1860</v>
      </c>
      <c r="C124" s="724" t="s">
        <v>1856</v>
      </c>
      <c r="D124" s="724" t="s">
        <v>1857</v>
      </c>
      <c r="E124" s="724"/>
    </row>
    <row r="125" spans="2:7">
      <c r="B125" s="730" t="s">
        <v>1861</v>
      </c>
      <c r="C125" s="724" t="s">
        <v>1856</v>
      </c>
      <c r="D125" s="724" t="s">
        <v>1857</v>
      </c>
      <c r="E125" s="724"/>
    </row>
    <row r="126" spans="2:7">
      <c r="B126" s="730" t="s">
        <v>1862</v>
      </c>
      <c r="C126" s="724" t="s">
        <v>1863</v>
      </c>
      <c r="D126" s="724" t="s">
        <v>1857</v>
      </c>
      <c r="E126" s="724"/>
    </row>
    <row r="127" spans="2:7">
      <c r="B127" s="730" t="s">
        <v>1864</v>
      </c>
      <c r="C127" s="724" t="s">
        <v>1863</v>
      </c>
      <c r="D127" s="724" t="s">
        <v>1857</v>
      </c>
      <c r="E127" s="724"/>
    </row>
    <row r="128" spans="2:7">
      <c r="B128" s="750" t="s">
        <v>1865</v>
      </c>
      <c r="C128" s="751" t="s">
        <v>1866</v>
      </c>
      <c r="D128" s="752" t="s">
        <v>1867</v>
      </c>
    </row>
    <row r="129" spans="2:5">
      <c r="B129" s="750" t="s">
        <v>1865</v>
      </c>
      <c r="C129" s="751" t="s">
        <v>1866</v>
      </c>
      <c r="D129" s="752" t="s">
        <v>918</v>
      </c>
    </row>
    <row r="130" spans="2:5">
      <c r="B130" s="750" t="s">
        <v>1865</v>
      </c>
      <c r="C130" s="751" t="s">
        <v>1868</v>
      </c>
      <c r="D130" s="752" t="s">
        <v>1867</v>
      </c>
    </row>
    <row r="131" spans="2:5">
      <c r="B131" s="750" t="s">
        <v>1865</v>
      </c>
      <c r="C131" s="751" t="s">
        <v>1868</v>
      </c>
      <c r="D131" s="752" t="s">
        <v>918</v>
      </c>
    </row>
    <row r="132" spans="2:5">
      <c r="B132" s="753"/>
      <c r="C132" s="718"/>
    </row>
    <row r="133" spans="2:5">
      <c r="B133" s="728" t="s">
        <v>1869</v>
      </c>
      <c r="C133" t="s">
        <v>1764</v>
      </c>
    </row>
    <row r="134" spans="2:5">
      <c r="B134" s="729"/>
      <c r="C134" s="720" t="s">
        <v>1765</v>
      </c>
      <c r="D134" s="720" t="s">
        <v>1824</v>
      </c>
      <c r="E134" s="720" t="s">
        <v>1769</v>
      </c>
    </row>
    <row r="135" spans="2:5">
      <c r="B135" s="730" t="s">
        <v>947</v>
      </c>
      <c r="C135" s="724" t="s">
        <v>711</v>
      </c>
      <c r="D135" s="724" t="s">
        <v>948</v>
      </c>
      <c r="E135" s="724"/>
    </row>
    <row r="136" spans="2:5">
      <c r="B136" s="730" t="s">
        <v>950</v>
      </c>
      <c r="C136" s="724" t="s">
        <v>711</v>
      </c>
      <c r="D136" s="724" t="s">
        <v>948</v>
      </c>
      <c r="E136" s="724"/>
    </row>
    <row r="137" spans="2:5">
      <c r="B137" s="730" t="s">
        <v>951</v>
      </c>
      <c r="C137" s="724" t="s">
        <v>711</v>
      </c>
      <c r="D137" s="724" t="s">
        <v>948</v>
      </c>
      <c r="E137" s="724"/>
    </row>
    <row r="138" spans="2:5">
      <c r="B138" s="730" t="s">
        <v>954</v>
      </c>
      <c r="C138" s="724" t="s">
        <v>711</v>
      </c>
      <c r="D138" s="724" t="s">
        <v>948</v>
      </c>
      <c r="E138" s="724"/>
    </row>
    <row r="139" spans="2:5">
      <c r="B139" s="730" t="s">
        <v>955</v>
      </c>
      <c r="C139" s="724" t="s">
        <v>682</v>
      </c>
      <c r="D139" s="724"/>
      <c r="E139" s="724"/>
    </row>
    <row r="140" spans="2:5">
      <c r="B140" s="730" t="s">
        <v>956</v>
      </c>
      <c r="C140" s="724" t="s">
        <v>682</v>
      </c>
      <c r="D140" s="724"/>
      <c r="E140" s="724"/>
    </row>
    <row r="141" spans="2:5">
      <c r="B141" s="730" t="s">
        <v>957</v>
      </c>
      <c r="C141" s="724" t="s">
        <v>682</v>
      </c>
      <c r="D141" s="724"/>
      <c r="E141" s="724"/>
    </row>
    <row r="142" spans="2:5">
      <c r="B142" s="730" t="s">
        <v>958</v>
      </c>
      <c r="C142" s="724" t="s">
        <v>682</v>
      </c>
      <c r="D142" s="724"/>
      <c r="E142" s="724"/>
    </row>
    <row r="143" spans="2:5">
      <c r="B143" s="753" t="s">
        <v>1870</v>
      </c>
      <c r="C143" s="718" t="s">
        <v>1781</v>
      </c>
      <c r="D143" t="s">
        <v>1871</v>
      </c>
    </row>
    <row r="144" spans="2:5">
      <c r="B144" s="728" t="s">
        <v>1872</v>
      </c>
      <c r="C144" t="s">
        <v>1764</v>
      </c>
    </row>
    <row r="145" spans="2:7">
      <c r="B145" s="729"/>
      <c r="C145" s="720" t="s">
        <v>1765</v>
      </c>
      <c r="D145" s="720" t="s">
        <v>1824</v>
      </c>
      <c r="E145" s="720" t="s">
        <v>1769</v>
      </c>
    </row>
    <row r="146" spans="2:7">
      <c r="B146" s="730" t="s">
        <v>1873</v>
      </c>
      <c r="C146" s="724" t="s">
        <v>1874</v>
      </c>
      <c r="D146" s="724"/>
      <c r="E146" s="724" t="s">
        <v>977</v>
      </c>
    </row>
    <row r="147" spans="2:7">
      <c r="B147" s="730" t="s">
        <v>1875</v>
      </c>
      <c r="C147" s="724" t="s">
        <v>1874</v>
      </c>
      <c r="D147" s="724"/>
      <c r="E147" s="724" t="s">
        <v>977</v>
      </c>
    </row>
    <row r="148" spans="2:7">
      <c r="B148" s="730" t="s">
        <v>1876</v>
      </c>
      <c r="C148" s="724" t="s">
        <v>1874</v>
      </c>
      <c r="D148" s="724" t="s">
        <v>1877</v>
      </c>
      <c r="E148" s="724" t="s">
        <v>977</v>
      </c>
    </row>
    <row r="149" spans="2:7">
      <c r="B149" s="730" t="s">
        <v>1878</v>
      </c>
      <c r="C149" s="724" t="s">
        <v>1874</v>
      </c>
      <c r="D149" s="724"/>
      <c r="E149" s="724" t="s">
        <v>977</v>
      </c>
    </row>
    <row r="150" spans="2:7">
      <c r="B150" s="730" t="s">
        <v>1879</v>
      </c>
      <c r="C150" s="724" t="s">
        <v>1874</v>
      </c>
      <c r="D150" s="724"/>
      <c r="E150" s="724" t="s">
        <v>977</v>
      </c>
    </row>
    <row r="151" spans="2:7">
      <c r="B151" s="718"/>
      <c r="C151" s="718" t="s">
        <v>1780</v>
      </c>
      <c r="D151" s="718" t="s">
        <v>1880</v>
      </c>
    </row>
    <row r="152" spans="2:7">
      <c r="B152" s="727" t="s">
        <v>1881</v>
      </c>
      <c r="C152" s="718" t="s">
        <v>1781</v>
      </c>
      <c r="D152" t="s">
        <v>1882</v>
      </c>
      <c r="G152" t="s">
        <v>1883</v>
      </c>
    </row>
    <row r="153" spans="2:7">
      <c r="B153" s="753" t="s">
        <v>1884</v>
      </c>
      <c r="C153" s="718" t="s">
        <v>1781</v>
      </c>
      <c r="D153" t="s">
        <v>1885</v>
      </c>
    </row>
    <row r="154" spans="2:7">
      <c r="B154" s="728" t="s">
        <v>1886</v>
      </c>
      <c r="C154" t="s">
        <v>1764</v>
      </c>
    </row>
    <row r="155" spans="2:7">
      <c r="B155" s="729"/>
      <c r="C155" s="729" t="s">
        <v>1765</v>
      </c>
      <c r="D155" s="720" t="s">
        <v>1824</v>
      </c>
      <c r="E155" s="720" t="s">
        <v>1769</v>
      </c>
      <c r="F155" s="720" t="s">
        <v>646</v>
      </c>
    </row>
    <row r="156" spans="2:7">
      <c r="B156" s="730" t="s">
        <v>1887</v>
      </c>
      <c r="C156" s="729" t="s">
        <v>1039</v>
      </c>
      <c r="D156" s="729"/>
      <c r="E156" s="729"/>
      <c r="F156" s="729" t="s">
        <v>688</v>
      </c>
    </row>
    <row r="157" spans="2:7">
      <c r="B157" s="730" t="s">
        <v>1888</v>
      </c>
      <c r="C157" s="730" t="s">
        <v>1039</v>
      </c>
      <c r="D157" s="730"/>
      <c r="E157" s="730" t="s">
        <v>856</v>
      </c>
      <c r="F157" s="730" t="s">
        <v>688</v>
      </c>
    </row>
    <row r="158" spans="2:7">
      <c r="B158" s="730" t="s">
        <v>1048</v>
      </c>
      <c r="C158" s="730" t="s">
        <v>1039</v>
      </c>
      <c r="D158" s="730"/>
      <c r="E158" s="730" t="s">
        <v>688</v>
      </c>
      <c r="F158" s="730" t="s">
        <v>688</v>
      </c>
    </row>
    <row r="159" spans="2:7">
      <c r="B159" s="730"/>
      <c r="C159" s="729"/>
      <c r="D159" s="729"/>
      <c r="E159" s="729"/>
      <c r="F159" s="729"/>
    </row>
    <row r="160" spans="2:7">
      <c r="B160" s="730"/>
      <c r="C160" s="724"/>
      <c r="D160" s="724"/>
      <c r="E160" s="724"/>
      <c r="F160" s="724"/>
    </row>
    <row r="161" spans="2:6">
      <c r="B161" s="718"/>
      <c r="C161" s="718" t="s">
        <v>1780</v>
      </c>
      <c r="D161" t="s">
        <v>1888</v>
      </c>
    </row>
    <row r="162" spans="2:6">
      <c r="B162" s="718"/>
      <c r="C162" s="718" t="s">
        <v>1780</v>
      </c>
      <c r="D162" t="s">
        <v>1048</v>
      </c>
    </row>
    <row r="163" spans="2:6">
      <c r="B163" s="727" t="s">
        <v>1881</v>
      </c>
      <c r="C163" s="718" t="s">
        <v>1781</v>
      </c>
      <c r="D163" t="s">
        <v>1888</v>
      </c>
    </row>
    <row r="164" spans="2:6">
      <c r="B164" s="727"/>
      <c r="C164" s="718" t="s">
        <v>1781</v>
      </c>
      <c r="D164" t="s">
        <v>1048</v>
      </c>
    </row>
    <row r="165" spans="2:6">
      <c r="B165" s="753" t="s">
        <v>1884</v>
      </c>
      <c r="C165" s="718" t="s">
        <v>1889</v>
      </c>
      <c r="D165" t="s">
        <v>1890</v>
      </c>
    </row>
    <row r="166" spans="2:6">
      <c r="B166" s="753"/>
      <c r="C166" s="718"/>
    </row>
    <row r="167" spans="2:6">
      <c r="B167" s="728" t="s">
        <v>1891</v>
      </c>
      <c r="C167" t="s">
        <v>1764</v>
      </c>
    </row>
    <row r="168" spans="2:6">
      <c r="B168" s="729"/>
      <c r="C168" s="720" t="s">
        <v>1765</v>
      </c>
      <c r="D168" s="720" t="s">
        <v>1767</v>
      </c>
      <c r="E168" s="720" t="s">
        <v>1768</v>
      </c>
      <c r="F168" s="720" t="s">
        <v>1769</v>
      </c>
    </row>
    <row r="169" spans="2:6">
      <c r="B169" s="730" t="s">
        <v>1137</v>
      </c>
      <c r="C169" s="724" t="s">
        <v>1138</v>
      </c>
      <c r="D169" s="724" t="s">
        <v>724</v>
      </c>
      <c r="E169" s="724" t="s">
        <v>1139</v>
      </c>
      <c r="F169" s="724"/>
    </row>
    <row r="170" spans="2:6">
      <c r="B170" s="730" t="s">
        <v>1141</v>
      </c>
      <c r="C170" s="724" t="s">
        <v>1138</v>
      </c>
      <c r="D170" s="724" t="s">
        <v>724</v>
      </c>
      <c r="E170" s="724" t="s">
        <v>1139</v>
      </c>
      <c r="F170" s="724" t="s">
        <v>1144</v>
      </c>
    </row>
    <row r="171" spans="2:6">
      <c r="B171" s="730" t="s">
        <v>1147</v>
      </c>
      <c r="C171" s="724" t="s">
        <v>1138</v>
      </c>
      <c r="D171" s="724" t="s">
        <v>1877</v>
      </c>
      <c r="E171" s="724" t="s">
        <v>724</v>
      </c>
      <c r="F171" s="724"/>
    </row>
    <row r="172" spans="2:6">
      <c r="B172" s="730" t="s">
        <v>1149</v>
      </c>
      <c r="C172" s="724" t="s">
        <v>1138</v>
      </c>
      <c r="D172" s="724" t="s">
        <v>1877</v>
      </c>
      <c r="E172" s="724" t="s">
        <v>724</v>
      </c>
      <c r="F172" s="724" t="s">
        <v>1144</v>
      </c>
    </row>
    <row r="173" spans="2:6">
      <c r="B173" s="730" t="s">
        <v>1153</v>
      </c>
      <c r="C173" s="724" t="s">
        <v>1154</v>
      </c>
      <c r="D173" s="724" t="s">
        <v>724</v>
      </c>
      <c r="E173" s="724" t="s">
        <v>1139</v>
      </c>
      <c r="F173" s="724"/>
    </row>
    <row r="174" spans="2:6">
      <c r="B174" s="718"/>
      <c r="C174" s="718" t="s">
        <v>1892</v>
      </c>
      <c r="D174" t="s">
        <v>1690</v>
      </c>
    </row>
    <row r="175" spans="2:6">
      <c r="B175" t="s">
        <v>1893</v>
      </c>
      <c r="C175" s="727" t="s">
        <v>1781</v>
      </c>
      <c r="D175" t="s">
        <v>1894</v>
      </c>
    </row>
    <row r="176" spans="2:6">
      <c r="B176" s="727" t="s">
        <v>1895</v>
      </c>
      <c r="C176" s="727" t="s">
        <v>1781</v>
      </c>
      <c r="D176" t="s">
        <v>1896</v>
      </c>
    </row>
    <row r="177" spans="2:6">
      <c r="B177" s="728" t="s">
        <v>1897</v>
      </c>
      <c r="C177" t="s">
        <v>1764</v>
      </c>
    </row>
    <row r="178" spans="2:6">
      <c r="B178" s="729"/>
      <c r="C178" s="720" t="s">
        <v>1765</v>
      </c>
      <c r="D178" s="720" t="s">
        <v>1767</v>
      </c>
      <c r="E178" s="720" t="s">
        <v>1768</v>
      </c>
      <c r="F178" s="720" t="s">
        <v>1769</v>
      </c>
    </row>
    <row r="179" spans="2:6">
      <c r="B179" s="723" t="s">
        <v>1155</v>
      </c>
      <c r="C179" s="724" t="s">
        <v>1156</v>
      </c>
      <c r="D179" s="724"/>
      <c r="E179" s="724" t="s">
        <v>1157</v>
      </c>
      <c r="F179" s="724"/>
    </row>
    <row r="180" spans="2:6">
      <c r="B180" s="723" t="s">
        <v>1158</v>
      </c>
      <c r="C180" s="724" t="s">
        <v>1156</v>
      </c>
      <c r="D180" s="724"/>
      <c r="E180" s="724" t="s">
        <v>1157</v>
      </c>
      <c r="F180" s="724" t="s">
        <v>1159</v>
      </c>
    </row>
    <row r="181" spans="2:6">
      <c r="B181" s="723" t="s">
        <v>1162</v>
      </c>
      <c r="C181" s="724" t="s">
        <v>1156</v>
      </c>
      <c r="D181" s="724"/>
      <c r="E181" s="724" t="s">
        <v>1157</v>
      </c>
      <c r="F181" s="724"/>
    </row>
    <row r="182" spans="2:6">
      <c r="B182" s="723" t="s">
        <v>1163</v>
      </c>
      <c r="C182" s="724" t="s">
        <v>1156</v>
      </c>
      <c r="D182" s="724"/>
      <c r="E182" s="724" t="s">
        <v>1157</v>
      </c>
      <c r="F182" s="724" t="s">
        <v>1159</v>
      </c>
    </row>
    <row r="183" spans="2:6">
      <c r="B183" s="723" t="s">
        <v>1164</v>
      </c>
      <c r="C183" s="724" t="s">
        <v>1156</v>
      </c>
      <c r="D183" s="724"/>
      <c r="E183" s="724" t="s">
        <v>1157</v>
      </c>
      <c r="F183" s="724"/>
    </row>
    <row r="184" spans="2:6">
      <c r="B184" s="723" t="s">
        <v>1165</v>
      </c>
      <c r="C184" s="724" t="s">
        <v>1156</v>
      </c>
      <c r="D184" s="724"/>
      <c r="E184" s="724" t="s">
        <v>1157</v>
      </c>
      <c r="F184" s="724" t="s">
        <v>1159</v>
      </c>
    </row>
    <row r="185" spans="2:6">
      <c r="B185" s="723" t="s">
        <v>1166</v>
      </c>
      <c r="C185" s="724" t="s">
        <v>1156</v>
      </c>
      <c r="D185" s="724"/>
      <c r="E185" s="724" t="s">
        <v>1157</v>
      </c>
      <c r="F185" s="724"/>
    </row>
    <row r="186" spans="2:6">
      <c r="B186" s="723" t="s">
        <v>1167</v>
      </c>
      <c r="C186" s="724" t="s">
        <v>1156</v>
      </c>
      <c r="D186" s="724"/>
      <c r="E186" s="724" t="s">
        <v>1157</v>
      </c>
      <c r="F186" s="724" t="s">
        <v>1159</v>
      </c>
    </row>
    <row r="187" spans="2:6">
      <c r="B187" s="723" t="s">
        <v>1168</v>
      </c>
      <c r="C187" s="724" t="s">
        <v>1898</v>
      </c>
      <c r="D187" s="724" t="s">
        <v>1899</v>
      </c>
      <c r="E187" s="724" t="s">
        <v>1900</v>
      </c>
      <c r="F187" s="724" t="s">
        <v>1159</v>
      </c>
    </row>
    <row r="188" spans="2:6">
      <c r="B188" s="730" t="s">
        <v>1172</v>
      </c>
      <c r="C188" s="724" t="s">
        <v>1072</v>
      </c>
      <c r="D188" s="724" t="s">
        <v>1072</v>
      </c>
      <c r="E188" s="724" t="s">
        <v>1072</v>
      </c>
      <c r="F188" s="724" t="s">
        <v>1159</v>
      </c>
    </row>
    <row r="189" spans="2:6">
      <c r="B189" s="718"/>
      <c r="C189" s="718" t="s">
        <v>1780</v>
      </c>
      <c r="D189" s="718" t="s">
        <v>1901</v>
      </c>
    </row>
    <row r="190" spans="2:6">
      <c r="C190" s="741" t="s">
        <v>1780</v>
      </c>
      <c r="D190" t="s">
        <v>1172</v>
      </c>
    </row>
    <row r="191" spans="2:6">
      <c r="B191" t="s">
        <v>1893</v>
      </c>
      <c r="C191" s="727" t="s">
        <v>1781</v>
      </c>
      <c r="D191" t="s">
        <v>1902</v>
      </c>
    </row>
    <row r="192" spans="2:6">
      <c r="B192" s="727" t="s">
        <v>1895</v>
      </c>
      <c r="C192" s="727" t="s">
        <v>1781</v>
      </c>
      <c r="D192" t="s">
        <v>1901</v>
      </c>
    </row>
    <row r="193" spans="2:8">
      <c r="B193" s="754" t="s">
        <v>1903</v>
      </c>
      <c r="C193" t="s">
        <v>1764</v>
      </c>
    </row>
    <row r="194" spans="2:8" ht="15.75" customHeight="1">
      <c r="B194" s="719"/>
      <c r="C194" s="720" t="s">
        <v>1765</v>
      </c>
      <c r="D194" s="720" t="s">
        <v>1766</v>
      </c>
      <c r="E194" s="720" t="s">
        <v>1767</v>
      </c>
      <c r="F194" s="720" t="s">
        <v>1768</v>
      </c>
      <c r="G194" s="720" t="s">
        <v>1769</v>
      </c>
      <c r="H194" s="720"/>
    </row>
    <row r="195" spans="2:8" ht="15.75" customHeight="1">
      <c r="B195" s="723" t="s">
        <v>1904</v>
      </c>
      <c r="C195" s="724" t="s">
        <v>1905</v>
      </c>
      <c r="D195" s="724"/>
      <c r="E195" s="724"/>
      <c r="F195" s="724" t="s">
        <v>1906</v>
      </c>
      <c r="G195" s="724"/>
      <c r="H195" s="724"/>
    </row>
    <row r="196" spans="2:8" ht="15.75" customHeight="1">
      <c r="B196" s="723" t="s">
        <v>95</v>
      </c>
      <c r="C196" s="724"/>
      <c r="D196" s="724"/>
      <c r="E196" s="724"/>
      <c r="F196" s="724" t="s">
        <v>1907</v>
      </c>
      <c r="G196" s="724"/>
      <c r="H196" s="724"/>
    </row>
    <row r="197" spans="2:8">
      <c r="B197" s="718"/>
      <c r="C197" s="727" t="s">
        <v>1781</v>
      </c>
      <c r="D197" t="s">
        <v>1908</v>
      </c>
    </row>
    <row r="198" spans="2:8">
      <c r="C198" s="727" t="s">
        <v>1781</v>
      </c>
      <c r="D198" t="s">
        <v>95</v>
      </c>
    </row>
    <row r="199" spans="2:8">
      <c r="B199" s="728" t="s">
        <v>1909</v>
      </c>
      <c r="C199" t="s">
        <v>1764</v>
      </c>
    </row>
    <row r="200" spans="2:8" ht="15.75" customHeight="1">
      <c r="B200" s="719"/>
      <c r="C200" s="720" t="s">
        <v>1765</v>
      </c>
      <c r="D200" s="720" t="s">
        <v>1766</v>
      </c>
      <c r="E200" s="720" t="s">
        <v>1767</v>
      </c>
      <c r="F200" s="720" t="s">
        <v>1768</v>
      </c>
      <c r="G200" s="720" t="s">
        <v>1769</v>
      </c>
      <c r="H200" s="720"/>
    </row>
    <row r="201" spans="2:8" ht="15.75" customHeight="1">
      <c r="B201" s="721" t="s">
        <v>96</v>
      </c>
      <c r="C201" s="722" t="s">
        <v>1910</v>
      </c>
      <c r="D201" s="722"/>
      <c r="E201" s="755" t="s">
        <v>1911</v>
      </c>
      <c r="F201" s="722"/>
      <c r="G201" s="722"/>
      <c r="H201" s="722" t="s">
        <v>1912</v>
      </c>
    </row>
    <row r="202" spans="2:8" ht="15.75" customHeight="1">
      <c r="B202" s="721" t="s">
        <v>1913</v>
      </c>
      <c r="C202" s="722" t="s">
        <v>1914</v>
      </c>
      <c r="D202" s="722"/>
      <c r="E202" s="755" t="s">
        <v>826</v>
      </c>
      <c r="F202" s="722"/>
      <c r="G202" s="722"/>
      <c r="H202" s="722" t="s">
        <v>1912</v>
      </c>
    </row>
    <row r="203" spans="2:8">
      <c r="B203" s="756" t="s">
        <v>1915</v>
      </c>
      <c r="C203" s="757" t="s">
        <v>1914</v>
      </c>
      <c r="D203" s="757"/>
      <c r="E203" s="758" t="s">
        <v>826</v>
      </c>
      <c r="F203" s="757"/>
      <c r="G203" s="757"/>
      <c r="H203" s="757" t="s">
        <v>1916</v>
      </c>
    </row>
    <row r="204" spans="2:8">
      <c r="B204" s="756" t="s">
        <v>1917</v>
      </c>
      <c r="C204" s="757" t="s">
        <v>1914</v>
      </c>
      <c r="D204" s="758" t="s">
        <v>1918</v>
      </c>
      <c r="E204" s="758" t="s">
        <v>826</v>
      </c>
      <c r="F204" s="757"/>
      <c r="G204" s="757"/>
      <c r="H204" s="757" t="s">
        <v>1916</v>
      </c>
    </row>
    <row r="205" spans="2:8">
      <c r="B205" s="718" t="s">
        <v>1831</v>
      </c>
      <c r="C205" s="727" t="s">
        <v>1781</v>
      </c>
      <c r="D205" t="s">
        <v>1919</v>
      </c>
    </row>
    <row r="206" spans="2:8">
      <c r="B206" s="718" t="s">
        <v>1920</v>
      </c>
      <c r="C206" s="727" t="s">
        <v>1781</v>
      </c>
      <c r="D206" t="s">
        <v>1917</v>
      </c>
    </row>
    <row r="207" spans="2:8">
      <c r="B207" s="728" t="s">
        <v>1921</v>
      </c>
      <c r="C207" t="s">
        <v>1764</v>
      </c>
    </row>
    <row r="208" spans="2:8">
      <c r="B208" s="719"/>
      <c r="C208" s="720" t="s">
        <v>1765</v>
      </c>
      <c r="D208" s="720" t="s">
        <v>1766</v>
      </c>
      <c r="E208" s="720" t="s">
        <v>1767</v>
      </c>
      <c r="F208" s="720" t="s">
        <v>1768</v>
      </c>
      <c r="G208" s="720" t="s">
        <v>1769</v>
      </c>
      <c r="H208" s="720"/>
    </row>
    <row r="209" spans="2:8">
      <c r="B209" s="756" t="s">
        <v>1922</v>
      </c>
      <c r="C209" s="757" t="s">
        <v>1923</v>
      </c>
      <c r="D209" s="757"/>
      <c r="E209" s="757"/>
      <c r="F209" s="758" t="s">
        <v>1924</v>
      </c>
      <c r="G209" s="757"/>
      <c r="H209" s="757" t="s">
        <v>1916</v>
      </c>
    </row>
    <row r="210" spans="2:8" ht="24">
      <c r="B210" s="756" t="s">
        <v>1925</v>
      </c>
      <c r="C210" s="757" t="s">
        <v>1923</v>
      </c>
      <c r="D210" s="757"/>
      <c r="E210" s="758" t="s">
        <v>1924</v>
      </c>
      <c r="F210" s="757"/>
      <c r="G210" s="757"/>
      <c r="H210" s="757" t="s">
        <v>1926</v>
      </c>
    </row>
    <row r="211" spans="2:8">
      <c r="B211" s="721" t="s">
        <v>1927</v>
      </c>
      <c r="C211" s="722" t="s">
        <v>1923</v>
      </c>
      <c r="D211" s="722"/>
      <c r="E211" s="722"/>
      <c r="F211" s="755" t="s">
        <v>1924</v>
      </c>
      <c r="G211" s="722"/>
      <c r="H211" s="722" t="s">
        <v>1912</v>
      </c>
    </row>
    <row r="212" spans="2:8">
      <c r="B212" s="718"/>
      <c r="C212" s="718" t="s">
        <v>1781</v>
      </c>
      <c r="D212" t="s">
        <v>1928</v>
      </c>
    </row>
    <row r="213" spans="2:8">
      <c r="B213" s="728" t="s">
        <v>1929</v>
      </c>
      <c r="C213" t="s">
        <v>1764</v>
      </c>
    </row>
    <row r="214" spans="2:8">
      <c r="B214" s="719"/>
      <c r="C214" s="720" t="s">
        <v>1765</v>
      </c>
      <c r="D214" s="720" t="s">
        <v>1766</v>
      </c>
      <c r="E214" s="720" t="s">
        <v>1767</v>
      </c>
      <c r="F214" s="720" t="s">
        <v>1768</v>
      </c>
      <c r="G214" s="720" t="s">
        <v>1769</v>
      </c>
      <c r="H214" s="720"/>
    </row>
    <row r="215" spans="2:8">
      <c r="B215" s="723" t="s">
        <v>1930</v>
      </c>
      <c r="C215" s="724" t="s">
        <v>825</v>
      </c>
      <c r="D215" s="724"/>
      <c r="E215" s="725" t="s">
        <v>826</v>
      </c>
      <c r="F215" s="724"/>
      <c r="G215" s="724"/>
      <c r="H215" s="724"/>
    </row>
    <row r="216" spans="2:8">
      <c r="B216" s="723" t="s">
        <v>1931</v>
      </c>
      <c r="C216" s="724" t="s">
        <v>825</v>
      </c>
      <c r="D216" s="724"/>
      <c r="E216" s="725" t="s">
        <v>1924</v>
      </c>
      <c r="F216" s="724"/>
      <c r="G216" s="724"/>
      <c r="H216" s="724"/>
    </row>
    <row r="217" spans="2:8">
      <c r="B217" s="718"/>
      <c r="C217" s="727" t="s">
        <v>1781</v>
      </c>
      <c r="D217" t="s">
        <v>100</v>
      </c>
    </row>
    <row r="218" spans="2:8">
      <c r="B218" s="718"/>
      <c r="C218" s="727" t="s">
        <v>1781</v>
      </c>
      <c r="D218" t="s">
        <v>136</v>
      </c>
    </row>
    <row r="219" spans="2:8">
      <c r="B219" s="754" t="s">
        <v>1932</v>
      </c>
      <c r="C219" t="s">
        <v>1764</v>
      </c>
    </row>
    <row r="220" spans="2:8">
      <c r="B220" s="719"/>
      <c r="C220" s="720" t="s">
        <v>1765</v>
      </c>
      <c r="D220" s="720" t="s">
        <v>1766</v>
      </c>
      <c r="E220" s="720" t="s">
        <v>1767</v>
      </c>
      <c r="F220" s="720" t="s">
        <v>1768</v>
      </c>
      <c r="G220" s="720" t="s">
        <v>1769</v>
      </c>
      <c r="H220" s="720"/>
    </row>
    <row r="221" spans="2:8">
      <c r="B221" s="721" t="s">
        <v>1933</v>
      </c>
      <c r="C221" s="722" t="s">
        <v>1923</v>
      </c>
      <c r="D221" s="722"/>
      <c r="E221" s="755" t="s">
        <v>826</v>
      </c>
      <c r="F221" s="722"/>
      <c r="G221" s="722"/>
      <c r="H221" s="722" t="s">
        <v>1912</v>
      </c>
    </row>
    <row r="222" spans="2:8">
      <c r="B222" s="721" t="s">
        <v>1934</v>
      </c>
      <c r="C222" s="722" t="s">
        <v>825</v>
      </c>
      <c r="D222" s="722"/>
      <c r="E222" s="755" t="s">
        <v>826</v>
      </c>
      <c r="F222" s="722"/>
      <c r="G222" s="722"/>
      <c r="H222" s="722" t="s">
        <v>1912</v>
      </c>
    </row>
    <row r="223" spans="2:8">
      <c r="B223" s="723" t="s">
        <v>824</v>
      </c>
      <c r="C223" s="724" t="s">
        <v>825</v>
      </c>
      <c r="D223" s="724"/>
      <c r="E223" s="725" t="s">
        <v>826</v>
      </c>
      <c r="F223" s="724"/>
      <c r="G223" s="724"/>
      <c r="H223" s="724"/>
    </row>
    <row r="224" spans="2:8" ht="15" customHeight="1">
      <c r="B224" s="1032" t="s">
        <v>1935</v>
      </c>
      <c r="C224" s="1031" t="s">
        <v>1936</v>
      </c>
      <c r="D224" s="1031"/>
      <c r="E224" s="1031" t="s">
        <v>746</v>
      </c>
      <c r="F224" s="1031"/>
      <c r="G224" s="1031"/>
      <c r="H224" s="1031"/>
    </row>
    <row r="225" spans="2:8">
      <c r="B225" s="1032"/>
      <c r="C225" s="1031"/>
      <c r="D225" s="1031"/>
      <c r="E225" s="1031"/>
      <c r="F225" s="1031"/>
      <c r="G225" s="1031"/>
      <c r="H225" s="1031"/>
    </row>
    <row r="226" spans="2:8">
      <c r="B226" s="723" t="s">
        <v>1937</v>
      </c>
      <c r="C226" s="724" t="s">
        <v>1938</v>
      </c>
      <c r="D226" s="724"/>
      <c r="E226" s="724"/>
      <c r="F226" s="724"/>
      <c r="G226" s="724" t="s">
        <v>845</v>
      </c>
      <c r="H226" s="724"/>
    </row>
    <row r="227" spans="2:8" ht="15" customHeight="1">
      <c r="B227" s="1032" t="s">
        <v>1939</v>
      </c>
      <c r="C227" s="1031" t="s">
        <v>1938</v>
      </c>
      <c r="D227" s="1031"/>
      <c r="E227" s="1031"/>
      <c r="F227" s="1031"/>
      <c r="G227" s="1031" t="s">
        <v>845</v>
      </c>
      <c r="H227" s="1031"/>
    </row>
    <row r="228" spans="2:8">
      <c r="B228" s="1032"/>
      <c r="C228" s="1031"/>
      <c r="D228" s="1031"/>
      <c r="E228" s="1031"/>
      <c r="F228" s="1031"/>
      <c r="G228" s="1031"/>
      <c r="H228" s="1031"/>
    </row>
    <row r="229" spans="2:8">
      <c r="B229" s="718" t="s">
        <v>1940</v>
      </c>
      <c r="C229" s="718" t="s">
        <v>1780</v>
      </c>
      <c r="D229" s="435" t="s">
        <v>1941</v>
      </c>
    </row>
    <row r="230" spans="2:8">
      <c r="B230" s="718" t="s">
        <v>1940</v>
      </c>
      <c r="C230" s="727" t="s">
        <v>1781</v>
      </c>
      <c r="D230" t="s">
        <v>824</v>
      </c>
    </row>
    <row r="231" spans="2:8">
      <c r="B231" s="718" t="s">
        <v>1940</v>
      </c>
      <c r="C231" s="727" t="s">
        <v>1781</v>
      </c>
      <c r="D231" t="s">
        <v>831</v>
      </c>
    </row>
    <row r="232" spans="2:8">
      <c r="B232" s="718"/>
      <c r="C232" s="727"/>
    </row>
    <row r="233" spans="2:8">
      <c r="B233" s="754" t="s">
        <v>1942</v>
      </c>
      <c r="C233" t="s">
        <v>1764</v>
      </c>
    </row>
    <row r="234" spans="2:8">
      <c r="B234" s="719"/>
      <c r="C234" s="720" t="s">
        <v>1765</v>
      </c>
      <c r="D234" s="720" t="s">
        <v>1766</v>
      </c>
      <c r="E234" s="720" t="s">
        <v>1767</v>
      </c>
      <c r="F234" s="720" t="s">
        <v>1768</v>
      </c>
      <c r="G234" s="720" t="s">
        <v>1769</v>
      </c>
      <c r="H234" s="720"/>
    </row>
    <row r="235" spans="2:8">
      <c r="B235" s="723" t="s">
        <v>1943</v>
      </c>
      <c r="C235" s="724" t="s">
        <v>1944</v>
      </c>
      <c r="D235" s="724"/>
      <c r="E235" s="725" t="s">
        <v>1945</v>
      </c>
      <c r="F235" s="724"/>
      <c r="G235" s="724"/>
      <c r="H235" s="724"/>
    </row>
    <row r="236" spans="2:8">
      <c r="B236" s="723" t="s">
        <v>1946</v>
      </c>
      <c r="C236" s="724" t="s">
        <v>1944</v>
      </c>
      <c r="D236" s="724"/>
      <c r="E236" s="725" t="s">
        <v>1945</v>
      </c>
      <c r="F236" s="724"/>
      <c r="G236" s="724"/>
      <c r="H236" s="724"/>
    </row>
    <row r="237" spans="2:8">
      <c r="B237" s="723" t="s">
        <v>1947</v>
      </c>
      <c r="C237" s="724" t="s">
        <v>1948</v>
      </c>
      <c r="D237" s="724" t="s">
        <v>1072</v>
      </c>
      <c r="E237" s="725" t="s">
        <v>1899</v>
      </c>
      <c r="F237" s="724" t="s">
        <v>1072</v>
      </c>
      <c r="G237" s="724" t="s">
        <v>1072</v>
      </c>
      <c r="H237" s="724"/>
    </row>
    <row r="238" spans="2:8">
      <c r="B238" s="723" t="s">
        <v>1949</v>
      </c>
      <c r="C238" s="724" t="s">
        <v>1948</v>
      </c>
      <c r="D238" s="724" t="s">
        <v>1072</v>
      </c>
      <c r="E238" s="725" t="s">
        <v>1899</v>
      </c>
      <c r="F238" s="724" t="s">
        <v>1072</v>
      </c>
      <c r="G238" s="724" t="s">
        <v>1072</v>
      </c>
      <c r="H238" s="724"/>
    </row>
    <row r="242" spans="3:4">
      <c r="C242" s="727" t="s">
        <v>1781</v>
      </c>
      <c r="D242" t="s">
        <v>1950</v>
      </c>
    </row>
  </sheetData>
  <autoFilter ref="B25:F237" xr:uid="{00000000-0009-0000-0000-000010000000}"/>
  <mergeCells count="14">
    <mergeCell ref="G224:G225"/>
    <mergeCell ref="H224:H225"/>
    <mergeCell ref="B227:B228"/>
    <mergeCell ref="C227:C228"/>
    <mergeCell ref="D227:D228"/>
    <mergeCell ref="E227:E228"/>
    <mergeCell ref="F227:F228"/>
    <mergeCell ref="G227:G228"/>
    <mergeCell ref="H227:H228"/>
    <mergeCell ref="B224:B225"/>
    <mergeCell ref="C224:C225"/>
    <mergeCell ref="D224:D225"/>
    <mergeCell ref="E224:E225"/>
    <mergeCell ref="F224:F225"/>
  </mergeCells>
  <conditionalFormatting sqref="B68 B70">
    <cfRule type="cellIs" dxfId="15" priority="2" operator="equal">
      <formula>"Closed"</formula>
    </cfRule>
    <cfRule type="cellIs" dxfId="14" priority="3" operator="equal">
      <formula>"Open"</formula>
    </cfRule>
  </conditionalFormatting>
  <conditionalFormatting sqref="B69">
    <cfRule type="cellIs" dxfId="13" priority="4" operator="equal">
      <formula>"Closed"</formula>
    </cfRule>
    <cfRule type="cellIs" dxfId="12" priority="5" operator="equal">
      <formula>"Open"</formula>
    </cfRule>
  </conditionalFormatting>
  <pageMargins left="0.70833333333333304" right="0.70833333333333304" top="0.74791666666666701" bottom="0.74791666666666701" header="0.51180555555555496" footer="0.51180555555555496"/>
  <pageSetup paperSize="8" scale="10" firstPageNumber="0" orientation="landscape"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tabColor rgb="FFFF6600"/>
    <pageSetUpPr fitToPage="1"/>
  </sheetPr>
  <dimension ref="A1:AB42"/>
  <sheetViews>
    <sheetView zoomScaleNormal="100" workbookViewId="0">
      <selection activeCell="X4" sqref="X4"/>
    </sheetView>
  </sheetViews>
  <sheetFormatPr defaultColWidth="9.140625" defaultRowHeight="15" outlineLevelRow="1" outlineLevelCol="1"/>
  <cols>
    <col min="1" max="1" width="15" customWidth="1"/>
    <col min="2" max="2" width="18" style="15" customWidth="1"/>
    <col min="3" max="3" width="13.7109375" customWidth="1"/>
    <col min="4" max="4" width="23.28515625" customWidth="1"/>
    <col min="5" max="5" width="10.5703125" style="15" customWidth="1"/>
    <col min="6" max="6" width="15.7109375" customWidth="1"/>
    <col min="7" max="7" width="14.5703125" style="610" customWidth="1"/>
    <col min="8" max="8" width="8.85546875" style="610" customWidth="1"/>
    <col min="9" max="11" width="9" hidden="1" customWidth="1" outlineLevel="1"/>
    <col min="12" max="12" width="1.7109375" customWidth="1" collapsed="1"/>
    <col min="13" max="13" width="15.28515625" style="15" customWidth="1"/>
    <col min="14" max="14" width="9" style="15" hidden="1" customWidth="1"/>
    <col min="15" max="15" width="13.28515625" style="15" customWidth="1"/>
    <col min="16" max="16" width="9" style="15" hidden="1" customWidth="1"/>
    <col min="17" max="17" width="17.28515625" customWidth="1"/>
    <col min="18" max="18" width="9" hidden="1" customWidth="1"/>
    <col min="19" max="19" width="12" style="15" customWidth="1"/>
    <col min="20" max="20" width="9" style="15" hidden="1" customWidth="1"/>
    <col min="21" max="21" width="12.42578125" style="15" customWidth="1"/>
    <col min="22" max="22" width="9" style="15" hidden="1" customWidth="1"/>
    <col min="23" max="23" width="9" hidden="1" customWidth="1"/>
    <col min="24" max="24" width="13.28515625" style="15" customWidth="1"/>
    <col min="25" max="25" width="9" style="15" hidden="1" customWidth="1"/>
    <col min="26" max="26" width="11.42578125" customWidth="1"/>
    <col min="27" max="27" width="9" hidden="1" customWidth="1"/>
  </cols>
  <sheetData>
    <row r="1" spans="1:28" ht="18">
      <c r="A1" s="611" t="s">
        <v>1951</v>
      </c>
    </row>
    <row r="2" spans="1:28" ht="18.75">
      <c r="A2" s="759" t="s">
        <v>1952</v>
      </c>
      <c r="B2" s="612"/>
      <c r="M2" s="1033" t="s">
        <v>1671</v>
      </c>
      <c r="N2" s="1033"/>
      <c r="O2" s="1033"/>
      <c r="P2" s="1033"/>
      <c r="Q2" s="1033"/>
      <c r="R2" s="1033"/>
      <c r="S2" s="1033"/>
      <c r="T2" s="1033"/>
      <c r="U2" s="1033"/>
      <c r="V2" s="1033"/>
      <c r="W2" s="1033"/>
      <c r="X2" s="1033"/>
      <c r="Y2" s="1033"/>
      <c r="Z2" s="1033"/>
      <c r="AA2" s="614"/>
      <c r="AB2" s="760"/>
    </row>
    <row r="3" spans="1:28" ht="20.25">
      <c r="A3" s="1030" t="s">
        <v>1953</v>
      </c>
      <c r="B3" s="1030"/>
      <c r="C3" s="1030"/>
      <c r="D3" s="1030"/>
      <c r="E3" s="1030"/>
      <c r="F3" s="1030"/>
      <c r="G3" s="1030"/>
      <c r="H3" s="1030"/>
      <c r="I3" s="1030"/>
      <c r="J3" s="1030"/>
      <c r="K3" s="1030"/>
      <c r="L3" s="761"/>
      <c r="M3" s="615"/>
      <c r="N3" s="616"/>
      <c r="O3" s="616"/>
      <c r="P3" s="616"/>
      <c r="Q3" s="616"/>
      <c r="R3" s="616"/>
      <c r="S3" s="616"/>
      <c r="T3" s="616"/>
      <c r="U3" s="616"/>
      <c r="V3" s="616"/>
      <c r="W3" s="616"/>
      <c r="X3" s="762"/>
      <c r="Y3" s="616"/>
      <c r="Z3" s="616"/>
      <c r="AA3" s="616"/>
    </row>
    <row r="4" spans="1:28" s="635" customFormat="1" ht="28.5" customHeight="1">
      <c r="A4" s="763" t="s">
        <v>1954</v>
      </c>
      <c r="B4" s="764" t="s">
        <v>1955</v>
      </c>
      <c r="C4" s="765" t="s">
        <v>1548</v>
      </c>
      <c r="D4" s="766" t="s">
        <v>1956</v>
      </c>
      <c r="E4" s="767" t="s">
        <v>1957</v>
      </c>
      <c r="F4" s="626" t="s">
        <v>29</v>
      </c>
      <c r="G4" s="626" t="s">
        <v>1958</v>
      </c>
      <c r="H4" s="768" t="s">
        <v>1959</v>
      </c>
      <c r="I4" s="769" t="s">
        <v>1960</v>
      </c>
      <c r="J4" s="769" t="s">
        <v>1961</v>
      </c>
      <c r="K4" s="627" t="s">
        <v>1962</v>
      </c>
      <c r="L4" s="627"/>
      <c r="M4" s="1034" t="s">
        <v>1963</v>
      </c>
      <c r="N4" s="1034"/>
      <c r="O4" s="1034" t="s">
        <v>1964</v>
      </c>
      <c r="P4" s="1034"/>
      <c r="Q4" s="1034" t="s">
        <v>1965</v>
      </c>
      <c r="R4" s="1034"/>
      <c r="S4" s="770" t="s">
        <v>1966</v>
      </c>
      <c r="T4" s="771"/>
      <c r="U4" s="1034" t="s">
        <v>1967</v>
      </c>
      <c r="V4" s="1034"/>
      <c r="W4" s="771"/>
      <c r="X4" s="1034" t="s">
        <v>1968</v>
      </c>
      <c r="Y4" s="1034"/>
      <c r="Z4" s="1035" t="s">
        <v>1969</v>
      </c>
      <c r="AA4" s="1035"/>
    </row>
    <row r="5" spans="1:28">
      <c r="A5" s="772" t="s">
        <v>1694</v>
      </c>
      <c r="B5" s="773" t="s">
        <v>1970</v>
      </c>
      <c r="C5" s="774" t="s">
        <v>1971</v>
      </c>
      <c r="D5" s="775" t="s">
        <v>1972</v>
      </c>
      <c r="E5" s="776">
        <v>0</v>
      </c>
      <c r="F5" s="777" t="s">
        <v>1973</v>
      </c>
      <c r="G5" s="778" t="s">
        <v>159</v>
      </c>
      <c r="L5" s="779"/>
      <c r="M5" s="56"/>
      <c r="N5" s="780"/>
      <c r="O5" s="781" t="s">
        <v>423</v>
      </c>
      <c r="P5" s="782"/>
      <c r="Q5" s="781" t="s">
        <v>423</v>
      </c>
      <c r="R5" s="782"/>
      <c r="S5" s="781" t="s">
        <v>423</v>
      </c>
      <c r="T5" s="782"/>
      <c r="U5" s="782"/>
      <c r="V5" s="782"/>
      <c r="W5" s="783"/>
      <c r="X5" s="781" t="s">
        <v>423</v>
      </c>
      <c r="Y5" s="782"/>
      <c r="Z5" s="71" t="s">
        <v>423</v>
      </c>
      <c r="AA5" s="780"/>
    </row>
    <row r="6" spans="1:28">
      <c r="A6" s="772"/>
      <c r="B6" s="773" t="s">
        <v>1974</v>
      </c>
      <c r="C6" s="774" t="s">
        <v>1971</v>
      </c>
      <c r="D6" s="784" t="s">
        <v>1975</v>
      </c>
      <c r="E6" s="776">
        <v>0</v>
      </c>
      <c r="F6" s="12"/>
      <c r="G6" s="15" t="s">
        <v>159</v>
      </c>
      <c r="H6" s="785" t="s">
        <v>1720</v>
      </c>
      <c r="L6" s="779"/>
      <c r="M6" s="782" t="s">
        <v>418</v>
      </c>
      <c r="N6" s="780"/>
      <c r="O6" s="781" t="s">
        <v>1976</v>
      </c>
      <c r="P6" s="782"/>
      <c r="Q6" s="786" t="s">
        <v>1977</v>
      </c>
      <c r="R6" s="782"/>
      <c r="S6" s="781" t="s">
        <v>1978</v>
      </c>
      <c r="T6" s="782"/>
      <c r="U6" s="84" t="s">
        <v>1978</v>
      </c>
      <c r="V6" s="782"/>
      <c r="W6" s="783"/>
      <c r="X6" s="188" t="s">
        <v>180</v>
      </c>
      <c r="Y6" s="782"/>
      <c r="Z6" s="71" t="s">
        <v>1976</v>
      </c>
      <c r="AA6" s="780"/>
    </row>
    <row r="7" spans="1:28">
      <c r="A7" s="772" t="s">
        <v>1694</v>
      </c>
      <c r="B7" s="773" t="s">
        <v>1974</v>
      </c>
      <c r="C7" s="774" t="s">
        <v>1971</v>
      </c>
      <c r="D7" s="784" t="s">
        <v>1975</v>
      </c>
      <c r="E7" s="776">
        <v>0</v>
      </c>
      <c r="F7" s="12" t="s">
        <v>1979</v>
      </c>
      <c r="G7" s="15" t="s">
        <v>159</v>
      </c>
      <c r="H7" s="785" t="s">
        <v>1720</v>
      </c>
      <c r="L7" s="779"/>
      <c r="M7" s="71"/>
      <c r="N7" s="782"/>
      <c r="O7" s="781" t="s">
        <v>423</v>
      </c>
      <c r="P7" s="782"/>
      <c r="Q7" s="781" t="s">
        <v>423</v>
      </c>
      <c r="R7" s="782"/>
      <c r="S7" s="781" t="s">
        <v>423</v>
      </c>
      <c r="T7" s="782"/>
      <c r="U7" s="84"/>
      <c r="V7" s="782"/>
      <c r="W7" s="787"/>
      <c r="X7" s="781" t="s">
        <v>423</v>
      </c>
      <c r="Y7" s="782"/>
      <c r="Z7" s="71" t="s">
        <v>423</v>
      </c>
      <c r="AA7" s="782"/>
    </row>
    <row r="8" spans="1:28" ht="15" hidden="1" customHeight="1" outlineLevel="1">
      <c r="A8" s="788" t="s">
        <v>1726</v>
      </c>
      <c r="B8" s="789" t="s">
        <v>1970</v>
      </c>
      <c r="C8" s="790"/>
      <c r="D8" s="790"/>
      <c r="E8" s="791">
        <v>0</v>
      </c>
      <c r="F8" s="792" t="s">
        <v>159</v>
      </c>
      <c r="G8" s="793" t="s">
        <v>1980</v>
      </c>
      <c r="H8" s="789"/>
      <c r="I8" s="794"/>
      <c r="J8" s="795"/>
      <c r="K8" s="795"/>
      <c r="L8" s="796"/>
      <c r="M8" s="271"/>
      <c r="N8" s="689"/>
      <c r="O8" s="271"/>
      <c r="P8" s="689"/>
      <c r="Q8" s="271"/>
      <c r="R8" s="689"/>
      <c r="S8" s="271"/>
      <c r="T8" s="689"/>
      <c r="U8" s="271"/>
      <c r="V8" s="689"/>
      <c r="W8" s="271"/>
      <c r="X8" s="689"/>
      <c r="Y8" s="271"/>
      <c r="Z8" s="689"/>
      <c r="AA8" s="271"/>
    </row>
    <row r="9" spans="1:28" ht="15" hidden="1" customHeight="1" outlineLevel="1">
      <c r="A9" s="788" t="s">
        <v>1726</v>
      </c>
      <c r="B9" s="789" t="s">
        <v>383</v>
      </c>
      <c r="C9" s="790"/>
      <c r="D9" s="790"/>
      <c r="E9" s="791">
        <v>0</v>
      </c>
      <c r="F9" s="792" t="s">
        <v>159</v>
      </c>
      <c r="G9" s="793" t="s">
        <v>1980</v>
      </c>
      <c r="H9" s="789"/>
      <c r="I9" s="794"/>
      <c r="J9" s="795"/>
      <c r="K9" s="795"/>
      <c r="L9" s="797"/>
      <c r="M9" s="271"/>
      <c r="N9" s="689"/>
      <c r="O9" s="271"/>
      <c r="P9" s="689"/>
      <c r="Q9" s="271"/>
      <c r="R9" s="689"/>
      <c r="S9" s="271"/>
      <c r="T9" s="689"/>
      <c r="U9" s="271"/>
      <c r="V9" s="689"/>
      <c r="W9" s="271"/>
      <c r="X9" s="689"/>
      <c r="Y9" s="271"/>
      <c r="Z9" s="689"/>
      <c r="AA9" s="271"/>
    </row>
    <row r="10" spans="1:28" hidden="1" outlineLevel="1">
      <c r="A10" s="788" t="s">
        <v>1726</v>
      </c>
      <c r="B10" s="790" t="s">
        <v>381</v>
      </c>
      <c r="C10" s="790" t="s">
        <v>1981</v>
      </c>
      <c r="D10" s="798" t="s">
        <v>1982</v>
      </c>
      <c r="E10" s="799">
        <v>6</v>
      </c>
      <c r="F10" s="792" t="s">
        <v>159</v>
      </c>
      <c r="G10" s="793" t="s">
        <v>1980</v>
      </c>
      <c r="H10" s="800"/>
      <c r="I10" s="790"/>
      <c r="J10" s="790"/>
      <c r="K10" s="790"/>
      <c r="L10" s="797"/>
      <c r="M10" s="801" t="s">
        <v>423</v>
      </c>
      <c r="N10" s="689"/>
      <c r="O10" s="801" t="s">
        <v>423</v>
      </c>
      <c r="P10" s="802"/>
      <c r="Q10" s="803"/>
      <c r="R10" s="802"/>
      <c r="S10" s="801" t="s">
        <v>423</v>
      </c>
      <c r="T10" s="803"/>
      <c r="U10" s="801" t="s">
        <v>423</v>
      </c>
      <c r="V10" s="802"/>
      <c r="W10" s="804"/>
      <c r="X10" s="801" t="s">
        <v>423</v>
      </c>
      <c r="Y10" s="805"/>
      <c r="Z10" s="806"/>
      <c r="AA10" s="805"/>
    </row>
    <row r="11" spans="1:28" hidden="1" outlineLevel="1">
      <c r="A11" s="807" t="s">
        <v>764</v>
      </c>
      <c r="B11" s="808" t="s">
        <v>380</v>
      </c>
      <c r="C11" s="808" t="s">
        <v>1983</v>
      </c>
      <c r="D11" s="809" t="s">
        <v>1984</v>
      </c>
      <c r="E11" s="810">
        <v>3</v>
      </c>
      <c r="F11" s="811" t="s">
        <v>1985</v>
      </c>
      <c r="G11" s="812" t="s">
        <v>1980</v>
      </c>
      <c r="H11" s="813"/>
      <c r="I11" s="814"/>
      <c r="J11" s="815"/>
      <c r="K11" s="815"/>
      <c r="L11" s="816"/>
      <c r="M11" s="331" t="s">
        <v>423</v>
      </c>
      <c r="N11" s="331" t="s">
        <v>423</v>
      </c>
      <c r="O11" s="331" t="s">
        <v>423</v>
      </c>
      <c r="P11" s="331" t="s">
        <v>423</v>
      </c>
      <c r="Q11" s="331" t="s">
        <v>423</v>
      </c>
      <c r="R11" s="331" t="s">
        <v>423</v>
      </c>
      <c r="S11" s="331" t="s">
        <v>423</v>
      </c>
      <c r="T11" s="331" t="s">
        <v>423</v>
      </c>
      <c r="U11" s="331" t="s">
        <v>423</v>
      </c>
      <c r="V11" s="331" t="s">
        <v>423</v>
      </c>
      <c r="W11" s="331" t="s">
        <v>423</v>
      </c>
      <c r="X11" s="331" t="s">
        <v>423</v>
      </c>
      <c r="Y11" s="331" t="s">
        <v>423</v>
      </c>
      <c r="Z11" s="331"/>
      <c r="AA11" s="787"/>
    </row>
    <row r="12" spans="1:28" hidden="1" outlineLevel="1">
      <c r="A12" s="807" t="s">
        <v>764</v>
      </c>
      <c r="B12" s="808" t="s">
        <v>1986</v>
      </c>
      <c r="C12" s="808"/>
      <c r="D12" s="809"/>
      <c r="E12" s="810">
        <v>0</v>
      </c>
      <c r="F12" s="811" t="s">
        <v>1987</v>
      </c>
      <c r="G12" s="817" t="s">
        <v>159</v>
      </c>
      <c r="H12" s="813"/>
      <c r="I12" s="808"/>
      <c r="J12" s="808"/>
      <c r="K12" s="808"/>
      <c r="L12" s="816"/>
      <c r="M12" s="331"/>
      <c r="N12" s="331"/>
      <c r="O12" s="331"/>
      <c r="P12" s="818"/>
      <c r="Q12" s="703"/>
      <c r="R12" s="819"/>
      <c r="S12" s="331"/>
      <c r="T12" s="331"/>
      <c r="U12" s="331"/>
      <c r="V12" s="331"/>
      <c r="W12" s="331"/>
      <c r="X12" s="331"/>
      <c r="Y12" s="331"/>
      <c r="Z12" s="331"/>
      <c r="AA12" s="787"/>
    </row>
    <row r="13" spans="1:28" hidden="1" outlineLevel="1">
      <c r="A13" s="807" t="s">
        <v>764</v>
      </c>
      <c r="B13" s="808" t="s">
        <v>1988</v>
      </c>
      <c r="C13" s="808"/>
      <c r="D13" s="809"/>
      <c r="E13" s="810">
        <v>0</v>
      </c>
      <c r="F13" s="811" t="s">
        <v>1987</v>
      </c>
      <c r="G13" s="817" t="s">
        <v>159</v>
      </c>
      <c r="H13" s="813"/>
      <c r="I13" s="808"/>
      <c r="J13" s="808"/>
      <c r="K13" s="808"/>
      <c r="L13" s="816"/>
      <c r="M13" s="331"/>
      <c r="N13" s="331"/>
      <c r="O13" s="331"/>
      <c r="P13" s="818"/>
      <c r="Q13" s="703"/>
      <c r="R13" s="819"/>
      <c r="S13" s="331"/>
      <c r="T13" s="331"/>
      <c r="U13" s="331"/>
      <c r="V13" s="331"/>
      <c r="W13" s="331"/>
      <c r="X13" s="331"/>
      <c r="Y13" s="331"/>
      <c r="Z13" s="331"/>
      <c r="AA13" s="787"/>
    </row>
    <row r="14" spans="1:28" hidden="1" outlineLevel="1">
      <c r="A14" s="807" t="s">
        <v>764</v>
      </c>
      <c r="B14" s="808" t="s">
        <v>1989</v>
      </c>
      <c r="C14" s="808" t="s">
        <v>1990</v>
      </c>
      <c r="D14" s="809" t="s">
        <v>1991</v>
      </c>
      <c r="E14" s="810">
        <v>4</v>
      </c>
      <c r="F14" s="817" t="s">
        <v>159</v>
      </c>
      <c r="G14" s="817" t="s">
        <v>159</v>
      </c>
      <c r="H14" s="813"/>
      <c r="I14" s="820"/>
      <c r="J14" s="820"/>
      <c r="K14" s="820"/>
      <c r="L14" s="816"/>
      <c r="M14" s="331" t="s">
        <v>423</v>
      </c>
      <c r="N14" s="331" t="s">
        <v>423</v>
      </c>
      <c r="O14" s="331" t="s">
        <v>423</v>
      </c>
      <c r="P14" s="818"/>
      <c r="Q14" s="703" t="s">
        <v>1992</v>
      </c>
      <c r="R14" s="819"/>
      <c r="S14" s="331" t="s">
        <v>423</v>
      </c>
      <c r="T14" s="331" t="s">
        <v>423</v>
      </c>
      <c r="U14" s="331" t="s">
        <v>423</v>
      </c>
      <c r="V14" s="331" t="s">
        <v>423</v>
      </c>
      <c r="W14" s="331" t="s">
        <v>423</v>
      </c>
      <c r="X14" s="331" t="s">
        <v>423</v>
      </c>
      <c r="Y14" s="331" t="s">
        <v>423</v>
      </c>
      <c r="Z14" s="331"/>
      <c r="AA14" s="819"/>
    </row>
    <row r="15" spans="1:28" hidden="1" outlineLevel="1">
      <c r="A15" s="807" t="s">
        <v>764</v>
      </c>
      <c r="B15" s="808" t="s">
        <v>1970</v>
      </c>
      <c r="C15" s="808" t="s">
        <v>1981</v>
      </c>
      <c r="D15" s="821" t="s">
        <v>1993</v>
      </c>
      <c r="E15" s="810">
        <v>9</v>
      </c>
      <c r="F15" s="817" t="s">
        <v>159</v>
      </c>
      <c r="G15" s="817" t="s">
        <v>159</v>
      </c>
      <c r="H15" s="813"/>
      <c r="I15" s="814"/>
      <c r="J15" s="815"/>
      <c r="K15" s="815"/>
      <c r="L15" s="822"/>
      <c r="M15" s="116" t="s">
        <v>423</v>
      </c>
      <c r="N15" s="823"/>
      <c r="O15" s="116" t="s">
        <v>423</v>
      </c>
      <c r="P15" s="819"/>
      <c r="Q15" s="706"/>
      <c r="R15" s="819"/>
      <c r="S15" s="116" t="s">
        <v>423</v>
      </c>
      <c r="T15" s="706"/>
      <c r="U15" s="116" t="s">
        <v>423</v>
      </c>
      <c r="V15" s="819"/>
      <c r="W15" s="824"/>
      <c r="X15" s="116" t="s">
        <v>423</v>
      </c>
      <c r="Y15" s="819"/>
      <c r="Z15" s="706"/>
      <c r="AA15" s="819"/>
    </row>
    <row r="16" spans="1:28" hidden="1" outlineLevel="1">
      <c r="A16" s="807" t="s">
        <v>764</v>
      </c>
      <c r="B16" s="808"/>
      <c r="C16" s="825" t="s">
        <v>1981</v>
      </c>
      <c r="D16" s="808" t="s">
        <v>1994</v>
      </c>
      <c r="E16" s="817">
        <v>2</v>
      </c>
      <c r="F16" s="826" t="s">
        <v>159</v>
      </c>
      <c r="G16" s="817" t="s">
        <v>159</v>
      </c>
      <c r="H16" s="813"/>
      <c r="I16" s="808"/>
      <c r="J16" s="808"/>
      <c r="K16" s="808"/>
      <c r="L16" s="822"/>
      <c r="M16" s="116"/>
      <c r="N16" s="116"/>
      <c r="O16" s="116"/>
      <c r="P16" s="116"/>
      <c r="Q16" s="706"/>
      <c r="R16" s="818"/>
      <c r="S16" s="824"/>
      <c r="T16" s="706"/>
      <c r="U16" s="116"/>
      <c r="V16" s="116"/>
      <c r="W16" s="116"/>
      <c r="X16" s="116"/>
      <c r="Y16" s="116"/>
      <c r="Z16" s="706"/>
      <c r="AA16" s="818"/>
    </row>
    <row r="17" spans="1:27" hidden="1" outlineLevel="1">
      <c r="A17" s="807" t="s">
        <v>764</v>
      </c>
      <c r="B17" s="808"/>
      <c r="C17" s="825" t="s">
        <v>1981</v>
      </c>
      <c r="D17" s="808" t="s">
        <v>1995</v>
      </c>
      <c r="E17" s="817">
        <v>2</v>
      </c>
      <c r="F17" s="826" t="s">
        <v>159</v>
      </c>
      <c r="G17" s="817" t="s">
        <v>159</v>
      </c>
      <c r="H17" s="813"/>
      <c r="I17" s="808"/>
      <c r="J17" s="808"/>
      <c r="K17" s="808"/>
      <c r="L17" s="822"/>
      <c r="M17" s="116"/>
      <c r="N17" s="116"/>
      <c r="O17" s="116"/>
      <c r="P17" s="116"/>
      <c r="Q17" s="116"/>
      <c r="R17" s="116"/>
      <c r="S17" s="116"/>
      <c r="T17" s="116"/>
      <c r="U17" s="116"/>
      <c r="V17" s="116"/>
      <c r="W17" s="116"/>
      <c r="X17" s="116"/>
      <c r="Y17" s="116"/>
      <c r="Z17" s="116"/>
      <c r="AA17" s="116"/>
    </row>
    <row r="18" spans="1:27" ht="15" hidden="1" customHeight="1" outlineLevel="1">
      <c r="A18" s="807" t="s">
        <v>764</v>
      </c>
      <c r="B18" s="827" t="s">
        <v>1996</v>
      </c>
      <c r="C18" s="827" t="s">
        <v>1997</v>
      </c>
      <c r="D18" s="809" t="s">
        <v>1998</v>
      </c>
      <c r="E18" s="817">
        <v>1</v>
      </c>
      <c r="F18" s="826" t="s">
        <v>159</v>
      </c>
      <c r="G18" s="817" t="s">
        <v>159</v>
      </c>
      <c r="H18" s="813"/>
      <c r="I18" s="814"/>
      <c r="J18" s="828"/>
      <c r="K18" s="815"/>
      <c r="L18" s="822"/>
      <c r="M18" s="116" t="s">
        <v>423</v>
      </c>
      <c r="N18" s="823"/>
      <c r="O18" s="116" t="s">
        <v>423</v>
      </c>
      <c r="P18" s="818"/>
      <c r="Q18" s="706" t="s">
        <v>1999</v>
      </c>
      <c r="R18" s="818"/>
      <c r="S18" s="116" t="s">
        <v>423</v>
      </c>
      <c r="T18" s="823"/>
      <c r="U18" s="116" t="s">
        <v>423</v>
      </c>
      <c r="V18" s="116" t="s">
        <v>423</v>
      </c>
      <c r="W18" s="823"/>
      <c r="X18" s="116" t="s">
        <v>423</v>
      </c>
      <c r="Y18" s="818"/>
      <c r="Z18" s="706"/>
      <c r="AA18" s="818"/>
    </row>
    <row r="19" spans="1:27" hidden="1" outlineLevel="1">
      <c r="A19" s="807" t="s">
        <v>764</v>
      </c>
      <c r="B19" s="827" t="s">
        <v>2000</v>
      </c>
      <c r="C19" s="827" t="s">
        <v>1997</v>
      </c>
      <c r="D19" s="809" t="s">
        <v>2001</v>
      </c>
      <c r="E19" s="817">
        <v>3</v>
      </c>
      <c r="F19" s="826" t="s">
        <v>159</v>
      </c>
      <c r="G19" s="817" t="s">
        <v>159</v>
      </c>
      <c r="H19" s="813"/>
      <c r="I19" s="814"/>
      <c r="J19" s="815"/>
      <c r="K19" s="815"/>
      <c r="L19" s="822"/>
      <c r="M19" s="116" t="s">
        <v>423</v>
      </c>
      <c r="N19" s="823"/>
      <c r="O19" s="116" t="s">
        <v>423</v>
      </c>
      <c r="P19" s="819"/>
      <c r="Q19" s="706" t="s">
        <v>1999</v>
      </c>
      <c r="R19" s="819"/>
      <c r="S19" s="116" t="s">
        <v>423</v>
      </c>
      <c r="T19" s="823"/>
      <c r="U19" s="116" t="s">
        <v>423</v>
      </c>
      <c r="V19" s="116" t="s">
        <v>423</v>
      </c>
      <c r="W19" s="823"/>
      <c r="X19" s="116" t="s">
        <v>423</v>
      </c>
      <c r="Y19" s="819"/>
      <c r="Z19" s="706"/>
      <c r="AA19" s="819"/>
    </row>
    <row r="20" spans="1:27" hidden="1" outlineLevel="1">
      <c r="A20" s="807" t="s">
        <v>764</v>
      </c>
      <c r="B20" s="827" t="s">
        <v>2002</v>
      </c>
      <c r="C20" s="827" t="s">
        <v>1997</v>
      </c>
      <c r="D20" s="827" t="s">
        <v>2003</v>
      </c>
      <c r="E20" s="817">
        <v>6</v>
      </c>
      <c r="F20" s="826" t="s">
        <v>159</v>
      </c>
      <c r="G20" s="817" t="s">
        <v>159</v>
      </c>
      <c r="H20" s="813"/>
      <c r="I20" s="813"/>
      <c r="J20" s="813"/>
      <c r="K20" s="813"/>
      <c r="L20" s="822"/>
      <c r="M20" s="116" t="s">
        <v>423</v>
      </c>
      <c r="N20" s="823"/>
      <c r="O20" s="116" t="s">
        <v>423</v>
      </c>
      <c r="P20" s="116"/>
      <c r="Q20" s="706" t="s">
        <v>1999</v>
      </c>
      <c r="R20" s="116"/>
      <c r="S20" s="116" t="s">
        <v>423</v>
      </c>
      <c r="T20" s="823"/>
      <c r="U20" s="116" t="s">
        <v>423</v>
      </c>
      <c r="V20" s="116" t="s">
        <v>423</v>
      </c>
      <c r="W20" s="823"/>
      <c r="X20" s="116" t="s">
        <v>423</v>
      </c>
      <c r="Y20" s="116"/>
      <c r="Z20" s="116"/>
      <c r="AA20" s="116"/>
    </row>
    <row r="21" spans="1:27" hidden="1" outlineLevel="1">
      <c r="A21" s="807" t="s">
        <v>764</v>
      </c>
      <c r="B21" s="808"/>
      <c r="C21" s="825" t="s">
        <v>2004</v>
      </c>
      <c r="D21" s="808" t="s">
        <v>2005</v>
      </c>
      <c r="E21" s="817">
        <v>2</v>
      </c>
      <c r="F21" s="826" t="s">
        <v>159</v>
      </c>
      <c r="G21" s="817" t="s">
        <v>159</v>
      </c>
      <c r="H21" s="813"/>
      <c r="I21" s="808"/>
      <c r="J21" s="808"/>
      <c r="K21" s="808"/>
      <c r="L21" s="822"/>
      <c r="M21" s="116"/>
      <c r="N21" s="116"/>
      <c r="O21" s="116"/>
      <c r="P21" s="116"/>
      <c r="Q21" s="706"/>
      <c r="R21" s="819"/>
      <c r="S21" s="824"/>
      <c r="T21" s="706"/>
      <c r="U21" s="116"/>
      <c r="V21" s="116"/>
      <c r="W21" s="116"/>
      <c r="X21" s="116"/>
      <c r="Y21" s="116"/>
      <c r="Z21" s="706"/>
      <c r="AA21" s="819"/>
    </row>
    <row r="22" spans="1:27" hidden="1" outlineLevel="1">
      <c r="A22" s="807" t="s">
        <v>764</v>
      </c>
      <c r="B22" s="808"/>
      <c r="C22" s="825" t="s">
        <v>2006</v>
      </c>
      <c r="D22" s="808" t="s">
        <v>2007</v>
      </c>
      <c r="E22" s="817">
        <v>1</v>
      </c>
      <c r="F22" s="826" t="s">
        <v>159</v>
      </c>
      <c r="G22" s="817" t="s">
        <v>159</v>
      </c>
      <c r="H22" s="813"/>
      <c r="I22" s="808"/>
      <c r="J22" s="808"/>
      <c r="K22" s="808"/>
      <c r="L22" s="822"/>
      <c r="M22" s="116"/>
      <c r="N22" s="116"/>
      <c r="O22" s="116"/>
      <c r="P22" s="116"/>
      <c r="Q22" s="706"/>
      <c r="R22" s="819"/>
      <c r="S22" s="824"/>
      <c r="T22" s="706"/>
      <c r="U22" s="116"/>
      <c r="V22" s="116"/>
      <c r="W22" s="116"/>
      <c r="X22" s="116"/>
      <c r="Y22" s="116"/>
      <c r="Z22" s="706"/>
      <c r="AA22" s="819"/>
    </row>
    <row r="23" spans="1:27" hidden="1" outlineLevel="1">
      <c r="A23" s="807" t="s">
        <v>764</v>
      </c>
      <c r="B23" s="808"/>
      <c r="C23" s="825" t="s">
        <v>2004</v>
      </c>
      <c r="D23" s="808" t="s">
        <v>2008</v>
      </c>
      <c r="E23" s="817">
        <v>1</v>
      </c>
      <c r="F23" s="826" t="s">
        <v>159</v>
      </c>
      <c r="G23" s="817" t="s">
        <v>159</v>
      </c>
      <c r="H23" s="813"/>
      <c r="I23" s="808"/>
      <c r="J23" s="808"/>
      <c r="K23" s="808"/>
      <c r="L23" s="822"/>
      <c r="M23" s="116"/>
      <c r="N23" s="116"/>
      <c r="O23" s="116"/>
      <c r="P23" s="116"/>
      <c r="Q23" s="706"/>
      <c r="R23" s="819"/>
      <c r="S23" s="824"/>
      <c r="T23" s="706"/>
      <c r="U23" s="116"/>
      <c r="V23" s="116"/>
      <c r="W23" s="116"/>
      <c r="X23" s="116"/>
      <c r="Y23" s="116"/>
      <c r="Z23" s="706"/>
      <c r="AA23" s="819"/>
    </row>
    <row r="24" spans="1:27" hidden="1" outlineLevel="1">
      <c r="A24" s="807" t="s">
        <v>764</v>
      </c>
      <c r="B24" s="808"/>
      <c r="C24" s="825" t="s">
        <v>2009</v>
      </c>
      <c r="D24" s="808" t="s">
        <v>2010</v>
      </c>
      <c r="E24" s="817">
        <v>3</v>
      </c>
      <c r="F24" s="826" t="s">
        <v>159</v>
      </c>
      <c r="G24" s="817" t="s">
        <v>159</v>
      </c>
      <c r="H24" s="813"/>
      <c r="I24" s="808"/>
      <c r="J24" s="808"/>
      <c r="K24" s="808"/>
      <c r="L24" s="822"/>
      <c r="M24" s="116"/>
      <c r="N24" s="116"/>
      <c r="O24" s="116"/>
      <c r="P24" s="116"/>
      <c r="Q24" s="706"/>
      <c r="R24" s="819"/>
      <c r="S24" s="824"/>
      <c r="T24" s="706"/>
      <c r="U24" s="116"/>
      <c r="V24" s="116"/>
      <c r="W24" s="116"/>
      <c r="X24" s="116"/>
      <c r="Y24" s="116"/>
      <c r="Z24" s="706"/>
      <c r="AA24" s="819"/>
    </row>
    <row r="25" spans="1:27" hidden="1" outlineLevel="1">
      <c r="A25" s="807" t="s">
        <v>764</v>
      </c>
      <c r="B25" s="808"/>
      <c r="C25" s="825" t="s">
        <v>2009</v>
      </c>
      <c r="D25" s="808" t="s">
        <v>2011</v>
      </c>
      <c r="E25" s="817">
        <v>0</v>
      </c>
      <c r="F25" s="826" t="s">
        <v>159</v>
      </c>
      <c r="G25" s="817" t="s">
        <v>159</v>
      </c>
      <c r="H25" s="813"/>
      <c r="I25" s="808"/>
      <c r="J25" s="808"/>
      <c r="K25" s="808"/>
      <c r="L25" s="822"/>
      <c r="M25" s="116"/>
      <c r="N25" s="116"/>
      <c r="O25" s="116"/>
      <c r="P25" s="116"/>
      <c r="Q25" s="116"/>
      <c r="R25" s="116"/>
      <c r="S25" s="116"/>
      <c r="T25" s="116"/>
      <c r="U25" s="116"/>
      <c r="V25" s="116"/>
      <c r="W25" s="116"/>
      <c r="X25" s="116"/>
      <c r="Y25" s="116"/>
      <c r="Z25" s="116"/>
      <c r="AA25" s="116"/>
    </row>
    <row r="26" spans="1:27" hidden="1" outlineLevel="1">
      <c r="A26" s="807" t="s">
        <v>764</v>
      </c>
      <c r="B26" s="808"/>
      <c r="C26" s="825" t="s">
        <v>2012</v>
      </c>
      <c r="D26" s="808" t="s">
        <v>2013</v>
      </c>
      <c r="E26" s="817">
        <v>1</v>
      </c>
      <c r="F26" s="826" t="s">
        <v>159</v>
      </c>
      <c r="G26" s="817" t="s">
        <v>159</v>
      </c>
      <c r="H26" s="813"/>
      <c r="I26" s="808"/>
      <c r="J26" s="808"/>
      <c r="K26" s="808"/>
      <c r="L26" s="822"/>
      <c r="M26" s="116"/>
      <c r="N26" s="116"/>
      <c r="O26" s="116"/>
      <c r="P26" s="116"/>
      <c r="Q26" s="706"/>
      <c r="R26" s="819"/>
      <c r="S26" s="824"/>
      <c r="T26" s="706"/>
      <c r="U26" s="116"/>
      <c r="V26" s="116"/>
      <c r="W26" s="116"/>
      <c r="X26" s="116"/>
      <c r="Y26" s="116"/>
      <c r="Z26" s="706"/>
      <c r="AA26" s="819"/>
    </row>
    <row r="27" spans="1:27" hidden="1" outlineLevel="1">
      <c r="A27" s="807" t="s">
        <v>764</v>
      </c>
      <c r="B27" s="808"/>
      <c r="C27" s="825" t="s">
        <v>1971</v>
      </c>
      <c r="D27" s="808" t="s">
        <v>2014</v>
      </c>
      <c r="E27" s="817">
        <v>1</v>
      </c>
      <c r="F27" s="826" t="s">
        <v>159</v>
      </c>
      <c r="G27" s="817" t="s">
        <v>159</v>
      </c>
      <c r="H27" s="813"/>
      <c r="I27" s="808"/>
      <c r="J27" s="808"/>
      <c r="K27" s="808"/>
      <c r="L27" s="822"/>
      <c r="M27" s="116"/>
      <c r="N27" s="116"/>
      <c r="O27" s="116"/>
      <c r="P27" s="116"/>
      <c r="Q27" s="706"/>
      <c r="R27" s="819"/>
      <c r="S27" s="824"/>
      <c r="T27" s="706"/>
      <c r="U27" s="116"/>
      <c r="V27" s="116"/>
      <c r="W27" s="116"/>
      <c r="X27" s="116"/>
      <c r="Y27" s="116"/>
      <c r="Z27" s="706"/>
      <c r="AA27" s="819"/>
    </row>
    <row r="28" spans="1:27" ht="15" hidden="1" customHeight="1" outlineLevel="1">
      <c r="A28" s="807" t="s">
        <v>764</v>
      </c>
      <c r="B28" s="808"/>
      <c r="C28" s="825" t="s">
        <v>1649</v>
      </c>
      <c r="D28" s="808" t="s">
        <v>2015</v>
      </c>
      <c r="E28" s="817">
        <v>7</v>
      </c>
      <c r="F28" s="826" t="s">
        <v>159</v>
      </c>
      <c r="G28" s="817" t="s">
        <v>159</v>
      </c>
      <c r="H28" s="813"/>
      <c r="I28" s="808"/>
      <c r="J28" s="808"/>
      <c r="K28" s="808"/>
      <c r="L28" s="822"/>
      <c r="M28" s="829" t="s">
        <v>2016</v>
      </c>
      <c r="N28" s="116"/>
      <c r="O28" s="116"/>
      <c r="P28" s="116"/>
      <c r="Q28" s="706"/>
      <c r="R28" s="819"/>
      <c r="S28" s="824"/>
      <c r="T28" s="706"/>
      <c r="U28" s="116"/>
      <c r="V28" s="116"/>
      <c r="W28" s="116"/>
      <c r="X28" s="116"/>
      <c r="Y28" s="116"/>
      <c r="Z28" s="706"/>
      <c r="AA28" s="819"/>
    </row>
    <row r="29" spans="1:27" hidden="1" outlineLevel="1">
      <c r="A29" s="807" t="s">
        <v>764</v>
      </c>
      <c r="B29" s="808" t="s">
        <v>380</v>
      </c>
      <c r="C29" s="825" t="s">
        <v>1649</v>
      </c>
      <c r="D29" s="808" t="s">
        <v>2017</v>
      </c>
      <c r="E29" s="817">
        <v>2</v>
      </c>
      <c r="F29" s="826" t="s">
        <v>159</v>
      </c>
      <c r="G29" s="817" t="s">
        <v>159</v>
      </c>
      <c r="H29" s="813"/>
      <c r="I29" s="808"/>
      <c r="J29" s="808"/>
      <c r="K29" s="808"/>
      <c r="L29" s="822"/>
      <c r="M29" s="116" t="s">
        <v>423</v>
      </c>
      <c r="N29" s="116" t="s">
        <v>423</v>
      </c>
      <c r="O29" s="116" t="s">
        <v>423</v>
      </c>
      <c r="P29" s="116" t="s">
        <v>423</v>
      </c>
      <c r="Q29" s="116" t="s">
        <v>423</v>
      </c>
      <c r="R29" s="116" t="s">
        <v>423</v>
      </c>
      <c r="S29" s="116" t="s">
        <v>423</v>
      </c>
      <c r="T29" s="116" t="s">
        <v>423</v>
      </c>
      <c r="U29" s="116" t="s">
        <v>423</v>
      </c>
      <c r="V29" s="116" t="s">
        <v>423</v>
      </c>
      <c r="W29" s="116" t="s">
        <v>423</v>
      </c>
      <c r="X29" s="116" t="s">
        <v>423</v>
      </c>
      <c r="Y29" s="116"/>
      <c r="Z29" s="706"/>
      <c r="AA29" s="819"/>
    </row>
    <row r="30" spans="1:27" hidden="1" outlineLevel="1">
      <c r="A30" s="807" t="s">
        <v>764</v>
      </c>
      <c r="B30" s="808"/>
      <c r="C30" s="825" t="s">
        <v>1649</v>
      </c>
      <c r="D30" s="808" t="s">
        <v>2018</v>
      </c>
      <c r="E30" s="817">
        <v>6</v>
      </c>
      <c r="F30" s="826" t="s">
        <v>159</v>
      </c>
      <c r="G30" s="817" t="s">
        <v>159</v>
      </c>
      <c r="H30" s="813"/>
      <c r="I30" s="808"/>
      <c r="J30" s="808"/>
      <c r="K30" s="808"/>
      <c r="L30" s="822"/>
      <c r="M30" s="116" t="s">
        <v>423</v>
      </c>
      <c r="N30" s="116" t="s">
        <v>423</v>
      </c>
      <c r="O30" s="116" t="s">
        <v>423</v>
      </c>
      <c r="P30" s="116" t="s">
        <v>423</v>
      </c>
      <c r="Q30" s="116" t="s">
        <v>423</v>
      </c>
      <c r="R30" s="116" t="s">
        <v>423</v>
      </c>
      <c r="S30" s="116" t="s">
        <v>423</v>
      </c>
      <c r="T30" s="116" t="s">
        <v>423</v>
      </c>
      <c r="U30" s="116" t="s">
        <v>423</v>
      </c>
      <c r="V30" s="116" t="s">
        <v>423</v>
      </c>
      <c r="W30" s="116" t="s">
        <v>423</v>
      </c>
      <c r="X30" s="116" t="s">
        <v>423</v>
      </c>
      <c r="Y30" s="116"/>
      <c r="Z30" s="706"/>
      <c r="AA30" s="819"/>
    </row>
    <row r="31" spans="1:27" hidden="1" outlineLevel="1">
      <c r="A31" s="807" t="s">
        <v>764</v>
      </c>
      <c r="B31" s="808"/>
      <c r="C31" s="825" t="s">
        <v>1649</v>
      </c>
      <c r="D31" s="808" t="s">
        <v>2019</v>
      </c>
      <c r="E31" s="817">
        <v>2</v>
      </c>
      <c r="F31" s="826" t="s">
        <v>159</v>
      </c>
      <c r="G31" s="817" t="s">
        <v>159</v>
      </c>
      <c r="H31" s="813"/>
      <c r="I31" s="808"/>
      <c r="J31" s="808"/>
      <c r="K31" s="808"/>
      <c r="L31" s="822"/>
      <c r="M31" s="116"/>
      <c r="N31" s="116"/>
      <c r="O31" s="116"/>
      <c r="P31" s="116"/>
      <c r="Q31" s="706"/>
      <c r="R31" s="819"/>
      <c r="S31" s="824"/>
      <c r="T31" s="706"/>
      <c r="U31" s="116"/>
      <c r="V31" s="116"/>
      <c r="W31" s="116"/>
      <c r="X31" s="116"/>
      <c r="Y31" s="116"/>
      <c r="Z31" s="706"/>
      <c r="AA31" s="819"/>
    </row>
    <row r="32" spans="1:27" hidden="1" outlineLevel="1">
      <c r="A32" s="807" t="s">
        <v>764</v>
      </c>
      <c r="B32" s="808"/>
      <c r="C32" s="825" t="s">
        <v>1649</v>
      </c>
      <c r="D32" s="808" t="s">
        <v>2020</v>
      </c>
      <c r="E32" s="817">
        <v>1</v>
      </c>
      <c r="F32" s="826" t="s">
        <v>159</v>
      </c>
      <c r="G32" s="817" t="s">
        <v>159</v>
      </c>
      <c r="H32" s="813"/>
      <c r="I32" s="808"/>
      <c r="J32" s="808"/>
      <c r="K32" s="808"/>
      <c r="L32" s="822"/>
      <c r="M32" s="116"/>
      <c r="N32" s="116"/>
      <c r="O32" s="116"/>
      <c r="P32" s="116"/>
      <c r="Q32" s="706"/>
      <c r="R32" s="819"/>
      <c r="S32" s="824"/>
      <c r="T32" s="706"/>
      <c r="U32" s="116"/>
      <c r="V32" s="116"/>
      <c r="W32" s="116"/>
      <c r="X32" s="116"/>
      <c r="Y32" s="116"/>
      <c r="Z32" s="706"/>
      <c r="AA32" s="819"/>
    </row>
    <row r="33" spans="1:27" hidden="1" outlineLevel="1">
      <c r="A33" s="807" t="s">
        <v>764</v>
      </c>
      <c r="B33" s="808"/>
      <c r="C33" s="825" t="s">
        <v>1649</v>
      </c>
      <c r="D33" s="808" t="s">
        <v>2021</v>
      </c>
      <c r="E33" s="817">
        <v>1</v>
      </c>
      <c r="F33" s="826" t="s">
        <v>159</v>
      </c>
      <c r="G33" s="817" t="s">
        <v>159</v>
      </c>
      <c r="H33" s="813"/>
      <c r="I33" s="808"/>
      <c r="J33" s="808"/>
      <c r="K33" s="808"/>
      <c r="L33" s="822"/>
      <c r="M33" s="116"/>
      <c r="N33" s="116"/>
      <c r="O33" s="116"/>
      <c r="P33" s="116"/>
      <c r="Q33" s="706"/>
      <c r="R33" s="819"/>
      <c r="S33" s="824"/>
      <c r="T33" s="706"/>
      <c r="U33" s="116"/>
      <c r="V33" s="116"/>
      <c r="W33" s="116"/>
      <c r="X33" s="116"/>
      <c r="Y33" s="116"/>
      <c r="Z33" s="706"/>
      <c r="AA33" s="819"/>
    </row>
    <row r="34" spans="1:27" hidden="1" outlineLevel="1">
      <c r="A34" s="807" t="s">
        <v>764</v>
      </c>
      <c r="B34" s="808"/>
      <c r="C34" s="825" t="s">
        <v>2022</v>
      </c>
      <c r="D34" s="808" t="s">
        <v>2023</v>
      </c>
      <c r="E34" s="817">
        <v>1</v>
      </c>
      <c r="F34" s="826" t="s">
        <v>159</v>
      </c>
      <c r="G34" s="817" t="s">
        <v>159</v>
      </c>
      <c r="H34" s="813"/>
      <c r="I34" s="808"/>
      <c r="J34" s="808"/>
      <c r="K34" s="808"/>
      <c r="L34" s="822"/>
      <c r="M34" s="116"/>
      <c r="N34" s="116"/>
      <c r="O34" s="116"/>
      <c r="P34" s="116"/>
      <c r="Q34" s="706"/>
      <c r="R34" s="819"/>
      <c r="S34" s="824"/>
      <c r="T34" s="706"/>
      <c r="U34" s="116"/>
      <c r="V34" s="116"/>
      <c r="W34" s="116"/>
      <c r="X34" s="116"/>
      <c r="Y34" s="116"/>
      <c r="Z34" s="706"/>
      <c r="AA34" s="819"/>
    </row>
    <row r="35" spans="1:27" hidden="1" outlineLevel="1">
      <c r="A35" s="807" t="s">
        <v>764</v>
      </c>
      <c r="B35" s="808"/>
      <c r="C35" s="825" t="s">
        <v>2022</v>
      </c>
      <c r="D35" s="808" t="s">
        <v>2024</v>
      </c>
      <c r="E35" s="817">
        <v>1</v>
      </c>
      <c r="F35" s="826" t="s">
        <v>159</v>
      </c>
      <c r="G35" s="817" t="s">
        <v>159</v>
      </c>
      <c r="H35" s="813"/>
      <c r="I35" s="808"/>
      <c r="J35" s="808"/>
      <c r="K35" s="808"/>
      <c r="L35" s="822"/>
      <c r="M35" s="116"/>
      <c r="N35" s="116"/>
      <c r="O35" s="116"/>
      <c r="P35" s="116"/>
      <c r="Q35" s="706"/>
      <c r="R35" s="819"/>
      <c r="S35" s="824"/>
      <c r="T35" s="706"/>
      <c r="U35" s="116"/>
      <c r="V35" s="116"/>
      <c r="W35" s="116"/>
      <c r="X35" s="116"/>
      <c r="Y35" s="116"/>
      <c r="Z35" s="706"/>
      <c r="AA35" s="819"/>
    </row>
    <row r="36" spans="1:27" hidden="1" outlineLevel="1">
      <c r="A36" s="807" t="s">
        <v>764</v>
      </c>
      <c r="B36" s="808"/>
      <c r="C36" s="825" t="s">
        <v>2022</v>
      </c>
      <c r="D36" s="808" t="s">
        <v>2025</v>
      </c>
      <c r="E36" s="817">
        <v>6</v>
      </c>
      <c r="F36" s="826" t="s">
        <v>159</v>
      </c>
      <c r="G36" s="817" t="s">
        <v>159</v>
      </c>
      <c r="H36" s="813"/>
      <c r="I36" s="808"/>
      <c r="J36" s="808"/>
      <c r="K36" s="808"/>
      <c r="L36" s="822"/>
      <c r="M36" s="116"/>
      <c r="N36" s="116"/>
      <c r="O36" s="116"/>
      <c r="P36" s="116"/>
      <c r="Q36" s="706"/>
      <c r="R36" s="819"/>
      <c r="S36" s="824"/>
      <c r="T36" s="706"/>
      <c r="U36" s="116"/>
      <c r="V36" s="116"/>
      <c r="W36" s="116"/>
      <c r="X36" s="116"/>
      <c r="Y36" s="116"/>
      <c r="Z36" s="706"/>
      <c r="AA36" s="819"/>
    </row>
    <row r="37" spans="1:27" hidden="1" outlineLevel="1">
      <c r="A37" s="807" t="s">
        <v>764</v>
      </c>
      <c r="B37" s="808"/>
      <c r="C37" s="825" t="s">
        <v>1758</v>
      </c>
      <c r="D37" s="808" t="s">
        <v>2026</v>
      </c>
      <c r="E37" s="817">
        <v>6</v>
      </c>
      <c r="F37" s="826" t="s">
        <v>159</v>
      </c>
      <c r="G37" s="817" t="s">
        <v>159</v>
      </c>
      <c r="H37" s="813"/>
      <c r="I37" s="808"/>
      <c r="J37" s="808"/>
      <c r="K37" s="808"/>
      <c r="L37" s="822"/>
      <c r="M37" s="116" t="s">
        <v>423</v>
      </c>
      <c r="N37" s="116" t="s">
        <v>423</v>
      </c>
      <c r="O37" s="116" t="s">
        <v>423</v>
      </c>
      <c r="P37" s="116" t="s">
        <v>423</v>
      </c>
      <c r="Q37" s="116" t="s">
        <v>423</v>
      </c>
      <c r="R37" s="116" t="s">
        <v>423</v>
      </c>
      <c r="S37" s="116" t="s">
        <v>423</v>
      </c>
      <c r="T37" s="116" t="s">
        <v>423</v>
      </c>
      <c r="U37" s="116"/>
      <c r="V37" s="116" t="s">
        <v>423</v>
      </c>
      <c r="W37" s="116" t="s">
        <v>423</v>
      </c>
      <c r="X37" s="116" t="s">
        <v>423</v>
      </c>
      <c r="Y37" s="116"/>
      <c r="Z37" s="706"/>
      <c r="AA37" s="819"/>
    </row>
    <row r="38" spans="1:27" hidden="1" outlineLevel="1">
      <c r="A38" s="807" t="s">
        <v>764</v>
      </c>
      <c r="B38" s="808"/>
      <c r="C38" s="825" t="s">
        <v>1758</v>
      </c>
      <c r="D38" s="808" t="s">
        <v>2027</v>
      </c>
      <c r="E38" s="817">
        <v>1</v>
      </c>
      <c r="F38" s="826" t="s">
        <v>159</v>
      </c>
      <c r="G38" s="817" t="s">
        <v>159</v>
      </c>
      <c r="H38" s="813"/>
      <c r="I38" s="808"/>
      <c r="J38" s="808"/>
      <c r="K38" s="808"/>
      <c r="L38" s="822"/>
      <c r="M38" s="116" t="s">
        <v>423</v>
      </c>
      <c r="N38" s="116" t="s">
        <v>423</v>
      </c>
      <c r="O38" s="116" t="s">
        <v>423</v>
      </c>
      <c r="P38" s="116" t="s">
        <v>423</v>
      </c>
      <c r="Q38" s="116" t="s">
        <v>423</v>
      </c>
      <c r="R38" s="116" t="s">
        <v>423</v>
      </c>
      <c r="S38" s="116" t="s">
        <v>423</v>
      </c>
      <c r="T38" s="116" t="s">
        <v>423</v>
      </c>
      <c r="U38" s="116" t="s">
        <v>423</v>
      </c>
      <c r="V38" s="116" t="s">
        <v>423</v>
      </c>
      <c r="W38" s="116" t="s">
        <v>423</v>
      </c>
      <c r="X38" s="116" t="s">
        <v>423</v>
      </c>
      <c r="Y38" s="116"/>
      <c r="Z38" s="706"/>
      <c r="AA38" s="819"/>
    </row>
    <row r="39" spans="1:27" hidden="1" outlineLevel="1">
      <c r="A39" s="807" t="s">
        <v>764</v>
      </c>
      <c r="B39" s="808"/>
      <c r="C39" s="825" t="s">
        <v>1613</v>
      </c>
      <c r="D39" s="808" t="s">
        <v>2028</v>
      </c>
      <c r="E39" s="817">
        <v>1</v>
      </c>
      <c r="F39" s="826" t="s">
        <v>159</v>
      </c>
      <c r="G39" s="817" t="s">
        <v>159</v>
      </c>
      <c r="H39" s="813"/>
      <c r="I39" s="808"/>
      <c r="J39" s="808"/>
      <c r="K39" s="808"/>
      <c r="L39" s="822"/>
      <c r="M39" s="116"/>
      <c r="N39" s="116"/>
      <c r="O39" s="116"/>
      <c r="P39" s="116"/>
      <c r="Q39" s="706"/>
      <c r="R39" s="819"/>
      <c r="S39" s="824"/>
      <c r="T39" s="706"/>
      <c r="U39" s="116"/>
      <c r="V39" s="116"/>
      <c r="W39" s="116"/>
      <c r="X39" s="116"/>
      <c r="Y39" s="116"/>
      <c r="Z39" s="706"/>
      <c r="AA39" s="819"/>
    </row>
    <row r="40" spans="1:27" hidden="1" outlineLevel="1">
      <c r="A40" s="807" t="s">
        <v>764</v>
      </c>
      <c r="B40" s="808"/>
      <c r="C40" s="825" t="s">
        <v>2029</v>
      </c>
      <c r="D40" s="808" t="s">
        <v>2030</v>
      </c>
      <c r="E40" s="817">
        <v>1</v>
      </c>
      <c r="F40" s="826" t="s">
        <v>159</v>
      </c>
      <c r="G40" s="817" t="s">
        <v>159</v>
      </c>
      <c r="H40" s="813"/>
      <c r="I40" s="808"/>
      <c r="J40" s="808"/>
      <c r="K40" s="808"/>
      <c r="L40" s="822"/>
      <c r="M40" s="116"/>
      <c r="N40" s="116"/>
      <c r="O40" s="116"/>
      <c r="P40" s="116"/>
      <c r="Q40" s="706"/>
      <c r="R40" s="819"/>
      <c r="S40" s="824"/>
      <c r="T40" s="706"/>
      <c r="U40" s="116"/>
      <c r="V40" s="116"/>
      <c r="W40" s="116"/>
      <c r="X40" s="116"/>
      <c r="Y40" s="116"/>
      <c r="Z40" s="706"/>
      <c r="AA40" s="819"/>
    </row>
    <row r="41" spans="1:27" hidden="1" outlineLevel="1">
      <c r="A41" s="807" t="s">
        <v>764</v>
      </c>
      <c r="B41" s="808"/>
      <c r="C41" s="825" t="s">
        <v>2029</v>
      </c>
      <c r="D41" s="808" t="s">
        <v>2031</v>
      </c>
      <c r="E41" s="817">
        <v>35</v>
      </c>
      <c r="F41" s="826" t="s">
        <v>159</v>
      </c>
      <c r="G41" s="817" t="s">
        <v>159</v>
      </c>
      <c r="H41" s="813"/>
      <c r="I41" s="808"/>
      <c r="J41" s="808"/>
      <c r="K41" s="808"/>
      <c r="L41" s="822"/>
      <c r="M41" s="116"/>
      <c r="N41" s="116"/>
      <c r="O41" s="116"/>
      <c r="P41" s="116"/>
      <c r="Q41" s="706"/>
      <c r="R41" s="819"/>
      <c r="S41" s="824"/>
      <c r="T41" s="706"/>
      <c r="U41" s="116"/>
      <c r="V41" s="116"/>
      <c r="W41" s="116"/>
      <c r="X41" s="116"/>
      <c r="Y41" s="116"/>
      <c r="Z41" s="706"/>
      <c r="AA41" s="819"/>
    </row>
    <row r="42" spans="1:27" hidden="1" outlineLevel="1">
      <c r="A42" s="807" t="s">
        <v>764</v>
      </c>
      <c r="B42" s="808"/>
      <c r="C42" s="825" t="s">
        <v>2032</v>
      </c>
      <c r="D42" s="808" t="s">
        <v>2033</v>
      </c>
      <c r="E42" s="817">
        <v>0</v>
      </c>
      <c r="F42" s="826" t="s">
        <v>159</v>
      </c>
      <c r="G42" s="817" t="s">
        <v>159</v>
      </c>
      <c r="H42" s="813"/>
      <c r="I42" s="808"/>
      <c r="J42" s="808"/>
      <c r="K42" s="808"/>
      <c r="L42" s="822"/>
      <c r="M42" s="116"/>
      <c r="N42" s="116"/>
      <c r="O42" s="116"/>
      <c r="P42" s="116"/>
      <c r="Q42" s="706"/>
      <c r="R42" s="819"/>
      <c r="S42" s="824"/>
      <c r="T42" s="706"/>
      <c r="U42" s="116"/>
      <c r="V42" s="116"/>
      <c r="W42" s="116"/>
      <c r="X42" s="116"/>
      <c r="Y42" s="116"/>
      <c r="Z42" s="706"/>
      <c r="AA42" s="819"/>
    </row>
  </sheetData>
  <mergeCells count="8">
    <mergeCell ref="M2:Z2"/>
    <mergeCell ref="A3:K3"/>
    <mergeCell ref="M4:N4"/>
    <mergeCell ref="O4:P4"/>
    <mergeCell ref="Q4:R4"/>
    <mergeCell ref="U4:V4"/>
    <mergeCell ref="X4:Y4"/>
    <mergeCell ref="Z4:AA4"/>
  </mergeCells>
  <hyperlinks>
    <hyperlink ref="E4" location="'GBIC Inventory'!A1" display="Inventory" xr:uid="{00000000-0004-0000-1100-000000000000}"/>
    <hyperlink ref="F4" r:id="rId1" xr:uid="{00000000-0004-0000-1100-000001000000}"/>
    <hyperlink ref="G4" r:id="rId2" location="gx" xr:uid="{00000000-0004-0000-1100-000002000000}"/>
    <hyperlink ref="S4" r:id="rId3" xr:uid="{00000000-0004-0000-1100-000003000000}"/>
    <hyperlink ref="Z4" r:id="rId4" xr:uid="{00000000-0004-0000-1100-000004000000}"/>
    <hyperlink ref="F5" r:id="rId5" xr:uid="{00000000-0004-0000-1100-000005000000}"/>
    <hyperlink ref="O5" r:id="rId6" xr:uid="{00000000-0004-0000-1100-000006000000}"/>
    <hyperlink ref="Q5" r:id="rId7" xr:uid="{00000000-0004-0000-1100-000007000000}"/>
    <hyperlink ref="S5" r:id="rId8" xr:uid="{00000000-0004-0000-1100-000008000000}"/>
    <hyperlink ref="X5" r:id="rId9" xr:uid="{00000000-0004-0000-1100-000009000000}"/>
    <hyperlink ref="Z5" r:id="rId10" xr:uid="{00000000-0004-0000-1100-00000A000000}"/>
    <hyperlink ref="H6" r:id="rId11" xr:uid="{00000000-0004-0000-1100-00000B000000}"/>
    <hyperlink ref="Q6" r:id="rId12" xr:uid="{00000000-0004-0000-1100-00000C000000}"/>
    <hyperlink ref="S6" r:id="rId13" xr:uid="{00000000-0004-0000-1100-00000D000000}"/>
    <hyperlink ref="U6" r:id="rId14" xr:uid="{00000000-0004-0000-1100-00000E000000}"/>
    <hyperlink ref="Z6" r:id="rId15" xr:uid="{00000000-0004-0000-1100-00000F000000}"/>
    <hyperlink ref="F7" r:id="rId16" xr:uid="{00000000-0004-0000-1100-000010000000}"/>
    <hyperlink ref="H7" r:id="rId17" xr:uid="{00000000-0004-0000-1100-000011000000}"/>
    <hyperlink ref="O7" r:id="rId18" xr:uid="{00000000-0004-0000-1100-000012000000}"/>
    <hyperlink ref="Q7" r:id="rId19" xr:uid="{00000000-0004-0000-1100-000013000000}"/>
    <hyperlink ref="S7" r:id="rId20" xr:uid="{00000000-0004-0000-1100-000014000000}"/>
    <hyperlink ref="X7" r:id="rId21" xr:uid="{00000000-0004-0000-1100-000015000000}"/>
    <hyperlink ref="Z7" r:id="rId22" xr:uid="{00000000-0004-0000-1100-000016000000}"/>
    <hyperlink ref="G8" r:id="rId23" xr:uid="{00000000-0004-0000-1100-000017000000}"/>
    <hyperlink ref="G9" r:id="rId24" xr:uid="{00000000-0004-0000-1100-000018000000}"/>
    <hyperlink ref="G10" r:id="rId25" xr:uid="{00000000-0004-0000-1100-000019000000}"/>
    <hyperlink ref="F11" r:id="rId26" xr:uid="{00000000-0004-0000-1100-00001A000000}"/>
    <hyperlink ref="G11" r:id="rId27" xr:uid="{00000000-0004-0000-1100-00001B000000}"/>
    <hyperlink ref="F12" r:id="rId28" xr:uid="{00000000-0004-0000-1100-00001C000000}"/>
    <hyperlink ref="F13" r:id="rId29" xr:uid="{00000000-0004-0000-1100-00001D000000}"/>
  </hyperlinks>
  <pageMargins left="0.70833333333333304" right="0.70833333333333304" top="0.74791666666666701" bottom="0.74791666666666701" header="0.51180555555555496" footer="0.51180555555555496"/>
  <pageSetup paperSize="8" scale="85" firstPageNumber="0" orientation="landscape" horizontalDpi="300" verticalDpi="300" r:id="rId30"/>
</worksheet>
</file>

<file path=docProps/app.xml><?xml version="1.0" encoding="utf-8"?>
<Properties xmlns="http://schemas.openxmlformats.org/officeDocument/2006/extended-properties" xmlns:vt="http://schemas.openxmlformats.org/officeDocument/2006/docPropsVTypes">
  <Template/>
  <TotalTime>1159</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100M SFP</vt:lpstr>
      <vt:lpstr>1G SFP</vt:lpstr>
      <vt:lpstr>SFP+</vt:lpstr>
      <vt:lpstr>SFP28</vt:lpstr>
      <vt:lpstr>SFP56</vt:lpstr>
      <vt:lpstr>QSFP</vt:lpstr>
      <vt:lpstr>QSFP28</vt:lpstr>
      <vt:lpstr>QSFPDD</vt:lpstr>
      <vt:lpstr>Key</vt:lpstr>
      <vt:lpstr>Rules-old</vt:lpstr>
      <vt:lpstr>Title Page</vt:lpstr>
      <vt:lpstr>Rules-Platform</vt:lpstr>
      <vt:lpstr>Rules-Transceiver</vt:lpstr>
      <vt:lpstr>Rules-Platform-Export</vt:lpstr>
      <vt:lpstr>Last release</vt:lpstr>
      <vt:lpstr>Qualification Process</vt:lpstr>
      <vt:lpstr>OLD-XFP</vt:lpstr>
      <vt:lpstr>OLD-Rules</vt:lpstr>
      <vt:lpstr>OLD-GBIC</vt:lpstr>
      <vt:lpstr>'Last release'!Print_Area</vt:lpstr>
      <vt:lpstr>'Rules-Platform'!Print_Area</vt:lpstr>
      <vt:lpstr>QualificationStatus</vt:lpstr>
      <vt:lpstr>RULES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Haydn Barber;colin.crowther@alliedtelesis.co.nz</dc:creator>
  <dc:description/>
  <cp:lastModifiedBy>Colin Crowther</cp:lastModifiedBy>
  <cp:revision>12</cp:revision>
  <cp:lastPrinted>2024-09-27T01:30:29Z</cp:lastPrinted>
  <dcterms:created xsi:type="dcterms:W3CDTF">2021-01-28T21:55:55Z</dcterms:created>
  <dcterms:modified xsi:type="dcterms:W3CDTF">2026-03-16T22:07:26Z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